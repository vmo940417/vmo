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인" sheetId="1" state="visible" r:id="rId1"/>
    <sheet name="엔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0"/>
    <numFmt numFmtId="166" formatCode="0.000"/>
    <numFmt numFmtId="167" formatCode="0.000000"/>
    <numFmt numFmtId="168" formatCode="#,##0.0"/>
    <numFmt numFmtId="169" formatCode="0.0000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  <font>
      <name val="Arial"/>
      <i val="1"/>
      <color rgb="00808080"/>
      <sz val="8"/>
    </font>
    <font>
      <name val="Arial"/>
      <b val="1"/>
      <sz val="10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1F3864"/>
      <sz val="10"/>
    </font>
    <font>
      <name val="Arial"/>
      <b val="1"/>
      <color rgb="001F3864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4" fillId="4" borderId="1" pivotButton="0" quotePrefix="0" xfId="0"/>
    <xf numFmtId="0" fontId="5" fillId="0" borderId="0" pivotButton="0" quotePrefix="0" xfId="0"/>
    <xf numFmtId="164" fontId="3" fillId="0" borderId="1" pivotButton="0" quotePrefix="0" xfId="0"/>
    <xf numFmtId="164" fontId="4" fillId="4" borderId="1" pivotButton="0" quotePrefix="0" xfId="0"/>
    <xf numFmtId="164" fontId="6" fillId="5" borderId="1" pivotButton="0" quotePrefix="0" xfId="0"/>
    <xf numFmtId="3" fontId="6" fillId="5" borderId="1" pivotButton="0" quotePrefix="0" xfId="0"/>
    <xf numFmtId="165" fontId="4" fillId="4" borderId="1" pivotButton="0" quotePrefix="0" xfId="0"/>
    <xf numFmtId="10" fontId="4" fillId="4" borderId="1" pivotButton="0" quotePrefix="0" xfId="0"/>
    <xf numFmtId="0" fontId="4" fillId="4" borderId="1" pivotButton="0" quotePrefix="0" xfId="0"/>
    <xf numFmtId="3" fontId="3" fillId="0" borderId="1" pivotButton="0" quotePrefix="0" xfId="0"/>
    <xf numFmtId="2" fontId="4" fillId="4" borderId="1" pivotButton="0" quotePrefix="0" xfId="0"/>
    <xf numFmtId="2" fontId="6" fillId="5" borderId="1" pivotButton="0" quotePrefix="0" xfId="0"/>
    <xf numFmtId="2" fontId="7" fillId="6" borderId="1" pivotButton="0" quotePrefix="0" xfId="0"/>
    <xf numFmtId="165" fontId="7" fillId="6" borderId="1" pivotButton="0" quotePrefix="0" xfId="0"/>
    <xf numFmtId="165" fontId="6" fillId="5" borderId="1" pivotButton="0" quotePrefix="0" xfId="0"/>
    <xf numFmtId="0" fontId="8" fillId="7" borderId="1" pivotButton="0" quotePrefix="0" xfId="0"/>
    <xf numFmtId="166" fontId="4" fillId="4" borderId="1" pivotButton="0" quotePrefix="0" xfId="0"/>
    <xf numFmtId="166" fontId="6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166" fontId="3" fillId="0" borderId="1" pivotButton="0" quotePrefix="0" xfId="0"/>
    <xf numFmtId="165" fontId="3" fillId="0" borderId="1" pivotButton="0" quotePrefix="0" xfId="0"/>
    <xf numFmtId="11" fontId="3" fillId="0" borderId="1" pivotButton="0" quotePrefix="0" xfId="0"/>
    <xf numFmtId="2" fontId="3" fillId="0" borderId="1" pivotButton="0" quotePrefix="0" xfId="0"/>
    <xf numFmtId="3" fontId="6" fillId="0" borderId="1" pivotButton="0" quotePrefix="0" xfId="0"/>
    <xf numFmtId="167" fontId="6" fillId="5" borderId="1" pivotButton="0" quotePrefix="0" xfId="0"/>
    <xf numFmtId="169" fontId="3" fillId="0" borderId="1" pivotButton="0" quotePrefix="0" xfId="0"/>
    <xf numFmtId="0" fontId="6" fillId="5" borderId="1" pivotButton="0" quotePrefix="0" xfId="0"/>
    <xf numFmtId="0" fontId="6" fillId="0" borderId="0" pivotButton="0" quotePrefix="0" xfId="0"/>
    <xf numFmtId="166" fontId="6" fillId="5" borderId="1" pivotButton="0" quotePrefix="0" xfId="0"/>
    <xf numFmtId="0" fontId="8" fillId="7" borderId="1" applyAlignment="1" pivotButton="0" quotePrefix="0" xfId="0">
      <alignment horizontal="center" wrapText="1"/>
    </xf>
    <xf numFmtId="2" fontId="4" fillId="0" borderId="1" pivotButton="0" quotePrefix="0" xfId="0"/>
    <xf numFmtId="2" fontId="4" fillId="5" borderId="1" pivotButton="0" quotePrefix="0" xfId="0"/>
    <xf numFmtId="165" fontId="3" fillId="5" borderId="1" pivotButton="0" quotePrefix="0" xfId="0"/>
    <xf numFmtId="3" fontId="3" fillId="5" borderId="1" pivotButton="0" quotePrefix="0" xfId="0"/>
    <xf numFmtId="0" fontId="9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0" customWidth="1" min="5" max="5"/>
    <col width="52" customWidth="1" min="6" max="6"/>
    <col width="10" customWidth="1" min="7" max="7"/>
    <col width="10" customWidth="1" min="8" max="8"/>
  </cols>
  <sheetData>
    <row r="1" ht="20" customHeight="1">
      <c r="A1" s="1" t="inlineStr">
        <is>
          <t>국채선물(10년) 차익거래 — 실시간 만기손익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[1] 설정   ◆ 노란 셀만 입력하십시오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결제월 (YYYYMM)</t>
        </is>
      </c>
      <c r="B4" s="6" t="n">
        <v>202609</v>
      </c>
      <c r="F4" s="7" t="inlineStr">
        <is>
          <t>3/6/9/12월물</t>
        </is>
      </c>
    </row>
    <row r="5">
      <c r="A5" s="5" t="inlineStr">
        <is>
          <t>최종거래일 (자동: 셋째 화요일)</t>
        </is>
      </c>
      <c r="B5" s="8">
        <f>DATE(INT(B4/100),MOD(B4,100),1)+MOD(2-WEEKDAY(DATE(INT(B4/100),MOD(B4,100),1),2)+7,7)+14</f>
        <v/>
      </c>
    </row>
    <row r="6">
      <c r="A6" s="5" t="inlineStr">
        <is>
          <t>최종거래일 (수동 우선)</t>
        </is>
      </c>
      <c r="B6" s="9" t="n"/>
      <c r="F6" s="7" t="inlineStr">
        <is>
          <t>공휴일 조정 시 입력</t>
        </is>
      </c>
    </row>
    <row r="7">
      <c r="A7" s="5" t="inlineStr">
        <is>
          <t>▶ 최종거래일</t>
        </is>
      </c>
      <c r="B7" s="10">
        <f>IF(B6="",B5,B6)</f>
        <v/>
      </c>
    </row>
    <row r="8">
      <c r="A8" s="5" t="inlineStr">
        <is>
          <t>▶ 정산기준일 H</t>
        </is>
      </c>
      <c r="B8" s="10">
        <f>WORKDAY(B7,1)</f>
        <v/>
      </c>
      <c r="F8" s="7" t="inlineStr">
        <is>
          <t>현물 청산 T+1 결제일</t>
        </is>
      </c>
    </row>
    <row r="9">
      <c r="A9" s="5" t="inlineStr">
        <is>
          <t>현재일</t>
        </is>
      </c>
      <c r="B9" s="8">
        <f>TODAY()</f>
        <v/>
      </c>
    </row>
    <row r="10">
      <c r="A10" s="5" t="inlineStr">
        <is>
          <t>▶ 현물결제일 S0</t>
        </is>
      </c>
      <c r="B10" s="10">
        <f>WORKDAY(B9,1)</f>
        <v/>
      </c>
      <c r="F10" s="7" t="inlineStr">
        <is>
          <t>국고채 익일결제</t>
        </is>
      </c>
    </row>
    <row r="11">
      <c r="A11" s="5" t="inlineStr">
        <is>
          <t>보유일수 (S0 → H)</t>
        </is>
      </c>
      <c r="B11" s="11">
        <f>B8-B10</f>
        <v/>
      </c>
      <c r="C11" s="7" t="inlineStr">
        <is>
          <t>일</t>
        </is>
      </c>
    </row>
    <row r="12">
      <c r="A12" s="5" t="inlineStr">
        <is>
          <t>조달금리 — 바스켓 매수 시 지급</t>
        </is>
      </c>
      <c r="B12" s="12" t="n">
        <v>2.6</v>
      </c>
      <c r="C12" s="7" t="inlineStr">
        <is>
          <t>%</t>
        </is>
      </c>
      <c r="F12" s="7" t="inlineStr">
        <is>
          <t>레포(RP) 조달금리.  매수차익거래(바스켓매수+선물매도)에서 적용</t>
        </is>
      </c>
    </row>
    <row r="13">
      <c r="A13" s="5" t="inlineStr">
        <is>
          <t>담보운용금리 — 바스켓 매도 시 수취</t>
        </is>
      </c>
      <c r="B13" s="12" t="n">
        <v>2.9</v>
      </c>
      <c r="C13" s="7" t="inlineStr">
        <is>
          <t>%</t>
        </is>
      </c>
      <c r="F13" s="7" t="inlineStr">
        <is>
          <t>역RP 운용금리.  매도차익거래(바스켓매도+선물매수)에서 적용</t>
        </is>
      </c>
    </row>
    <row r="14">
      <c r="A14" s="5" t="inlineStr">
        <is>
          <t>표준물 만기</t>
        </is>
      </c>
      <c r="B14" s="6" t="n">
        <v>10</v>
      </c>
      <c r="C14" s="7" t="inlineStr">
        <is>
          <t>년</t>
        </is>
      </c>
      <c r="F14" s="7" t="inlineStr">
        <is>
          <t>10년물 고정</t>
        </is>
      </c>
    </row>
    <row r="15">
      <c r="A15" s="5" t="inlineStr">
        <is>
          <t>표준물 표면금리</t>
        </is>
      </c>
      <c r="B15" s="13" t="n">
        <v>0.05</v>
      </c>
      <c r="F15" s="7" t="inlineStr">
        <is>
          <t>KRX 규격 5%</t>
        </is>
      </c>
    </row>
    <row r="16">
      <c r="A16" s="5" t="inlineStr">
        <is>
          <t>1포인트 가치</t>
        </is>
      </c>
      <c r="B16" s="6" t="n">
        <v>1000000</v>
      </c>
      <c r="C16" s="7" t="inlineStr">
        <is>
          <t>원</t>
        </is>
      </c>
      <c r="F16" s="7" t="inlineStr">
        <is>
          <t>액면 1억 ÷ 100</t>
        </is>
      </c>
    </row>
    <row r="17">
      <c r="A17" s="5" t="inlineStr">
        <is>
          <t>계약수 Q</t>
        </is>
      </c>
      <c r="B17" s="6" t="n">
        <v>100</v>
      </c>
      <c r="C17" s="7" t="inlineStr">
        <is>
          <t>계약</t>
        </is>
      </c>
    </row>
    <row r="18">
      <c r="A18" s="5" t="inlineStr">
        <is>
          <t>포지션 방향</t>
        </is>
      </c>
      <c r="B18" s="14" t="inlineStr">
        <is>
          <t>매수차익 (바스켓매수+선물매도)</t>
        </is>
      </c>
      <c r="F18" s="7" t="inlineStr">
        <is>
          <t>매수차익 = 바스켓매수+선물매도   /   매도차익 = 바스켓매도+선물매수</t>
        </is>
      </c>
    </row>
    <row r="19">
      <c r="A19" s="5" t="inlineStr">
        <is>
          <t>방향계수</t>
        </is>
      </c>
      <c r="B19" s="15">
        <f>IF(LEFT($B$18,4)="매수차익",1,-1)</f>
        <v/>
      </c>
    </row>
    <row r="20">
      <c r="A20" s="5" t="inlineStr">
        <is>
          <t>선물 진입가</t>
        </is>
      </c>
      <c r="B20" s="16" t="n"/>
      <c r="F20" s="7" t="inlineStr">
        <is>
          <t>빈칸이면 현재가 사용</t>
        </is>
      </c>
    </row>
    <row r="21">
      <c r="A21" s="5" t="inlineStr">
        <is>
          <t>▶ 적용 진입가</t>
        </is>
      </c>
      <c r="B21" s="17">
        <f>IF(B20="",B25,B20)</f>
        <v/>
      </c>
    </row>
    <row r="22">
      <c r="A22" s="5" t="inlineStr">
        <is>
          <t>거래비용</t>
        </is>
      </c>
      <c r="B22" s="6" t="n">
        <v>13000</v>
      </c>
      <c r="C22" s="7" t="inlineStr">
        <is>
          <t>원/계약</t>
        </is>
      </c>
      <c r="F22" s="7" t="inlineStr">
        <is>
          <t>선물수수료 + 채권 스프레드 + 슬리피지</t>
        </is>
      </c>
    </row>
    <row r="23">
      <c r="A23" s="5" t="inlineStr">
        <is>
          <t>대차수수료 (매도차익 시에만)</t>
        </is>
      </c>
      <c r="B23" s="16" t="n">
        <v>0</v>
      </c>
      <c r="C23" s="7" t="inlineStr">
        <is>
          <t>bp</t>
        </is>
      </c>
      <c r="F23" s="7" t="inlineStr">
        <is>
          <t>바스켓을 빌려서 파는 매도차익거래에만 적용. 매수차익거래에서는 무시된다 (산 채권을 대차로 빌려주는 것은 별도 영업이며, special 이점은 조달금리 B12 에 이미 반영됨)</t>
        </is>
      </c>
    </row>
    <row r="24">
      <c r="A24" s="3" t="inlineStr">
        <is>
          <t>[2] 실시간 — 연합인포맥스   ◆ 붉은 셀이 IMDP 연결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5" t="inlineStr">
        <is>
          <t>선물 현재가</t>
        </is>
      </c>
      <c r="B25" s="18">
        <f>_xll.IMDP("FUT",$B$26,"선물호가_현재가")</f>
        <v/>
      </c>
    </row>
    <row r="26">
      <c r="A26" s="5" t="inlineStr">
        <is>
          <t>선물 종목코드</t>
        </is>
      </c>
      <c r="B26" s="14" t="inlineStr">
        <is>
          <t>A6769000</t>
        </is>
      </c>
      <c r="F26" s="7" t="inlineStr">
        <is>
          <t>최근월물 코드로 갱신</t>
        </is>
      </c>
    </row>
    <row r="27">
      <c r="A27" s="5" t="inlineStr">
        <is>
          <t>종목1 수익률</t>
        </is>
      </c>
      <c r="B27" s="19">
        <f>_xll.IMDP("BND",$C$34,"장내국채-매도수익률1")</f>
        <v/>
      </c>
      <c r="C27" s="7" t="inlineStr">
        <is>
          <t>%</t>
        </is>
      </c>
      <c r="F27" s="7" t="inlineStr">
        <is>
          <t>코드 인수를 셀참조로 씀. 오류 시 코드를 수식에 직접 입력</t>
        </is>
      </c>
    </row>
    <row r="28">
      <c r="A28" s="5" t="inlineStr">
        <is>
          <t>종목2 수익률</t>
        </is>
      </c>
      <c r="B28" s="19">
        <f>_xll.IMDP("BND",$D$34,"장내국채-매도수익률1")</f>
        <v/>
      </c>
      <c r="C28" s="7" t="inlineStr">
        <is>
          <t>%</t>
        </is>
      </c>
    </row>
    <row r="29">
      <c r="A29" s="5" t="inlineStr">
        <is>
          <t>인포맥스 이론가 (참고)</t>
        </is>
      </c>
      <c r="B29" s="18">
        <f>_xll.IMDP("FUT",$B$26,"이론가")</f>
        <v/>
      </c>
      <c r="F29" s="7" t="inlineStr">
        <is>
          <t>B26과 같은 종목코드를 써야 비교가 유효</t>
        </is>
      </c>
    </row>
    <row r="30">
      <c r="A30" s="7" t="inlineStr">
        <is>
          <t>※ 종목1을 실시간으로 못 받으면 B27 을  =B28-2.6/100  처럼 스프레드 파생식으로 바꾸십시오 (원본 파일 방식). 단 스프레드는 수동 갱신이 필요합니다.</t>
        </is>
      </c>
    </row>
    <row r="31">
      <c r="A31" s="5" t="inlineStr">
        <is>
          <t>▶ 적용금리 (방향 반영)</t>
        </is>
      </c>
      <c r="B31" s="20">
        <f>IF($B$19=1,$B$12,$B$13-$B$23/100)</f>
        <v/>
      </c>
      <c r="C31" s="7" t="inlineStr">
        <is>
          <t>%</t>
        </is>
      </c>
      <c r="F31" s="7" t="inlineStr">
        <is>
          <t>매수차익 → 조달금리 B12 그대로.  매도차익 → 담보운용금리 B13 − 대차수수료 B23</t>
        </is>
      </c>
    </row>
    <row r="32">
      <c r="A32" s="3" t="inlineStr">
        <is>
          <t>[3] 바스켓 (2종목)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21" t="inlineStr">
        <is>
          <t>항목</t>
        </is>
      </c>
      <c r="B33" s="21" t="inlineStr">
        <is>
          <t>단위</t>
        </is>
      </c>
      <c r="C33" s="21" t="inlineStr">
        <is>
          <t>종목1</t>
        </is>
      </c>
      <c r="D33" s="21" t="inlineStr">
        <is>
          <t>종목2</t>
        </is>
      </c>
      <c r="E33" s="21" t="inlineStr">
        <is>
          <t>합계</t>
        </is>
      </c>
    </row>
    <row r="34">
      <c r="A34" s="5" t="inlineStr">
        <is>
          <t>종목코드</t>
        </is>
      </c>
      <c r="B34" s="7" t="inlineStr"/>
      <c r="C34" s="14" t="inlineStr">
        <is>
          <t>KR103502GE97</t>
        </is>
      </c>
      <c r="D34" s="14" t="inlineStr">
        <is>
          <t>KR103503GG60</t>
        </is>
      </c>
    </row>
    <row r="35">
      <c r="A35" s="5" t="inlineStr">
        <is>
          <t>종목명</t>
        </is>
      </c>
      <c r="B35" s="7" t="inlineStr"/>
      <c r="C35" s="14" t="inlineStr">
        <is>
          <t>국고 25-5</t>
        </is>
      </c>
      <c r="D35" s="14" t="inlineStr">
        <is>
          <t>국고 25-11</t>
        </is>
      </c>
    </row>
    <row r="36">
      <c r="A36" s="5" t="inlineStr">
        <is>
          <t>표면금리</t>
        </is>
      </c>
      <c r="B36" s="7" t="inlineStr">
        <is>
          <t>%</t>
        </is>
      </c>
      <c r="C36" s="12" t="n">
        <v>2.625</v>
      </c>
      <c r="D36" s="12" t="n">
        <v>3.25</v>
      </c>
    </row>
    <row r="37">
      <c r="A37" s="5" t="inlineStr">
        <is>
          <t>발행일</t>
        </is>
      </c>
      <c r="B37" s="7" t="inlineStr"/>
      <c r="C37" s="9" t="n">
        <v>45818</v>
      </c>
      <c r="D37" s="9" t="n">
        <v>46001</v>
      </c>
    </row>
    <row r="38">
      <c r="A38" s="5" t="inlineStr">
        <is>
          <t>만기일</t>
        </is>
      </c>
      <c r="B38" s="7" t="inlineStr"/>
      <c r="C38" s="9" t="n">
        <v>49470</v>
      </c>
      <c r="D38" s="9" t="n">
        <v>49653</v>
      </c>
      <c r="F38" s="7" t="inlineStr">
        <is>
          <t>이표일을 여기서 6개월씩 역산</t>
        </is>
      </c>
    </row>
    <row r="39">
      <c r="A39" s="5" t="inlineStr">
        <is>
          <t>가중치</t>
        </is>
      </c>
      <c r="B39" s="7" t="inlineStr"/>
      <c r="C39" s="22" t="n">
        <v>0.5</v>
      </c>
      <c r="D39" s="22" t="n">
        <v>0.5</v>
      </c>
      <c r="E39" s="23">
        <f>SUM(C39:D39)</f>
        <v/>
      </c>
      <c r="F39" s="7" t="inlineStr">
        <is>
          <t>KRX 최종결제기준가격은 단순평균 → 2종목이면 0.5</t>
        </is>
      </c>
    </row>
    <row r="40">
      <c r="A40" s="5" t="inlineStr">
        <is>
          <t>수익률 (실시간)</t>
        </is>
      </c>
      <c r="B40" s="7" t="inlineStr">
        <is>
          <t>%</t>
        </is>
      </c>
      <c r="C40" s="19">
        <f>B27</f>
        <v/>
      </c>
      <c r="D40" s="19">
        <f>B28</f>
        <v/>
      </c>
    </row>
    <row r="41">
      <c r="A41" s="5" t="inlineStr">
        <is>
          <t>수익률 (소수)</t>
        </is>
      </c>
      <c r="B41" s="7" t="inlineStr"/>
      <c r="C41" s="24">
        <f>C40/100</f>
        <v/>
      </c>
      <c r="D41" s="24">
        <f>D40/100</f>
        <v/>
      </c>
    </row>
    <row r="42">
      <c r="A42" s="5" t="inlineStr">
        <is>
          <t>차기 이표일 (자동)</t>
        </is>
      </c>
      <c r="B42" s="7" t="inlineStr"/>
      <c r="C42" s="8">
        <f>엔진!$B$80</f>
        <v/>
      </c>
      <c r="D42" s="8">
        <f>엔진!$AF$80</f>
        <v/>
      </c>
      <c r="F42" s="7" t="inlineStr">
        <is>
          <t>◀ 원본 파일은 여기가 하드코딩이라 스테일이었음</t>
        </is>
      </c>
    </row>
    <row r="43">
      <c r="A43" s="5" t="inlineStr">
        <is>
          <t>직전 이표일 (자동)</t>
        </is>
      </c>
      <c r="B43" s="7" t="inlineStr"/>
      <c r="C43" s="8">
        <f>엔진!$B$81</f>
        <v/>
      </c>
      <c r="D43" s="8">
        <f>엔진!$AF$81</f>
        <v/>
      </c>
    </row>
    <row r="44">
      <c r="A44" s="5" t="inlineStr">
        <is>
          <t>현물 단가 (더티)</t>
        </is>
      </c>
      <c r="B44" s="7" t="inlineStr"/>
      <c r="C44" s="20">
        <f>엔진!$B$84</f>
        <v/>
      </c>
      <c r="D44" s="20">
        <f>엔진!$AF$84</f>
        <v/>
      </c>
    </row>
    <row r="45">
      <c r="A45" s="5" t="inlineStr">
        <is>
          <t>현물 BPV</t>
        </is>
      </c>
      <c r="B45" s="7" t="inlineStr">
        <is>
          <t>원/1bp/1억</t>
        </is>
      </c>
      <c r="C45" s="25">
        <f>엔진!$B$87*$B$16</f>
        <v/>
      </c>
      <c r="D45" s="25">
        <f>엔진!$AF$87*$B$16</f>
        <v/>
      </c>
    </row>
    <row r="46">
      <c r="A46" s="5" t="inlineStr">
        <is>
          <t>수정듀레이션</t>
        </is>
      </c>
      <c r="B46" s="7" t="inlineStr">
        <is>
          <t>년</t>
        </is>
      </c>
      <c r="C46" s="26">
        <f>엔진!$B$88</f>
        <v/>
      </c>
      <c r="D46" s="26">
        <f>엔진!$AF$88</f>
        <v/>
      </c>
    </row>
    <row r="47">
      <c r="A47" s="5" t="inlineStr">
        <is>
          <t>기간중 쿠폰 재투자FV</t>
        </is>
      </c>
      <c r="B47" s="7" t="inlineStr"/>
      <c r="C47" s="27">
        <f>엔진!$B$95</f>
        <v/>
      </c>
      <c r="D47" s="27">
        <f>엔진!$AF$95</f>
        <v/>
      </c>
    </row>
    <row r="48">
      <c r="A48" s="5" t="inlineStr">
        <is>
          <t>조달이자</t>
        </is>
      </c>
      <c r="B48" s="7" t="inlineStr"/>
      <c r="C48" s="27">
        <f>엔진!$B$97</f>
        <v/>
      </c>
      <c r="D48" s="27">
        <f>엔진!$AF$97</f>
        <v/>
      </c>
    </row>
    <row r="49">
      <c r="A49" s="5" t="inlineStr">
        <is>
          <t>선도 목표단가 (더티)</t>
        </is>
      </c>
      <c r="B49" s="7" t="inlineStr"/>
      <c r="C49" s="20">
        <f>엔진!$B$98</f>
        <v/>
      </c>
      <c r="D49" s="20">
        <f>엔진!$AF$98</f>
        <v/>
      </c>
      <c r="F49" s="7" t="inlineStr">
        <is>
          <t>현물단가 + 조달이자 − 쿠폰FV</t>
        </is>
      </c>
    </row>
    <row r="50">
      <c r="A50" s="5" t="inlineStr">
        <is>
          <t>▶ 선도 수익률</t>
        </is>
      </c>
      <c r="B50" s="7" t="inlineStr">
        <is>
          <t>%</t>
        </is>
      </c>
      <c r="C50" s="20">
        <f>엔진!$B$109*100</f>
        <v/>
      </c>
      <c r="D50" s="20">
        <f>엔진!$AF$109*100</f>
        <v/>
      </c>
    </row>
    <row r="51">
      <c r="A51" s="5" t="inlineStr">
        <is>
          <t>수렴 잔차</t>
        </is>
      </c>
      <c r="B51" s="7" t="inlineStr"/>
      <c r="C51" s="28">
        <f>엔진!$B$111</f>
        <v/>
      </c>
      <c r="D51" s="28">
        <f>엔진!$AF$111</f>
        <v/>
      </c>
      <c r="F51" s="7" t="inlineStr">
        <is>
          <t>0에 근접해야 정상</t>
        </is>
      </c>
    </row>
    <row r="52">
      <c r="A52" s="5" t="inlineStr">
        <is>
          <t>선도 BPV</t>
        </is>
      </c>
      <c r="B52" s="7" t="inlineStr">
        <is>
          <t>포인트/1bp</t>
        </is>
      </c>
      <c r="C52" s="24">
        <f>엔진!$B$108</f>
        <v/>
      </c>
      <c r="D52" s="24">
        <f>엔진!$AF$108</f>
        <v/>
      </c>
    </row>
    <row r="53">
      <c r="A53" s="5" t="inlineStr">
        <is>
          <t>선도 BPV</t>
        </is>
      </c>
      <c r="B53" s="7" t="inlineStr">
        <is>
          <t>원/1bp/1억</t>
        </is>
      </c>
      <c r="C53" s="25">
        <f>C52*$B$16</f>
        <v/>
      </c>
      <c r="D53" s="25">
        <f>D52*$B$16</f>
        <v/>
      </c>
    </row>
    <row r="54">
      <c r="A54" s="5" t="inlineStr">
        <is>
          <t>캐리 (선도−현물)</t>
        </is>
      </c>
      <c r="B54" s="7" t="inlineStr">
        <is>
          <t>bp</t>
        </is>
      </c>
      <c r="C54" s="29">
        <f>(C50-C40)*100</f>
        <v/>
      </c>
      <c r="D54" s="29">
        <f>(D50-D40)*100</f>
        <v/>
      </c>
    </row>
    <row r="55">
      <c r="A55" s="5" t="inlineStr">
        <is>
          <t>▶ 헤지액면 (계약 1개당)</t>
        </is>
      </c>
      <c r="B55" s="7" t="inlineStr">
        <is>
          <t>원</t>
        </is>
      </c>
      <c r="C55" s="11">
        <f>IFERROR(C39*($B$60/C52)*$B$16*100,0)</f>
        <v/>
      </c>
      <c r="D55" s="11">
        <f>IFERROR(D39*($B$60/D52)*$B$16*100,0)</f>
        <v/>
      </c>
      <c r="E55" s="30">
        <f>SUM(C55:D55)</f>
        <v/>
      </c>
      <c r="F55" s="7" t="inlineStr">
        <is>
          <t>w × (표준물BPV / 선도BPV) × 액면 1억</t>
        </is>
      </c>
    </row>
    <row r="56">
      <c r="A56" s="5" t="inlineStr">
        <is>
          <t>헤지액면 총계 (×Q)</t>
        </is>
      </c>
      <c r="B56" s="7" t="inlineStr">
        <is>
          <t>원</t>
        </is>
      </c>
      <c r="C56" s="15">
        <f>C55*$B$17</f>
        <v/>
      </c>
      <c r="D56" s="15">
        <f>D55*$B$17</f>
        <v/>
      </c>
      <c r="E56" s="30">
        <f>SUM(C56:D56)</f>
        <v/>
      </c>
    </row>
    <row r="57">
      <c r="A57" s="5" t="inlineStr">
        <is>
          <t>실제 보유액면 (입력)</t>
        </is>
      </c>
      <c r="B57" s="7" t="inlineStr">
        <is>
          <t>원</t>
        </is>
      </c>
      <c r="C57" s="6" t="n"/>
      <c r="D57" s="6" t="n"/>
      <c r="E57" s="30">
        <f>SUM(C57:D57)</f>
        <v/>
      </c>
    </row>
    <row r="58">
      <c r="A58" s="5" t="inlineStr">
        <is>
          <t>▶ 적용 액면</t>
        </is>
      </c>
      <c r="B58" s="7" t="inlineStr">
        <is>
          <t>원</t>
        </is>
      </c>
      <c r="C58" s="11">
        <f>IF(C57="",C56,C57)</f>
        <v/>
      </c>
      <c r="D58" s="11">
        <f>IF(D57="",D56,D57)</f>
        <v/>
      </c>
      <c r="E58" s="30">
        <f>SUM(C58:D58)</f>
        <v/>
      </c>
    </row>
    <row r="59">
      <c r="A59" s="3" t="inlineStr">
        <is>
          <t>[4] 이론가 · 베이시스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5" t="inlineStr">
        <is>
          <t>▶ 표준물 BPV</t>
        </is>
      </c>
      <c r="B60" s="31">
        <f>(B62-B61)/2</f>
        <v/>
      </c>
      <c r="C60" s="7" t="inlineStr">
        <is>
          <t>포인트/1bp</t>
        </is>
      </c>
    </row>
    <row r="61">
      <c r="A61" s="5" t="inlineStr">
        <is>
          <t xml:space="preserve">  P(ȳ+1bp)</t>
        </is>
      </c>
      <c r="B61" s="24">
        <f>($B$15*100/($B$65+0.0001))*(1-(1/(1+($B$65+0.0001)/2))^($B$14*2))+100*(1/(1+($B$65+0.0001)/2))^($B$14*2)</f>
        <v/>
      </c>
    </row>
    <row r="62">
      <c r="A62" s="5" t="inlineStr">
        <is>
          <t xml:space="preserve">  P(ȳ−1bp)</t>
        </is>
      </c>
      <c r="B62" s="24">
        <f>($B$15*100/($B$65-0.0001))*(1-(1/(1+($B$65-0.0001)/2))^($B$14*2))+100*(1/(1+($B$65-0.0001)/2))^($B$14*2)</f>
        <v/>
      </c>
    </row>
    <row r="63">
      <c r="A63" s="5" t="inlineStr">
        <is>
          <t>표준물 BPV</t>
        </is>
      </c>
      <c r="B63" s="25">
        <f>B60*$B$16</f>
        <v/>
      </c>
      <c r="C63" s="7" t="inlineStr">
        <is>
          <t>원/1bp/계약</t>
        </is>
      </c>
    </row>
    <row r="64">
      <c r="A64" s="5" t="inlineStr">
        <is>
          <t>바스켓 평균 선도수익률</t>
        </is>
      </c>
      <c r="B64" s="20">
        <f>SUMPRODUCT(C50:D50,C39:D39)/SUM(C39:D39)</f>
        <v/>
      </c>
      <c r="C64" s="7" t="inlineStr">
        <is>
          <t>%</t>
        </is>
      </c>
    </row>
    <row r="65">
      <c r="A65" s="5" t="inlineStr">
        <is>
          <t xml:space="preserve">  (소수)</t>
        </is>
      </c>
      <c r="B65" s="32">
        <f>B64/100</f>
        <v/>
      </c>
    </row>
    <row r="66">
      <c r="A66" s="5" t="inlineStr">
        <is>
          <t>▶ 이론 선물가격</t>
        </is>
      </c>
      <c r="B66" s="20">
        <f>($B$15*100/($B$65))*(1-(1/(1+($B$65)/2))^($B$14*2))+100*(1/(1+($B$65)/2))^($B$14*2)</f>
        <v/>
      </c>
      <c r="F66" s="7" t="inlineStr">
        <is>
          <t>선도금리 기준 — 캐리 반영됨</t>
        </is>
      </c>
    </row>
    <row r="67">
      <c r="A67" s="5" t="inlineStr">
        <is>
          <t>시장 선물가격</t>
        </is>
      </c>
      <c r="B67" s="29">
        <f>B25</f>
        <v/>
      </c>
    </row>
    <row r="68">
      <c r="A68" s="5" t="inlineStr">
        <is>
          <t>▶ 베이시스</t>
        </is>
      </c>
      <c r="B68" s="20">
        <f>B67-B66</f>
        <v/>
      </c>
      <c r="C68" s="7" t="inlineStr">
        <is>
          <t>포인트</t>
        </is>
      </c>
    </row>
    <row r="69">
      <c r="A69" s="5" t="inlineStr">
        <is>
          <t>▶ 베이시스</t>
        </is>
      </c>
      <c r="B69" s="11">
        <f>B68*$B$16</f>
        <v/>
      </c>
      <c r="C69" s="7" t="inlineStr">
        <is>
          <t>원/계약</t>
        </is>
      </c>
    </row>
    <row r="70">
      <c r="A70" s="5" t="inlineStr">
        <is>
          <t>총 거래비용</t>
        </is>
      </c>
      <c r="B70" s="15">
        <f>$B$22</f>
        <v/>
      </c>
      <c r="C70" s="7" t="inlineStr">
        <is>
          <t>원/계약</t>
        </is>
      </c>
    </row>
    <row r="71">
      <c r="A71" s="5" t="inlineStr">
        <is>
          <t>▶ 순차익</t>
        </is>
      </c>
      <c r="B71" s="11">
        <f>ABS(B69)-B70</f>
        <v/>
      </c>
      <c r="C71" s="7" t="inlineStr">
        <is>
          <t>원/계약</t>
        </is>
      </c>
    </row>
    <row r="72">
      <c r="A72" s="5" t="inlineStr">
        <is>
          <t>▶ 총 순차익</t>
        </is>
      </c>
      <c r="B72" s="11">
        <f>B71*$B$17</f>
        <v/>
      </c>
      <c r="C72" s="7" t="inlineStr">
        <is>
          <t>원</t>
        </is>
      </c>
    </row>
    <row r="73">
      <c r="A73" s="5" t="inlineStr">
        <is>
          <t>권장 포지션</t>
        </is>
      </c>
      <c r="B73" s="33">
        <f>IF(B68&gt;0,"매수차익 (바스켓매수+선물매도)",IF(B68&lt;0,"매도차익 (바스켓매도+선물매수)","중립"))</f>
        <v/>
      </c>
    </row>
    <row r="74">
      <c r="A74" s="5" t="inlineStr">
        <is>
          <t>판정</t>
        </is>
      </c>
      <c r="B74" s="33">
        <f>IF(B71&gt;0,"차익거래 가능","비용 미달 — 관망")</f>
        <v/>
      </c>
    </row>
    <row r="75">
      <c r="A75" s="5" t="inlineStr">
        <is>
          <t>▶ 적용액면 기준 필요 계약수</t>
        </is>
      </c>
      <c r="B75" s="17">
        <f>IFERROR($E$58/($C$55+$D$55),0)</f>
        <v/>
      </c>
      <c r="C75" s="7" t="inlineStr">
        <is>
          <t>계약</t>
        </is>
      </c>
      <c r="F75" s="7" t="inlineStr">
        <is>
          <t>실제 보유액면(57행)을 직접 넣었다면 B17 을 이 값으로 맞춰야 헤지가 성립한다</t>
        </is>
      </c>
    </row>
    <row r="76">
      <c r="A76" s="5" t="inlineStr">
        <is>
          <t>▶ 바스켓 평균 현물수익률</t>
        </is>
      </c>
      <c r="B76" s="27">
        <f>SUMPRODUCT(C40:D40,C39:D39)/SUM(C39:D39)</f>
        <v/>
      </c>
      <c r="C76" s="7" t="inlineStr">
        <is>
          <t>%</t>
        </is>
      </c>
    </row>
    <row r="77">
      <c r="A77" s="5" t="inlineStr">
        <is>
          <t>[참고] 현물금리 기준 이론가</t>
        </is>
      </c>
      <c r="B77" s="27">
        <f>($B$15*100/($B$76/100))*(1-(1/(1+($B$76/100)/2))^($B$14*2))+100*(1/(1+($B$76/100)/2))^($B$14*2)</f>
        <v/>
      </c>
      <c r="F77" s="7" t="inlineStr">
        <is>
          <t>◀ 원본 파일 방식. 아래 차이만큼 캐리가 이미 들어있음</t>
        </is>
      </c>
    </row>
    <row r="78">
      <c r="A78" s="5" t="inlineStr">
        <is>
          <t>[참고] 위 둘의 차이 = 캐리</t>
        </is>
      </c>
      <c r="B78" s="15">
        <f>(B77-B66)*$B$16</f>
        <v/>
      </c>
      <c r="C78" s="7" t="inlineStr">
        <is>
          <t>원/계약</t>
        </is>
      </c>
      <c r="F78" s="7" t="inlineStr">
        <is>
          <t>이 값을 캐리로 또 더하면 이중계상</t>
        </is>
      </c>
    </row>
    <row r="79">
      <c r="A79" s="5" t="inlineStr">
        <is>
          <t>[참고] 인포맥스 이론가</t>
        </is>
      </c>
      <c r="B79" s="29">
        <f>B29</f>
        <v/>
      </c>
    </row>
    <row r="80">
      <c r="A80" s="5" t="inlineStr">
        <is>
          <t>[참고] 인포맥스 − 자체</t>
        </is>
      </c>
      <c r="B80" s="27">
        <f>IFERROR(B79-B66,"")</f>
        <v/>
      </c>
      <c r="C80" s="7" t="inlineStr">
        <is>
          <t>포인트</t>
        </is>
      </c>
    </row>
    <row r="81">
      <c r="A81" s="5" t="inlineStr">
        <is>
          <t>▶ 순 BPV 노출 (현물 − 선물)</t>
        </is>
      </c>
      <c r="B81" s="11">
        <f>C52/100*C58+D52/100*D58-$B$60*$B$16*$B$17</f>
        <v/>
      </c>
      <c r="C81" s="7" t="inlineStr">
        <is>
          <t>원/1bp</t>
        </is>
      </c>
      <c r="D81" s="34">
        <f>IF(ABS($B$81)&lt;=$B$60*$B$16*$B$17*0.005,"○ 헤지 정합","✕ 계약수(B17) 또는 액면(57행) 조정 필요")</f>
        <v/>
      </c>
      <c r="F81" s="7" t="inlineStr">
        <is>
          <t>0 이어야 정상. ±100bp 시 이 값의 100배가 그대로 손익으로 남는다</t>
        </is>
      </c>
    </row>
    <row r="82">
      <c r="A82" s="3" t="inlineStr">
        <is>
          <t>[5] 만기 손익   ◆ 바스켓 1단위 = 선물 1계약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5" t="inlineStr">
        <is>
          <t>만기 수익률 shift (현재 현물금리 대비)</t>
        </is>
      </c>
      <c r="B83" s="16" t="n">
        <v>0</v>
      </c>
      <c r="C83" s="7" t="inlineStr">
        <is>
          <t>bp</t>
        </is>
      </c>
      <c r="F83" s="7" t="inlineStr">
        <is>
          <t>0 = 현물금리 무변동.  선도수익률로 수렴하는 경우는 +(선도−현물) bp 를 넣는다</t>
        </is>
      </c>
    </row>
    <row r="84">
      <c r="A84" s="5" t="inlineStr">
        <is>
          <t>만기 바스켓 평균수익률</t>
        </is>
      </c>
      <c r="B84" s="27">
        <f>B76+B83/100</f>
        <v/>
      </c>
      <c r="C84" s="7" t="inlineStr">
        <is>
          <t>%</t>
        </is>
      </c>
    </row>
    <row r="85">
      <c r="A85" s="5" t="inlineStr">
        <is>
          <t>▶ 최종결제기준가격</t>
        </is>
      </c>
      <c r="B85" s="20">
        <f>($B$15*100/($B$84/100))*(1-(1/(1+($B$84/100)/2))^($B$14*2))+100*(1/(1+($B$84/100)/2))^($B$14*2)</f>
        <v/>
      </c>
    </row>
    <row r="86">
      <c r="A86" s="5" t="inlineStr">
        <is>
          <t>선물 leg</t>
        </is>
      </c>
      <c r="B86" s="15">
        <f>($B$21-B85)*$B$19*$B$16*$B$17</f>
        <v/>
      </c>
      <c r="C86" s="7" t="inlineStr">
        <is>
          <t>원</t>
        </is>
      </c>
    </row>
    <row r="87">
      <c r="A87" s="5" t="inlineStr">
        <is>
          <t>현물 leg</t>
        </is>
      </c>
      <c r="B87" s="15">
        <f>$B$19*((엔진!$B$114-C49)/100*C58+(엔진!$AF$114-D49)/100*D58)</f>
        <v/>
      </c>
      <c r="C87" s="7" t="inlineStr">
        <is>
          <t>원</t>
        </is>
      </c>
    </row>
    <row r="88">
      <c r="A88" s="5" t="inlineStr">
        <is>
          <t>거래비용</t>
        </is>
      </c>
      <c r="B88" s="15">
        <f>-$B$22*$B$17</f>
        <v/>
      </c>
      <c r="C88" s="7" t="inlineStr">
        <is>
          <t>원</t>
        </is>
      </c>
    </row>
    <row r="89">
      <c r="A89" s="5" t="inlineStr">
        <is>
          <t>▶ 순 만기손익</t>
        </is>
      </c>
      <c r="B89" s="11">
        <f>B86+B87+B88</f>
        <v/>
      </c>
      <c r="C89" s="7" t="inlineStr">
        <is>
          <t>원</t>
        </is>
      </c>
    </row>
    <row r="90">
      <c r="A90" s="5" t="inlineStr">
        <is>
          <t>▶ 바스켓 1단위당</t>
        </is>
      </c>
      <c r="B90" s="11">
        <f>IFERROR(B89/$B$17,0)</f>
        <v/>
      </c>
      <c r="C90" s="7" t="inlineStr">
        <is>
          <t>원/계약</t>
        </is>
      </c>
    </row>
    <row r="91">
      <c r="A91" s="5" t="inlineStr">
        <is>
          <t>바스켓 투자금액</t>
        </is>
      </c>
      <c r="B91" s="15">
        <f>SUMPRODUCT(C44:D44,C58:D58)/100</f>
        <v/>
      </c>
      <c r="C91" s="7" t="inlineStr">
        <is>
          <t>원</t>
        </is>
      </c>
    </row>
    <row r="92">
      <c r="A92" s="5" t="inlineStr">
        <is>
          <t>연환산 수익률</t>
        </is>
      </c>
      <c r="B92" s="35">
        <f>IF(AND(B91&gt;0,B11&gt;0),B89/B91*365/B11*100,"")</f>
        <v/>
      </c>
      <c r="C92" s="7" t="inlineStr">
        <is>
          <t>%</t>
        </is>
      </c>
    </row>
    <row r="93">
      <c r="A93" s="5" t="inlineStr">
        <is>
          <t>참고: 선도수익률 수렴 시 shift</t>
        </is>
      </c>
      <c r="B93" s="29">
        <f>(B64-B76)*100</f>
        <v/>
      </c>
      <c r="C93" s="7" t="inlineStr">
        <is>
          <t>bp</t>
        </is>
      </c>
      <c r="F93" s="7" t="inlineStr">
        <is>
          <t>이 값을 B83 에 넣으면 결제가가 이론 선물가격(B66)과 같아진다</t>
        </is>
      </c>
    </row>
    <row r="94">
      <c r="A94" s="3" t="inlineStr">
        <is>
          <t>[6] 시나리오 — 헤지 유효성 (정밀 재할인)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36" t="inlineStr">
        <is>
          <t>shift(bp)</t>
        </is>
      </c>
      <c r="B95" s="36" t="inlineStr">
        <is>
          <t>평균수익률(%)</t>
        </is>
      </c>
      <c r="C95" s="36" t="inlineStr">
        <is>
          <t>최종결제가</t>
        </is>
      </c>
      <c r="D95" s="36" t="inlineStr">
        <is>
          <t>선물 leg(원)</t>
        </is>
      </c>
      <c r="E95" s="36" t="inlineStr">
        <is>
          <t>현물 leg(원)</t>
        </is>
      </c>
      <c r="F95" s="36" t="inlineStr">
        <is>
          <t>순 만기손익(원)</t>
        </is>
      </c>
      <c r="G95" s="36" t="inlineStr">
        <is>
          <t>계약당(원)</t>
        </is>
      </c>
    </row>
    <row r="96">
      <c r="A96" s="37" t="n">
        <v>-100</v>
      </c>
      <c r="B96" s="27">
        <f>$B$76+$A96/100</f>
        <v/>
      </c>
      <c r="C96" s="27">
        <f>($B$15*100/($B96/100))*(1-(1/(1+($B96/100)/2))^($B$14*2))+100*(1/(1+($B96/100)/2))^($B$14*2)</f>
        <v/>
      </c>
      <c r="D96" s="15">
        <f>($B$21-$C96)*$B$19*$B$16*$B$17</f>
        <v/>
      </c>
      <c r="E96" s="15">
        <f>$B$19*((엔진!$B$115-$C$49)/100*$C$58+(엔진!$AF$115-$D$49)/100*$D$58)</f>
        <v/>
      </c>
      <c r="F96" s="15">
        <f>$D96+$E96-$B$22*$B$17</f>
        <v/>
      </c>
      <c r="G96" s="15">
        <f>IFERROR($F96/$B$17,0)</f>
        <v/>
      </c>
    </row>
    <row r="97">
      <c r="A97" s="37" t="n">
        <v>-75</v>
      </c>
      <c r="B97" s="27">
        <f>$B$76+$A97/100</f>
        <v/>
      </c>
      <c r="C97" s="27">
        <f>($B$15*100/($B97/100))*(1-(1/(1+($B97/100)/2))^($B$14*2))+100*(1/(1+($B97/100)/2))^($B$14*2)</f>
        <v/>
      </c>
      <c r="D97" s="15">
        <f>($B$21-$C97)*$B$19*$B$16*$B$17</f>
        <v/>
      </c>
      <c r="E97" s="15">
        <f>$B$19*((엔진!$B$116-$C$49)/100*$C$58+(엔진!$AF$116-$D$49)/100*$D$58)</f>
        <v/>
      </c>
      <c r="F97" s="15">
        <f>$D97+$E97-$B$22*$B$17</f>
        <v/>
      </c>
      <c r="G97" s="15">
        <f>IFERROR($F97/$B$17,0)</f>
        <v/>
      </c>
    </row>
    <row r="98">
      <c r="A98" s="37" t="n">
        <v>-50</v>
      </c>
      <c r="B98" s="27">
        <f>$B$76+$A98/100</f>
        <v/>
      </c>
      <c r="C98" s="27">
        <f>($B$15*100/($B98/100))*(1-(1/(1+($B98/100)/2))^($B$14*2))+100*(1/(1+($B98/100)/2))^($B$14*2)</f>
        <v/>
      </c>
      <c r="D98" s="15">
        <f>($B$21-$C98)*$B$19*$B$16*$B$17</f>
        <v/>
      </c>
      <c r="E98" s="15">
        <f>$B$19*((엔진!$B$117-$C$49)/100*$C$58+(엔진!$AF$117-$D$49)/100*$D$58)</f>
        <v/>
      </c>
      <c r="F98" s="15">
        <f>$D98+$E98-$B$22*$B$17</f>
        <v/>
      </c>
      <c r="G98" s="15">
        <f>IFERROR($F98/$B$17,0)</f>
        <v/>
      </c>
    </row>
    <row r="99">
      <c r="A99" s="37" t="n">
        <v>-25</v>
      </c>
      <c r="B99" s="27">
        <f>$B$76+$A99/100</f>
        <v/>
      </c>
      <c r="C99" s="27">
        <f>($B$15*100/($B99/100))*(1-(1/(1+($B99/100)/2))^($B$14*2))+100*(1/(1+($B99/100)/2))^($B$14*2)</f>
        <v/>
      </c>
      <c r="D99" s="15">
        <f>($B$21-$C99)*$B$19*$B$16*$B$17</f>
        <v/>
      </c>
      <c r="E99" s="15">
        <f>$B$19*((엔진!$B$118-$C$49)/100*$C$58+(엔진!$AF$118-$D$49)/100*$D$58)</f>
        <v/>
      </c>
      <c r="F99" s="15">
        <f>$D99+$E99-$B$22*$B$17</f>
        <v/>
      </c>
      <c r="G99" s="15">
        <f>IFERROR($F99/$B$17,0)</f>
        <v/>
      </c>
    </row>
    <row r="100">
      <c r="A100" s="38" t="n">
        <v>0</v>
      </c>
      <c r="B100" s="39">
        <f>$B$76+$A100/100</f>
        <v/>
      </c>
      <c r="C100" s="39">
        <f>($B$15*100/($B100/100))*(1-(1/(1+($B100/100)/2))^($B$14*2))+100*(1/(1+($B100/100)/2))^($B$14*2)</f>
        <v/>
      </c>
      <c r="D100" s="40">
        <f>($B$21-$C100)*$B$19*$B$16*$B$17</f>
        <v/>
      </c>
      <c r="E100" s="40">
        <f>$B$19*((엔진!$B$119-$C$49)/100*$C$58+(엔진!$AF$119-$D$49)/100*$D$58)</f>
        <v/>
      </c>
      <c r="F100" s="40">
        <f>$D100+$E100-$B$22*$B$17</f>
        <v/>
      </c>
      <c r="G100" s="40">
        <f>IFERROR($F100/$B$17,0)</f>
        <v/>
      </c>
    </row>
    <row r="101">
      <c r="A101" s="37" t="n">
        <v>25</v>
      </c>
      <c r="B101" s="27">
        <f>$B$76+$A101/100</f>
        <v/>
      </c>
      <c r="C101" s="27">
        <f>($B$15*100/($B101/100))*(1-(1/(1+($B101/100)/2))^($B$14*2))+100*(1/(1+($B101/100)/2))^($B$14*2)</f>
        <v/>
      </c>
      <c r="D101" s="15">
        <f>($B$21-$C101)*$B$19*$B$16*$B$17</f>
        <v/>
      </c>
      <c r="E101" s="15">
        <f>$B$19*((엔진!$B$120-$C$49)/100*$C$58+(엔진!$AF$120-$D$49)/100*$D$58)</f>
        <v/>
      </c>
      <c r="F101" s="15">
        <f>$D101+$E101-$B$22*$B$17</f>
        <v/>
      </c>
      <c r="G101" s="15">
        <f>IFERROR($F101/$B$17,0)</f>
        <v/>
      </c>
    </row>
    <row r="102">
      <c r="A102" s="37" t="n">
        <v>50</v>
      </c>
      <c r="B102" s="27">
        <f>$B$76+$A102/100</f>
        <v/>
      </c>
      <c r="C102" s="27">
        <f>($B$15*100/($B102/100))*(1-(1/(1+($B102/100)/2))^($B$14*2))+100*(1/(1+($B102/100)/2))^($B$14*2)</f>
        <v/>
      </c>
      <c r="D102" s="15">
        <f>($B$21-$C102)*$B$19*$B$16*$B$17</f>
        <v/>
      </c>
      <c r="E102" s="15">
        <f>$B$19*((엔진!$B$121-$C$49)/100*$C$58+(엔진!$AF$121-$D$49)/100*$D$58)</f>
        <v/>
      </c>
      <c r="F102" s="15">
        <f>$D102+$E102-$B$22*$B$17</f>
        <v/>
      </c>
      <c r="G102" s="15">
        <f>IFERROR($F102/$B$17,0)</f>
        <v/>
      </c>
    </row>
    <row r="103">
      <c r="A103" s="37" t="n">
        <v>75</v>
      </c>
      <c r="B103" s="27">
        <f>$B$76+$A103/100</f>
        <v/>
      </c>
      <c r="C103" s="27">
        <f>($B$15*100/($B103/100))*(1-(1/(1+($B103/100)/2))^($B$14*2))+100*(1/(1+($B103/100)/2))^($B$14*2)</f>
        <v/>
      </c>
      <c r="D103" s="15">
        <f>($B$21-$C103)*$B$19*$B$16*$B$17</f>
        <v/>
      </c>
      <c r="E103" s="15">
        <f>$B$19*((엔진!$B$122-$C$49)/100*$C$58+(엔진!$AF$122-$D$49)/100*$D$58)</f>
        <v/>
      </c>
      <c r="F103" s="15">
        <f>$D103+$E103-$B$22*$B$17</f>
        <v/>
      </c>
      <c r="G103" s="15">
        <f>IFERROR($F103/$B$17,0)</f>
        <v/>
      </c>
    </row>
    <row r="104">
      <c r="A104" s="37" t="n">
        <v>100</v>
      </c>
      <c r="B104" s="27">
        <f>$B$76+$A104/100</f>
        <v/>
      </c>
      <c r="C104" s="27">
        <f>($B$15*100/($B104/100))*(1-(1/(1+($B104/100)/2))^($B$14*2))+100*(1/(1+($B104/100)/2))^($B$14*2)</f>
        <v/>
      </c>
      <c r="D104" s="15">
        <f>($B$21-$C104)*$B$19*$B$16*$B$17</f>
        <v/>
      </c>
      <c r="E104" s="15">
        <f>$B$19*((엔진!$B$123-$C$49)/100*$C$58+(엔진!$AF$123-$D$49)/100*$D$58)</f>
        <v/>
      </c>
      <c r="F104" s="15">
        <f>$D104+$E104-$B$22*$B$17</f>
        <v/>
      </c>
      <c r="G104" s="15">
        <f>IFERROR($F104/$B$17,0)</f>
        <v/>
      </c>
    </row>
    <row r="106">
      <c r="A106" s="5" t="inlineStr">
        <is>
          <t>손익 최대</t>
        </is>
      </c>
      <c r="B106" s="11">
        <f>MAX(F96:F104)</f>
        <v/>
      </c>
      <c r="C106" s="7" t="inlineStr">
        <is>
          <t>원</t>
        </is>
      </c>
    </row>
    <row r="107">
      <c r="A107" s="5" t="inlineStr">
        <is>
          <t>손익 최소</t>
        </is>
      </c>
      <c r="B107" s="11">
        <f>MIN(F96:F104)</f>
        <v/>
      </c>
      <c r="C107" s="7" t="inlineStr">
        <is>
          <t>원</t>
        </is>
      </c>
    </row>
    <row r="108">
      <c r="A108" s="5" t="inlineStr">
        <is>
          <t>변동폭 (헤지 잔여리스크)</t>
        </is>
      </c>
      <c r="B108" s="11">
        <f>B106-B107</f>
        <v/>
      </c>
      <c r="C108" s="7" t="inlineStr">
        <is>
          <t>원</t>
        </is>
      </c>
    </row>
    <row r="110">
      <c r="A110" s="7" t="inlineStr">
        <is>
          <t>※ BPV 헤지가 정확하면 순 만기손익이 shift와 무관하게 평평해야 합니다. 남는 변동은 표준물(5% 쿠폰)과 바스켓(저쿠폰)의 컨벡시티 차이이며 BPV 헤지로는 제거되지 않는 구조적 잔여리스크입니다.</t>
        </is>
      </c>
    </row>
    <row r="111">
      <c r="A111" s="7" t="inlineStr">
        <is>
          <t>※ 현재 종목코드·수익률은 원본 파일에서 가져온 값입니다. 결제월이 바뀌면 [1] 결제월과 [3] 바스켓 종목을 KRX 공시 기준으로 갱신하십시오.</t>
        </is>
      </c>
    </row>
  </sheetData>
  <dataValidations count="1">
    <dataValidation sqref="B18" showDropDown="0" showInputMessage="0" showErrorMessage="0" allowBlank="1" type="list">
      <formula1>"매수차익 (바스켓매수+선물매도),매도차익 (바스켓매도+선물매수)"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2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20" customWidth="1" min="31" max="31"/>
    <col width="13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</cols>
  <sheetData>
    <row r="1">
      <c r="A1" s="1" t="inlineStr">
        <is>
          <t>계산 엔진 — 이표 스케줄 / 한국 관행식 단가 / 선도수익률 (직접 수정 금지)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5" t="inlineStr">
        <is>
          <t>만기일</t>
        </is>
      </c>
      <c r="B2" s="8">
        <f>메인!C38</f>
        <v/>
      </c>
      <c r="AE2" s="5" t="inlineStr">
        <is>
          <t>만기일</t>
        </is>
      </c>
      <c r="AF2" s="8">
        <f>메인!D38</f>
        <v/>
      </c>
    </row>
    <row r="3">
      <c r="A3" s="5" t="inlineStr">
        <is>
          <t>발행일</t>
        </is>
      </c>
      <c r="B3" s="8">
        <f>메인!C37</f>
        <v/>
      </c>
      <c r="AE3" s="5" t="inlineStr">
        <is>
          <t>발행일</t>
        </is>
      </c>
      <c r="AF3" s="8">
        <f>메인!D37</f>
        <v/>
      </c>
    </row>
    <row r="4">
      <c r="A4" s="5" t="inlineStr">
        <is>
          <t>표면금리(소수)</t>
        </is>
      </c>
      <c r="B4" s="24">
        <f>메인!C36/100</f>
        <v/>
      </c>
      <c r="AE4" s="5" t="inlineStr">
        <is>
          <t>표면금리(소수)</t>
        </is>
      </c>
      <c r="AF4" s="24">
        <f>메인!D36/100</f>
        <v/>
      </c>
    </row>
    <row r="5">
      <c r="A5" s="5" t="inlineStr">
        <is>
          <t>반기쿠폰</t>
        </is>
      </c>
      <c r="B5" s="24">
        <f>B4*100/2</f>
        <v/>
      </c>
      <c r="AE5" s="5" t="inlineStr">
        <is>
          <t>반기쿠폰</t>
        </is>
      </c>
      <c r="AF5" s="24">
        <f>AF4*100/2</f>
        <v/>
      </c>
    </row>
    <row r="6">
      <c r="A6" s="5" t="inlineStr">
        <is>
          <t>현물결제일 S0</t>
        </is>
      </c>
      <c r="B6" s="8">
        <f>메인!$B$10</f>
        <v/>
      </c>
      <c r="AE6" s="5" t="inlineStr">
        <is>
          <t>현물결제일 S0</t>
        </is>
      </c>
      <c r="AF6" s="8">
        <f>메인!$B$10</f>
        <v/>
      </c>
    </row>
    <row r="7">
      <c r="A7" s="5" t="inlineStr">
        <is>
          <t>정산기준일 H</t>
        </is>
      </c>
      <c r="B7" s="8">
        <f>메인!$B$8</f>
        <v/>
      </c>
      <c r="AE7" s="5" t="inlineStr">
        <is>
          <t>정산기준일 H</t>
        </is>
      </c>
      <c r="AF7" s="8">
        <f>메인!$B$8</f>
        <v/>
      </c>
    </row>
    <row r="8">
      <c r="A8" s="5" t="inlineStr">
        <is>
          <t>현물수익률(소수)</t>
        </is>
      </c>
      <c r="B8" s="24">
        <f>메인!C41</f>
        <v/>
      </c>
      <c r="AE8" s="5" t="inlineStr">
        <is>
          <t>현물수익률(소수)</t>
        </is>
      </c>
      <c r="AF8" s="24">
        <f>메인!D41</f>
        <v/>
      </c>
    </row>
    <row r="9">
      <c r="A9" s="5" t="inlineStr">
        <is>
          <t>적용금리(소수)</t>
        </is>
      </c>
      <c r="B9" s="24">
        <f>메인!$B$31/100</f>
        <v/>
      </c>
      <c r="AE9" s="5" t="inlineStr">
        <is>
          <t>적용금리(소수)</t>
        </is>
      </c>
      <c r="AF9" s="24">
        <f>메인!$B$31/100</f>
        <v/>
      </c>
    </row>
    <row r="10">
      <c r="A10" s="5" t="inlineStr">
        <is>
          <t>손익 shift(bp)</t>
        </is>
      </c>
      <c r="B10" s="24">
        <f>메인!$B$83</f>
        <v/>
      </c>
      <c r="AE10" s="5" t="inlineStr">
        <is>
          <t>손익 shift(bp)</t>
        </is>
      </c>
      <c r="AF10" s="24">
        <f>메인!$B$83</f>
        <v/>
      </c>
    </row>
    <row r="12">
      <c r="A12" s="41" t="inlineStr">
        <is>
          <t>■ 종목1</t>
        </is>
      </c>
      <c r="AE12" s="41" t="inlineStr">
        <is>
          <t>■ 종목2</t>
        </is>
      </c>
    </row>
    <row r="14">
      <c r="A14" s="36" t="inlineStr">
        <is>
          <t>k</t>
        </is>
      </c>
      <c r="B14" s="36" t="inlineStr">
        <is>
          <t>이표일</t>
        </is>
      </c>
      <c r="C14" s="36" t="inlineStr">
        <is>
          <t>CF</t>
        </is>
      </c>
      <c r="D14" s="36" t="inlineStr">
        <is>
          <t>현물포함</t>
        </is>
      </c>
      <c r="E14" s="36" t="inlineStr">
        <is>
          <t>현물idx</t>
        </is>
      </c>
      <c r="F14" s="36" t="inlineStr">
        <is>
          <t>PV@y</t>
        </is>
      </c>
      <c r="G14" s="36" t="inlineStr">
        <is>
          <t>PV@y+</t>
        </is>
      </c>
      <c r="H14" s="36" t="inlineStr">
        <is>
          <t>PV@y−</t>
        </is>
      </c>
      <c r="I14" s="36" t="inlineStr">
        <is>
          <t>선도포함</t>
        </is>
      </c>
      <c r="J14" s="36" t="inlineStr">
        <is>
          <t>선도idx</t>
        </is>
      </c>
      <c r="K14" s="36" t="inlineStr">
        <is>
          <t>PH@y0</t>
        </is>
      </c>
      <c r="L14" s="36" t="inlineStr">
        <is>
          <t>PH@y0+</t>
        </is>
      </c>
      <c r="M14" s="36" t="inlineStr">
        <is>
          <t>PH@y0−</t>
        </is>
      </c>
      <c r="N14" s="36" t="inlineStr">
        <is>
          <t>PH@y1</t>
        </is>
      </c>
      <c r="O14" s="36" t="inlineStr">
        <is>
          <t>PH@y1+</t>
        </is>
      </c>
      <c r="P14" s="36" t="inlineStr">
        <is>
          <t>PH@y1−</t>
        </is>
      </c>
      <c r="Q14" s="36" t="inlineStr">
        <is>
          <t>PH@y2</t>
        </is>
      </c>
      <c r="R14" s="36" t="inlineStr">
        <is>
          <t>쿠폰FV</t>
        </is>
      </c>
      <c r="S14" s="36" t="inlineStr">
        <is>
          <t>PH@손익</t>
        </is>
      </c>
      <c r="T14" s="36" t="inlineStr">
        <is>
          <t>PH@S1</t>
        </is>
      </c>
      <c r="U14" s="36" t="inlineStr">
        <is>
          <t>PH@S2</t>
        </is>
      </c>
      <c r="V14" s="36" t="inlineStr">
        <is>
          <t>PH@S3</t>
        </is>
      </c>
      <c r="W14" s="36" t="inlineStr">
        <is>
          <t>PH@S4</t>
        </is>
      </c>
      <c r="X14" s="36" t="inlineStr">
        <is>
          <t>PH@S5</t>
        </is>
      </c>
      <c r="Y14" s="36" t="inlineStr">
        <is>
          <t>PH@S6</t>
        </is>
      </c>
      <c r="Z14" s="36" t="inlineStr">
        <is>
          <t>PH@S7</t>
        </is>
      </c>
      <c r="AA14" s="36" t="inlineStr">
        <is>
          <t>PH@S8</t>
        </is>
      </c>
      <c r="AB14" s="36" t="inlineStr">
        <is>
          <t>PH@S9</t>
        </is>
      </c>
      <c r="AE14" s="36" t="inlineStr">
        <is>
          <t>k</t>
        </is>
      </c>
      <c r="AF14" s="36" t="inlineStr">
        <is>
          <t>이표일</t>
        </is>
      </c>
      <c r="AG14" s="36" t="inlineStr">
        <is>
          <t>CF</t>
        </is>
      </c>
      <c r="AH14" s="36" t="inlineStr">
        <is>
          <t>현물포함</t>
        </is>
      </c>
      <c r="AI14" s="36" t="inlineStr">
        <is>
          <t>현물idx</t>
        </is>
      </c>
      <c r="AJ14" s="36" t="inlineStr">
        <is>
          <t>PV@y</t>
        </is>
      </c>
      <c r="AK14" s="36" t="inlineStr">
        <is>
          <t>PV@y+</t>
        </is>
      </c>
      <c r="AL14" s="36" t="inlineStr">
        <is>
          <t>PV@y−</t>
        </is>
      </c>
      <c r="AM14" s="36" t="inlineStr">
        <is>
          <t>선도포함</t>
        </is>
      </c>
      <c r="AN14" s="36" t="inlineStr">
        <is>
          <t>선도idx</t>
        </is>
      </c>
      <c r="AO14" s="36" t="inlineStr">
        <is>
          <t>PH@y0</t>
        </is>
      </c>
      <c r="AP14" s="36" t="inlineStr">
        <is>
          <t>PH@y0+</t>
        </is>
      </c>
      <c r="AQ14" s="36" t="inlineStr">
        <is>
          <t>PH@y0−</t>
        </is>
      </c>
      <c r="AR14" s="36" t="inlineStr">
        <is>
          <t>PH@y1</t>
        </is>
      </c>
      <c r="AS14" s="36" t="inlineStr">
        <is>
          <t>PH@y1+</t>
        </is>
      </c>
      <c r="AT14" s="36" t="inlineStr">
        <is>
          <t>PH@y1−</t>
        </is>
      </c>
      <c r="AU14" s="36" t="inlineStr">
        <is>
          <t>PH@y2</t>
        </is>
      </c>
      <c r="AV14" s="36" t="inlineStr">
        <is>
          <t>쿠폰FV</t>
        </is>
      </c>
      <c r="AW14" s="36" t="inlineStr">
        <is>
          <t>PH@손익</t>
        </is>
      </c>
      <c r="AX14" s="36" t="inlineStr">
        <is>
          <t>PH@S1</t>
        </is>
      </c>
      <c r="AY14" s="36" t="inlineStr">
        <is>
          <t>PH@S2</t>
        </is>
      </c>
      <c r="AZ14" s="36" t="inlineStr">
        <is>
          <t>PH@S3</t>
        </is>
      </c>
      <c r="BA14" s="36" t="inlineStr">
        <is>
          <t>PH@S4</t>
        </is>
      </c>
      <c r="BB14" s="36" t="inlineStr">
        <is>
          <t>PH@S5</t>
        </is>
      </c>
      <c r="BC14" s="36" t="inlineStr">
        <is>
          <t>PH@S6</t>
        </is>
      </c>
      <c r="BD14" s="36" t="inlineStr">
        <is>
          <t>PH@S7</t>
        </is>
      </c>
      <c r="BE14" s="36" t="inlineStr">
        <is>
          <t>PH@S8</t>
        </is>
      </c>
      <c r="BF14" s="36" t="inlineStr">
        <is>
          <t>PH@S9</t>
        </is>
      </c>
    </row>
    <row r="15">
      <c r="A15" s="42" t="n">
        <v>1</v>
      </c>
      <c r="B15" s="43">
        <f>EDATE($B$2,-6*(62-$A15))</f>
        <v/>
      </c>
      <c r="C15" s="44">
        <f>IF(AND(B15&gt;$B$3,B15&lt;=$B$2),IF(B15=$B$2,$B$5+100,$B$5),0)</f>
        <v/>
      </c>
      <c r="D15" s="42">
        <f>IF(AND($C15&gt;0,B15&gt;$B$6),1,0)</f>
        <v/>
      </c>
      <c r="E15" s="42">
        <f>IF(D15=1,SUM($D$15:D15),"")</f>
        <v/>
      </c>
      <c r="F15" s="44">
        <f>IF(D15=1,$C15/(1+$B$8/2)^(E15-1),0)</f>
        <v/>
      </c>
      <c r="G15" s="44">
        <f>IF(D15=1,$C15/(1+($B$8+0.0001)/2)^(E15-1),0)</f>
        <v/>
      </c>
      <c r="H15" s="44">
        <f>IF(D15=1,$C15/(1+($B$8-0.0001)/2)^(E15-1),0)</f>
        <v/>
      </c>
      <c r="I15" s="42">
        <f>IF(AND($C15&gt;0,B15&gt;$B$7),1,0)</f>
        <v/>
      </c>
      <c r="J15" s="42">
        <f>IF(I15=1,SUM($I$15:I15),"")</f>
        <v/>
      </c>
      <c r="K15" s="44">
        <f>IF(I15=1,$C15/(1+$B$99/2)^(J15-1),0)</f>
        <v/>
      </c>
      <c r="L15" s="44">
        <f>IF(I15=1,$C15/(1+($B$99+0.0001)/2)^(J15-1),0)</f>
        <v/>
      </c>
      <c r="M15" s="44">
        <f>IF(I15=1,$C15/(1+($B$99-0.0001)/2)^(J15-1),0)</f>
        <v/>
      </c>
      <c r="N15" s="44">
        <f>IF(I15=1,$C15/(1+$B$104/2)^(J15-1),0)</f>
        <v/>
      </c>
      <c r="O15" s="44">
        <f>IF(I15=1,$C15/(1+($B$104+0.0001)/2)^(J15-1),0)</f>
        <v/>
      </c>
      <c r="P15" s="44">
        <f>IF(I15=1,$C15/(1+($B$104-0.0001)/2)^(J15-1),0)</f>
        <v/>
      </c>
      <c r="Q15" s="44">
        <f>IF(I15=1,$C15/(1+$B$109/2)^(J15-1),0)</f>
        <v/>
      </c>
      <c r="R15" s="44">
        <f>IF(AND($C15&gt;0,B15&gt;$B$6,B15&lt;=$B$7),$C15*(1+$B$9*($B$7-B15)/365),0)</f>
        <v/>
      </c>
      <c r="S15" s="44">
        <f>IF(I15=1,$C15/(1+($B$8+$B$10/10000)/2)^(J15-1),0)</f>
        <v/>
      </c>
      <c r="T15" s="44">
        <f>IF(I15=1,$C15/(1+($B$8+메인!$A$96/10000)/2)^(J15-1),0)</f>
        <v/>
      </c>
      <c r="U15" s="44">
        <f>IF(I15=1,$C15/(1+($B$8+메인!$A$97/10000)/2)^(J15-1),0)</f>
        <v/>
      </c>
      <c r="V15" s="44">
        <f>IF(I15=1,$C15/(1+($B$8+메인!$A$98/10000)/2)^(J15-1),0)</f>
        <v/>
      </c>
      <c r="W15" s="44">
        <f>IF(I15=1,$C15/(1+($B$8+메인!$A$99/10000)/2)^(J15-1),0)</f>
        <v/>
      </c>
      <c r="X15" s="44">
        <f>IF(I15=1,$C15/(1+($B$8+메인!$A$100/10000)/2)^(J15-1),0)</f>
        <v/>
      </c>
      <c r="Y15" s="44">
        <f>IF(I15=1,$C15/(1+($B$8+메인!$A$101/10000)/2)^(J15-1),0)</f>
        <v/>
      </c>
      <c r="Z15" s="44">
        <f>IF(I15=1,$C15/(1+($B$8+메인!$A$102/10000)/2)^(J15-1),0)</f>
        <v/>
      </c>
      <c r="AA15" s="44">
        <f>IF(I15=1,$C15/(1+($B$8+메인!$A$103/10000)/2)^(J15-1),0)</f>
        <v/>
      </c>
      <c r="AB15" s="44">
        <f>IF(I15=1,$C15/(1+($B$8+메인!$A$104/10000)/2)^(J15-1),0)</f>
        <v/>
      </c>
      <c r="AE15" s="42" t="n">
        <v>1</v>
      </c>
      <c r="AF15" s="43">
        <f>EDATE($AF$2,-6*(62-$AE15))</f>
        <v/>
      </c>
      <c r="AG15" s="44">
        <f>IF(AND(AF15&gt;$AF$3,AF15&lt;=$AF$2),IF(AF15=$AF$2,$AF$5+100,$AF$5),0)</f>
        <v/>
      </c>
      <c r="AH15" s="42">
        <f>IF(AND($AG15&gt;0,AF15&gt;$AF$6),1,0)</f>
        <v/>
      </c>
      <c r="AI15" s="42">
        <f>IF(AH15=1,SUM($AH$15:AH15),"")</f>
        <v/>
      </c>
      <c r="AJ15" s="44">
        <f>IF(AH15=1,$AG15/(1+$AF$8/2)^(AI15-1),0)</f>
        <v/>
      </c>
      <c r="AK15" s="44">
        <f>IF(AH15=1,$AG15/(1+($AF$8+0.0001)/2)^(AI15-1),0)</f>
        <v/>
      </c>
      <c r="AL15" s="44">
        <f>IF(AH15=1,$AG15/(1+($AF$8-0.0001)/2)^(AI15-1),0)</f>
        <v/>
      </c>
      <c r="AM15" s="42">
        <f>IF(AND($AG15&gt;0,AF15&gt;$AF$7),1,0)</f>
        <v/>
      </c>
      <c r="AN15" s="42">
        <f>IF(AM15=1,SUM($AM$15:AM15),"")</f>
        <v/>
      </c>
      <c r="AO15" s="44">
        <f>IF(AM15=1,$AG15/(1+$AF$99/2)^(AN15-1),0)</f>
        <v/>
      </c>
      <c r="AP15" s="44">
        <f>IF(AM15=1,$AG15/(1+($AF$99+0.0001)/2)^(AN15-1),0)</f>
        <v/>
      </c>
      <c r="AQ15" s="44">
        <f>IF(AM15=1,$AG15/(1+($AF$99-0.0001)/2)^(AN15-1),0)</f>
        <v/>
      </c>
      <c r="AR15" s="44">
        <f>IF(AM15=1,$AG15/(1+$AF$104/2)^(AN15-1),0)</f>
        <v/>
      </c>
      <c r="AS15" s="44">
        <f>IF(AM15=1,$AG15/(1+($AF$104+0.0001)/2)^(AN15-1),0)</f>
        <v/>
      </c>
      <c r="AT15" s="44">
        <f>IF(AM15=1,$AG15/(1+($AF$104-0.0001)/2)^(AN15-1),0)</f>
        <v/>
      </c>
      <c r="AU15" s="44">
        <f>IF(AM15=1,$AG15/(1+$AF$109/2)^(AN15-1),0)</f>
        <v/>
      </c>
      <c r="AV15" s="44">
        <f>IF(AND($AG15&gt;0,AF15&gt;$AF$6,AF15&lt;=$AF$7),$AG15*(1+$AF$9*($AF$7-AF15)/365),0)</f>
        <v/>
      </c>
      <c r="AW15" s="44">
        <f>IF(AM15=1,$AG15/(1+($AF$8+$AF$10/10000)/2)^(AN15-1),0)</f>
        <v/>
      </c>
      <c r="AX15" s="44">
        <f>IF(AM15=1,$AG15/(1+($AF$8+메인!$A$96/10000)/2)^(AN15-1),0)</f>
        <v/>
      </c>
      <c r="AY15" s="44">
        <f>IF(AM15=1,$AG15/(1+($AF$8+메인!$A$97/10000)/2)^(AN15-1),0)</f>
        <v/>
      </c>
      <c r="AZ15" s="44">
        <f>IF(AM15=1,$AG15/(1+($AF$8+메인!$A$98/10000)/2)^(AN15-1),0)</f>
        <v/>
      </c>
      <c r="BA15" s="44">
        <f>IF(AM15=1,$AG15/(1+($AF$8+메인!$A$99/10000)/2)^(AN15-1),0)</f>
        <v/>
      </c>
      <c r="BB15" s="44">
        <f>IF(AM15=1,$AG15/(1+($AF$8+메인!$A$100/10000)/2)^(AN15-1),0)</f>
        <v/>
      </c>
      <c r="BC15" s="44">
        <f>IF(AM15=1,$AG15/(1+($AF$8+메인!$A$101/10000)/2)^(AN15-1),0)</f>
        <v/>
      </c>
      <c r="BD15" s="44">
        <f>IF(AM15=1,$AG15/(1+($AF$8+메인!$A$102/10000)/2)^(AN15-1),0)</f>
        <v/>
      </c>
      <c r="BE15" s="44">
        <f>IF(AM15=1,$AG15/(1+($AF$8+메인!$A$103/10000)/2)^(AN15-1),0)</f>
        <v/>
      </c>
      <c r="BF15" s="44">
        <f>IF(AM15=1,$AG15/(1+($AF$8+메인!$A$104/10000)/2)^(AN15-1),0)</f>
        <v/>
      </c>
    </row>
    <row r="16">
      <c r="A16" s="42" t="n">
        <v>2</v>
      </c>
      <c r="B16" s="43">
        <f>EDATE($B$2,-6*(62-$A16))</f>
        <v/>
      </c>
      <c r="C16" s="44">
        <f>IF(AND(B16&gt;$B$3,B16&lt;=$B$2),IF(B16=$B$2,$B$5+100,$B$5),0)</f>
        <v/>
      </c>
      <c r="D16" s="42">
        <f>IF(AND($C16&gt;0,B16&gt;$B$6),1,0)</f>
        <v/>
      </c>
      <c r="E16" s="42">
        <f>IF(D16=1,SUM($D$15:D16),"")</f>
        <v/>
      </c>
      <c r="F16" s="44">
        <f>IF(D16=1,$C16/(1+$B$8/2)^(E16-1),0)</f>
        <v/>
      </c>
      <c r="G16" s="44">
        <f>IF(D16=1,$C16/(1+($B$8+0.0001)/2)^(E16-1),0)</f>
        <v/>
      </c>
      <c r="H16" s="44">
        <f>IF(D16=1,$C16/(1+($B$8-0.0001)/2)^(E16-1),0)</f>
        <v/>
      </c>
      <c r="I16" s="42">
        <f>IF(AND($C16&gt;0,B16&gt;$B$7),1,0)</f>
        <v/>
      </c>
      <c r="J16" s="42">
        <f>IF(I16=1,SUM($I$15:I16),"")</f>
        <v/>
      </c>
      <c r="K16" s="44">
        <f>IF(I16=1,$C16/(1+$B$99/2)^(J16-1),0)</f>
        <v/>
      </c>
      <c r="L16" s="44">
        <f>IF(I16=1,$C16/(1+($B$99+0.0001)/2)^(J16-1),0)</f>
        <v/>
      </c>
      <c r="M16" s="44">
        <f>IF(I16=1,$C16/(1+($B$99-0.0001)/2)^(J16-1),0)</f>
        <v/>
      </c>
      <c r="N16" s="44">
        <f>IF(I16=1,$C16/(1+$B$104/2)^(J16-1),0)</f>
        <v/>
      </c>
      <c r="O16" s="44">
        <f>IF(I16=1,$C16/(1+($B$104+0.0001)/2)^(J16-1),0)</f>
        <v/>
      </c>
      <c r="P16" s="44">
        <f>IF(I16=1,$C16/(1+($B$104-0.0001)/2)^(J16-1),0)</f>
        <v/>
      </c>
      <c r="Q16" s="44">
        <f>IF(I16=1,$C16/(1+$B$109/2)^(J16-1),0)</f>
        <v/>
      </c>
      <c r="R16" s="44">
        <f>IF(AND($C16&gt;0,B16&gt;$B$6,B16&lt;=$B$7),$C16*(1+$B$9*($B$7-B16)/365),0)</f>
        <v/>
      </c>
      <c r="S16" s="44">
        <f>IF(I16=1,$C16/(1+($B$8+$B$10/10000)/2)^(J16-1),0)</f>
        <v/>
      </c>
      <c r="T16" s="44">
        <f>IF(I16=1,$C16/(1+($B$8+메인!$A$96/10000)/2)^(J16-1),0)</f>
        <v/>
      </c>
      <c r="U16" s="44">
        <f>IF(I16=1,$C16/(1+($B$8+메인!$A$97/10000)/2)^(J16-1),0)</f>
        <v/>
      </c>
      <c r="V16" s="44">
        <f>IF(I16=1,$C16/(1+($B$8+메인!$A$98/10000)/2)^(J16-1),0)</f>
        <v/>
      </c>
      <c r="W16" s="44">
        <f>IF(I16=1,$C16/(1+($B$8+메인!$A$99/10000)/2)^(J16-1),0)</f>
        <v/>
      </c>
      <c r="X16" s="44">
        <f>IF(I16=1,$C16/(1+($B$8+메인!$A$100/10000)/2)^(J16-1),0)</f>
        <v/>
      </c>
      <c r="Y16" s="44">
        <f>IF(I16=1,$C16/(1+($B$8+메인!$A$101/10000)/2)^(J16-1),0)</f>
        <v/>
      </c>
      <c r="Z16" s="44">
        <f>IF(I16=1,$C16/(1+($B$8+메인!$A$102/10000)/2)^(J16-1),0)</f>
        <v/>
      </c>
      <c r="AA16" s="44">
        <f>IF(I16=1,$C16/(1+($B$8+메인!$A$103/10000)/2)^(J16-1),0)</f>
        <v/>
      </c>
      <c r="AB16" s="44">
        <f>IF(I16=1,$C16/(1+($B$8+메인!$A$104/10000)/2)^(J16-1),0)</f>
        <v/>
      </c>
      <c r="AE16" s="42" t="n">
        <v>2</v>
      </c>
      <c r="AF16" s="43">
        <f>EDATE($AF$2,-6*(62-$AE16))</f>
        <v/>
      </c>
      <c r="AG16" s="44">
        <f>IF(AND(AF16&gt;$AF$3,AF16&lt;=$AF$2),IF(AF16=$AF$2,$AF$5+100,$AF$5),0)</f>
        <v/>
      </c>
      <c r="AH16" s="42">
        <f>IF(AND($AG16&gt;0,AF16&gt;$AF$6),1,0)</f>
        <v/>
      </c>
      <c r="AI16" s="42">
        <f>IF(AH16=1,SUM($AH$15:AH16),"")</f>
        <v/>
      </c>
      <c r="AJ16" s="44">
        <f>IF(AH16=1,$AG16/(1+$AF$8/2)^(AI16-1),0)</f>
        <v/>
      </c>
      <c r="AK16" s="44">
        <f>IF(AH16=1,$AG16/(1+($AF$8+0.0001)/2)^(AI16-1),0)</f>
        <v/>
      </c>
      <c r="AL16" s="44">
        <f>IF(AH16=1,$AG16/(1+($AF$8-0.0001)/2)^(AI16-1),0)</f>
        <v/>
      </c>
      <c r="AM16" s="42">
        <f>IF(AND($AG16&gt;0,AF16&gt;$AF$7),1,0)</f>
        <v/>
      </c>
      <c r="AN16" s="42">
        <f>IF(AM16=1,SUM($AM$15:AM16),"")</f>
        <v/>
      </c>
      <c r="AO16" s="44">
        <f>IF(AM16=1,$AG16/(1+$AF$99/2)^(AN16-1),0)</f>
        <v/>
      </c>
      <c r="AP16" s="44">
        <f>IF(AM16=1,$AG16/(1+($AF$99+0.0001)/2)^(AN16-1),0)</f>
        <v/>
      </c>
      <c r="AQ16" s="44">
        <f>IF(AM16=1,$AG16/(1+($AF$99-0.0001)/2)^(AN16-1),0)</f>
        <v/>
      </c>
      <c r="AR16" s="44">
        <f>IF(AM16=1,$AG16/(1+$AF$104/2)^(AN16-1),0)</f>
        <v/>
      </c>
      <c r="AS16" s="44">
        <f>IF(AM16=1,$AG16/(1+($AF$104+0.0001)/2)^(AN16-1),0)</f>
        <v/>
      </c>
      <c r="AT16" s="44">
        <f>IF(AM16=1,$AG16/(1+($AF$104-0.0001)/2)^(AN16-1),0)</f>
        <v/>
      </c>
      <c r="AU16" s="44">
        <f>IF(AM16=1,$AG16/(1+$AF$109/2)^(AN16-1),0)</f>
        <v/>
      </c>
      <c r="AV16" s="44">
        <f>IF(AND($AG16&gt;0,AF16&gt;$AF$6,AF16&lt;=$AF$7),$AG16*(1+$AF$9*($AF$7-AF16)/365),0)</f>
        <v/>
      </c>
      <c r="AW16" s="44">
        <f>IF(AM16=1,$AG16/(1+($AF$8+$AF$10/10000)/2)^(AN16-1),0)</f>
        <v/>
      </c>
      <c r="AX16" s="44">
        <f>IF(AM16=1,$AG16/(1+($AF$8+메인!$A$96/10000)/2)^(AN16-1),0)</f>
        <v/>
      </c>
      <c r="AY16" s="44">
        <f>IF(AM16=1,$AG16/(1+($AF$8+메인!$A$97/10000)/2)^(AN16-1),0)</f>
        <v/>
      </c>
      <c r="AZ16" s="44">
        <f>IF(AM16=1,$AG16/(1+($AF$8+메인!$A$98/10000)/2)^(AN16-1),0)</f>
        <v/>
      </c>
      <c r="BA16" s="44">
        <f>IF(AM16=1,$AG16/(1+($AF$8+메인!$A$99/10000)/2)^(AN16-1),0)</f>
        <v/>
      </c>
      <c r="BB16" s="44">
        <f>IF(AM16=1,$AG16/(1+($AF$8+메인!$A$100/10000)/2)^(AN16-1),0)</f>
        <v/>
      </c>
      <c r="BC16" s="44">
        <f>IF(AM16=1,$AG16/(1+($AF$8+메인!$A$101/10000)/2)^(AN16-1),0)</f>
        <v/>
      </c>
      <c r="BD16" s="44">
        <f>IF(AM16=1,$AG16/(1+($AF$8+메인!$A$102/10000)/2)^(AN16-1),0)</f>
        <v/>
      </c>
      <c r="BE16" s="44">
        <f>IF(AM16=1,$AG16/(1+($AF$8+메인!$A$103/10000)/2)^(AN16-1),0)</f>
        <v/>
      </c>
      <c r="BF16" s="44">
        <f>IF(AM16=1,$AG16/(1+($AF$8+메인!$A$104/10000)/2)^(AN16-1),0)</f>
        <v/>
      </c>
    </row>
    <row r="17">
      <c r="A17" s="42" t="n">
        <v>3</v>
      </c>
      <c r="B17" s="43">
        <f>EDATE($B$2,-6*(62-$A17))</f>
        <v/>
      </c>
      <c r="C17" s="44">
        <f>IF(AND(B17&gt;$B$3,B17&lt;=$B$2),IF(B17=$B$2,$B$5+100,$B$5),0)</f>
        <v/>
      </c>
      <c r="D17" s="42">
        <f>IF(AND($C17&gt;0,B17&gt;$B$6),1,0)</f>
        <v/>
      </c>
      <c r="E17" s="42">
        <f>IF(D17=1,SUM($D$15:D17),"")</f>
        <v/>
      </c>
      <c r="F17" s="44">
        <f>IF(D17=1,$C17/(1+$B$8/2)^(E17-1),0)</f>
        <v/>
      </c>
      <c r="G17" s="44">
        <f>IF(D17=1,$C17/(1+($B$8+0.0001)/2)^(E17-1),0)</f>
        <v/>
      </c>
      <c r="H17" s="44">
        <f>IF(D17=1,$C17/(1+($B$8-0.0001)/2)^(E17-1),0)</f>
        <v/>
      </c>
      <c r="I17" s="42">
        <f>IF(AND($C17&gt;0,B17&gt;$B$7),1,0)</f>
        <v/>
      </c>
      <c r="J17" s="42">
        <f>IF(I17=1,SUM($I$15:I17),"")</f>
        <v/>
      </c>
      <c r="K17" s="44">
        <f>IF(I17=1,$C17/(1+$B$99/2)^(J17-1),0)</f>
        <v/>
      </c>
      <c r="L17" s="44">
        <f>IF(I17=1,$C17/(1+($B$99+0.0001)/2)^(J17-1),0)</f>
        <v/>
      </c>
      <c r="M17" s="44">
        <f>IF(I17=1,$C17/(1+($B$99-0.0001)/2)^(J17-1),0)</f>
        <v/>
      </c>
      <c r="N17" s="44">
        <f>IF(I17=1,$C17/(1+$B$104/2)^(J17-1),0)</f>
        <v/>
      </c>
      <c r="O17" s="44">
        <f>IF(I17=1,$C17/(1+($B$104+0.0001)/2)^(J17-1),0)</f>
        <v/>
      </c>
      <c r="P17" s="44">
        <f>IF(I17=1,$C17/(1+($B$104-0.0001)/2)^(J17-1),0)</f>
        <v/>
      </c>
      <c r="Q17" s="44">
        <f>IF(I17=1,$C17/(1+$B$109/2)^(J17-1),0)</f>
        <v/>
      </c>
      <c r="R17" s="44">
        <f>IF(AND($C17&gt;0,B17&gt;$B$6,B17&lt;=$B$7),$C17*(1+$B$9*($B$7-B17)/365),0)</f>
        <v/>
      </c>
      <c r="S17" s="44">
        <f>IF(I17=1,$C17/(1+($B$8+$B$10/10000)/2)^(J17-1),0)</f>
        <v/>
      </c>
      <c r="T17" s="44">
        <f>IF(I17=1,$C17/(1+($B$8+메인!$A$96/10000)/2)^(J17-1),0)</f>
        <v/>
      </c>
      <c r="U17" s="44">
        <f>IF(I17=1,$C17/(1+($B$8+메인!$A$97/10000)/2)^(J17-1),0)</f>
        <v/>
      </c>
      <c r="V17" s="44">
        <f>IF(I17=1,$C17/(1+($B$8+메인!$A$98/10000)/2)^(J17-1),0)</f>
        <v/>
      </c>
      <c r="W17" s="44">
        <f>IF(I17=1,$C17/(1+($B$8+메인!$A$99/10000)/2)^(J17-1),0)</f>
        <v/>
      </c>
      <c r="X17" s="44">
        <f>IF(I17=1,$C17/(1+($B$8+메인!$A$100/10000)/2)^(J17-1),0)</f>
        <v/>
      </c>
      <c r="Y17" s="44">
        <f>IF(I17=1,$C17/(1+($B$8+메인!$A$101/10000)/2)^(J17-1),0)</f>
        <v/>
      </c>
      <c r="Z17" s="44">
        <f>IF(I17=1,$C17/(1+($B$8+메인!$A$102/10000)/2)^(J17-1),0)</f>
        <v/>
      </c>
      <c r="AA17" s="44">
        <f>IF(I17=1,$C17/(1+($B$8+메인!$A$103/10000)/2)^(J17-1),0)</f>
        <v/>
      </c>
      <c r="AB17" s="44">
        <f>IF(I17=1,$C17/(1+($B$8+메인!$A$104/10000)/2)^(J17-1),0)</f>
        <v/>
      </c>
      <c r="AE17" s="42" t="n">
        <v>3</v>
      </c>
      <c r="AF17" s="43">
        <f>EDATE($AF$2,-6*(62-$AE17))</f>
        <v/>
      </c>
      <c r="AG17" s="44">
        <f>IF(AND(AF17&gt;$AF$3,AF17&lt;=$AF$2),IF(AF17=$AF$2,$AF$5+100,$AF$5),0)</f>
        <v/>
      </c>
      <c r="AH17" s="42">
        <f>IF(AND($AG17&gt;0,AF17&gt;$AF$6),1,0)</f>
        <v/>
      </c>
      <c r="AI17" s="42">
        <f>IF(AH17=1,SUM($AH$15:AH17),"")</f>
        <v/>
      </c>
      <c r="AJ17" s="44">
        <f>IF(AH17=1,$AG17/(1+$AF$8/2)^(AI17-1),0)</f>
        <v/>
      </c>
      <c r="AK17" s="44">
        <f>IF(AH17=1,$AG17/(1+($AF$8+0.0001)/2)^(AI17-1),0)</f>
        <v/>
      </c>
      <c r="AL17" s="44">
        <f>IF(AH17=1,$AG17/(1+($AF$8-0.0001)/2)^(AI17-1),0)</f>
        <v/>
      </c>
      <c r="AM17" s="42">
        <f>IF(AND($AG17&gt;0,AF17&gt;$AF$7),1,0)</f>
        <v/>
      </c>
      <c r="AN17" s="42">
        <f>IF(AM17=1,SUM($AM$15:AM17),"")</f>
        <v/>
      </c>
      <c r="AO17" s="44">
        <f>IF(AM17=1,$AG17/(1+$AF$99/2)^(AN17-1),0)</f>
        <v/>
      </c>
      <c r="AP17" s="44">
        <f>IF(AM17=1,$AG17/(1+($AF$99+0.0001)/2)^(AN17-1),0)</f>
        <v/>
      </c>
      <c r="AQ17" s="44">
        <f>IF(AM17=1,$AG17/(1+($AF$99-0.0001)/2)^(AN17-1),0)</f>
        <v/>
      </c>
      <c r="AR17" s="44">
        <f>IF(AM17=1,$AG17/(1+$AF$104/2)^(AN17-1),0)</f>
        <v/>
      </c>
      <c r="AS17" s="44">
        <f>IF(AM17=1,$AG17/(1+($AF$104+0.0001)/2)^(AN17-1),0)</f>
        <v/>
      </c>
      <c r="AT17" s="44">
        <f>IF(AM17=1,$AG17/(1+($AF$104-0.0001)/2)^(AN17-1),0)</f>
        <v/>
      </c>
      <c r="AU17" s="44">
        <f>IF(AM17=1,$AG17/(1+$AF$109/2)^(AN17-1),0)</f>
        <v/>
      </c>
      <c r="AV17" s="44">
        <f>IF(AND($AG17&gt;0,AF17&gt;$AF$6,AF17&lt;=$AF$7),$AG17*(1+$AF$9*($AF$7-AF17)/365),0)</f>
        <v/>
      </c>
      <c r="AW17" s="44">
        <f>IF(AM17=1,$AG17/(1+($AF$8+$AF$10/10000)/2)^(AN17-1),0)</f>
        <v/>
      </c>
      <c r="AX17" s="44">
        <f>IF(AM17=1,$AG17/(1+($AF$8+메인!$A$96/10000)/2)^(AN17-1),0)</f>
        <v/>
      </c>
      <c r="AY17" s="44">
        <f>IF(AM17=1,$AG17/(1+($AF$8+메인!$A$97/10000)/2)^(AN17-1),0)</f>
        <v/>
      </c>
      <c r="AZ17" s="44">
        <f>IF(AM17=1,$AG17/(1+($AF$8+메인!$A$98/10000)/2)^(AN17-1),0)</f>
        <v/>
      </c>
      <c r="BA17" s="44">
        <f>IF(AM17=1,$AG17/(1+($AF$8+메인!$A$99/10000)/2)^(AN17-1),0)</f>
        <v/>
      </c>
      <c r="BB17" s="44">
        <f>IF(AM17=1,$AG17/(1+($AF$8+메인!$A$100/10000)/2)^(AN17-1),0)</f>
        <v/>
      </c>
      <c r="BC17" s="44">
        <f>IF(AM17=1,$AG17/(1+($AF$8+메인!$A$101/10000)/2)^(AN17-1),0)</f>
        <v/>
      </c>
      <c r="BD17" s="44">
        <f>IF(AM17=1,$AG17/(1+($AF$8+메인!$A$102/10000)/2)^(AN17-1),0)</f>
        <v/>
      </c>
      <c r="BE17" s="44">
        <f>IF(AM17=1,$AG17/(1+($AF$8+메인!$A$103/10000)/2)^(AN17-1),0)</f>
        <v/>
      </c>
      <c r="BF17" s="44">
        <f>IF(AM17=1,$AG17/(1+($AF$8+메인!$A$104/10000)/2)^(AN17-1),0)</f>
        <v/>
      </c>
    </row>
    <row r="18">
      <c r="A18" s="42" t="n">
        <v>4</v>
      </c>
      <c r="B18" s="43">
        <f>EDATE($B$2,-6*(62-$A18))</f>
        <v/>
      </c>
      <c r="C18" s="44">
        <f>IF(AND(B18&gt;$B$3,B18&lt;=$B$2),IF(B18=$B$2,$B$5+100,$B$5),0)</f>
        <v/>
      </c>
      <c r="D18" s="42">
        <f>IF(AND($C18&gt;0,B18&gt;$B$6),1,0)</f>
        <v/>
      </c>
      <c r="E18" s="42">
        <f>IF(D18=1,SUM($D$15:D18),"")</f>
        <v/>
      </c>
      <c r="F18" s="44">
        <f>IF(D18=1,$C18/(1+$B$8/2)^(E18-1),0)</f>
        <v/>
      </c>
      <c r="G18" s="44">
        <f>IF(D18=1,$C18/(1+($B$8+0.0001)/2)^(E18-1),0)</f>
        <v/>
      </c>
      <c r="H18" s="44">
        <f>IF(D18=1,$C18/(1+($B$8-0.0001)/2)^(E18-1),0)</f>
        <v/>
      </c>
      <c r="I18" s="42">
        <f>IF(AND($C18&gt;0,B18&gt;$B$7),1,0)</f>
        <v/>
      </c>
      <c r="J18" s="42">
        <f>IF(I18=1,SUM($I$15:I18),"")</f>
        <v/>
      </c>
      <c r="K18" s="44">
        <f>IF(I18=1,$C18/(1+$B$99/2)^(J18-1),0)</f>
        <v/>
      </c>
      <c r="L18" s="44">
        <f>IF(I18=1,$C18/(1+($B$99+0.0001)/2)^(J18-1),0)</f>
        <v/>
      </c>
      <c r="M18" s="44">
        <f>IF(I18=1,$C18/(1+($B$99-0.0001)/2)^(J18-1),0)</f>
        <v/>
      </c>
      <c r="N18" s="44">
        <f>IF(I18=1,$C18/(1+$B$104/2)^(J18-1),0)</f>
        <v/>
      </c>
      <c r="O18" s="44">
        <f>IF(I18=1,$C18/(1+($B$104+0.0001)/2)^(J18-1),0)</f>
        <v/>
      </c>
      <c r="P18" s="44">
        <f>IF(I18=1,$C18/(1+($B$104-0.0001)/2)^(J18-1),0)</f>
        <v/>
      </c>
      <c r="Q18" s="44">
        <f>IF(I18=1,$C18/(1+$B$109/2)^(J18-1),0)</f>
        <v/>
      </c>
      <c r="R18" s="44">
        <f>IF(AND($C18&gt;0,B18&gt;$B$6,B18&lt;=$B$7),$C18*(1+$B$9*($B$7-B18)/365),0)</f>
        <v/>
      </c>
      <c r="S18" s="44">
        <f>IF(I18=1,$C18/(1+($B$8+$B$10/10000)/2)^(J18-1),0)</f>
        <v/>
      </c>
      <c r="T18" s="44">
        <f>IF(I18=1,$C18/(1+($B$8+메인!$A$96/10000)/2)^(J18-1),0)</f>
        <v/>
      </c>
      <c r="U18" s="44">
        <f>IF(I18=1,$C18/(1+($B$8+메인!$A$97/10000)/2)^(J18-1),0)</f>
        <v/>
      </c>
      <c r="V18" s="44">
        <f>IF(I18=1,$C18/(1+($B$8+메인!$A$98/10000)/2)^(J18-1),0)</f>
        <v/>
      </c>
      <c r="W18" s="44">
        <f>IF(I18=1,$C18/(1+($B$8+메인!$A$99/10000)/2)^(J18-1),0)</f>
        <v/>
      </c>
      <c r="X18" s="44">
        <f>IF(I18=1,$C18/(1+($B$8+메인!$A$100/10000)/2)^(J18-1),0)</f>
        <v/>
      </c>
      <c r="Y18" s="44">
        <f>IF(I18=1,$C18/(1+($B$8+메인!$A$101/10000)/2)^(J18-1),0)</f>
        <v/>
      </c>
      <c r="Z18" s="44">
        <f>IF(I18=1,$C18/(1+($B$8+메인!$A$102/10000)/2)^(J18-1),0)</f>
        <v/>
      </c>
      <c r="AA18" s="44">
        <f>IF(I18=1,$C18/(1+($B$8+메인!$A$103/10000)/2)^(J18-1),0)</f>
        <v/>
      </c>
      <c r="AB18" s="44">
        <f>IF(I18=1,$C18/(1+($B$8+메인!$A$104/10000)/2)^(J18-1),0)</f>
        <v/>
      </c>
      <c r="AE18" s="42" t="n">
        <v>4</v>
      </c>
      <c r="AF18" s="43">
        <f>EDATE($AF$2,-6*(62-$AE18))</f>
        <v/>
      </c>
      <c r="AG18" s="44">
        <f>IF(AND(AF18&gt;$AF$3,AF18&lt;=$AF$2),IF(AF18=$AF$2,$AF$5+100,$AF$5),0)</f>
        <v/>
      </c>
      <c r="AH18" s="42">
        <f>IF(AND($AG18&gt;0,AF18&gt;$AF$6),1,0)</f>
        <v/>
      </c>
      <c r="AI18" s="42">
        <f>IF(AH18=1,SUM($AH$15:AH18),"")</f>
        <v/>
      </c>
      <c r="AJ18" s="44">
        <f>IF(AH18=1,$AG18/(1+$AF$8/2)^(AI18-1),0)</f>
        <v/>
      </c>
      <c r="AK18" s="44">
        <f>IF(AH18=1,$AG18/(1+($AF$8+0.0001)/2)^(AI18-1),0)</f>
        <v/>
      </c>
      <c r="AL18" s="44">
        <f>IF(AH18=1,$AG18/(1+($AF$8-0.0001)/2)^(AI18-1),0)</f>
        <v/>
      </c>
      <c r="AM18" s="42">
        <f>IF(AND($AG18&gt;0,AF18&gt;$AF$7),1,0)</f>
        <v/>
      </c>
      <c r="AN18" s="42">
        <f>IF(AM18=1,SUM($AM$15:AM18),"")</f>
        <v/>
      </c>
      <c r="AO18" s="44">
        <f>IF(AM18=1,$AG18/(1+$AF$99/2)^(AN18-1),0)</f>
        <v/>
      </c>
      <c r="AP18" s="44">
        <f>IF(AM18=1,$AG18/(1+($AF$99+0.0001)/2)^(AN18-1),0)</f>
        <v/>
      </c>
      <c r="AQ18" s="44">
        <f>IF(AM18=1,$AG18/(1+($AF$99-0.0001)/2)^(AN18-1),0)</f>
        <v/>
      </c>
      <c r="AR18" s="44">
        <f>IF(AM18=1,$AG18/(1+$AF$104/2)^(AN18-1),0)</f>
        <v/>
      </c>
      <c r="AS18" s="44">
        <f>IF(AM18=1,$AG18/(1+($AF$104+0.0001)/2)^(AN18-1),0)</f>
        <v/>
      </c>
      <c r="AT18" s="44">
        <f>IF(AM18=1,$AG18/(1+($AF$104-0.0001)/2)^(AN18-1),0)</f>
        <v/>
      </c>
      <c r="AU18" s="44">
        <f>IF(AM18=1,$AG18/(1+$AF$109/2)^(AN18-1),0)</f>
        <v/>
      </c>
      <c r="AV18" s="44">
        <f>IF(AND($AG18&gt;0,AF18&gt;$AF$6,AF18&lt;=$AF$7),$AG18*(1+$AF$9*($AF$7-AF18)/365),0)</f>
        <v/>
      </c>
      <c r="AW18" s="44">
        <f>IF(AM18=1,$AG18/(1+($AF$8+$AF$10/10000)/2)^(AN18-1),0)</f>
        <v/>
      </c>
      <c r="AX18" s="44">
        <f>IF(AM18=1,$AG18/(1+($AF$8+메인!$A$96/10000)/2)^(AN18-1),0)</f>
        <v/>
      </c>
      <c r="AY18" s="44">
        <f>IF(AM18=1,$AG18/(1+($AF$8+메인!$A$97/10000)/2)^(AN18-1),0)</f>
        <v/>
      </c>
      <c r="AZ18" s="44">
        <f>IF(AM18=1,$AG18/(1+($AF$8+메인!$A$98/10000)/2)^(AN18-1),0)</f>
        <v/>
      </c>
      <c r="BA18" s="44">
        <f>IF(AM18=1,$AG18/(1+($AF$8+메인!$A$99/10000)/2)^(AN18-1),0)</f>
        <v/>
      </c>
      <c r="BB18" s="44">
        <f>IF(AM18=1,$AG18/(1+($AF$8+메인!$A$100/10000)/2)^(AN18-1),0)</f>
        <v/>
      </c>
      <c r="BC18" s="44">
        <f>IF(AM18=1,$AG18/(1+($AF$8+메인!$A$101/10000)/2)^(AN18-1),0)</f>
        <v/>
      </c>
      <c r="BD18" s="44">
        <f>IF(AM18=1,$AG18/(1+($AF$8+메인!$A$102/10000)/2)^(AN18-1),0)</f>
        <v/>
      </c>
      <c r="BE18" s="44">
        <f>IF(AM18=1,$AG18/(1+($AF$8+메인!$A$103/10000)/2)^(AN18-1),0)</f>
        <v/>
      </c>
      <c r="BF18" s="44">
        <f>IF(AM18=1,$AG18/(1+($AF$8+메인!$A$104/10000)/2)^(AN18-1),0)</f>
        <v/>
      </c>
    </row>
    <row r="19">
      <c r="A19" s="42" t="n">
        <v>5</v>
      </c>
      <c r="B19" s="43">
        <f>EDATE($B$2,-6*(62-$A19))</f>
        <v/>
      </c>
      <c r="C19" s="44">
        <f>IF(AND(B19&gt;$B$3,B19&lt;=$B$2),IF(B19=$B$2,$B$5+100,$B$5),0)</f>
        <v/>
      </c>
      <c r="D19" s="42">
        <f>IF(AND($C19&gt;0,B19&gt;$B$6),1,0)</f>
        <v/>
      </c>
      <c r="E19" s="42">
        <f>IF(D19=1,SUM($D$15:D19),"")</f>
        <v/>
      </c>
      <c r="F19" s="44">
        <f>IF(D19=1,$C19/(1+$B$8/2)^(E19-1),0)</f>
        <v/>
      </c>
      <c r="G19" s="44">
        <f>IF(D19=1,$C19/(1+($B$8+0.0001)/2)^(E19-1),0)</f>
        <v/>
      </c>
      <c r="H19" s="44">
        <f>IF(D19=1,$C19/(1+($B$8-0.0001)/2)^(E19-1),0)</f>
        <v/>
      </c>
      <c r="I19" s="42">
        <f>IF(AND($C19&gt;0,B19&gt;$B$7),1,0)</f>
        <v/>
      </c>
      <c r="J19" s="42">
        <f>IF(I19=1,SUM($I$15:I19),"")</f>
        <v/>
      </c>
      <c r="K19" s="44">
        <f>IF(I19=1,$C19/(1+$B$99/2)^(J19-1),0)</f>
        <v/>
      </c>
      <c r="L19" s="44">
        <f>IF(I19=1,$C19/(1+($B$99+0.0001)/2)^(J19-1),0)</f>
        <v/>
      </c>
      <c r="M19" s="44">
        <f>IF(I19=1,$C19/(1+($B$99-0.0001)/2)^(J19-1),0)</f>
        <v/>
      </c>
      <c r="N19" s="44">
        <f>IF(I19=1,$C19/(1+$B$104/2)^(J19-1),0)</f>
        <v/>
      </c>
      <c r="O19" s="44">
        <f>IF(I19=1,$C19/(1+($B$104+0.0001)/2)^(J19-1),0)</f>
        <v/>
      </c>
      <c r="P19" s="44">
        <f>IF(I19=1,$C19/(1+($B$104-0.0001)/2)^(J19-1),0)</f>
        <v/>
      </c>
      <c r="Q19" s="44">
        <f>IF(I19=1,$C19/(1+$B$109/2)^(J19-1),0)</f>
        <v/>
      </c>
      <c r="R19" s="44">
        <f>IF(AND($C19&gt;0,B19&gt;$B$6,B19&lt;=$B$7),$C19*(1+$B$9*($B$7-B19)/365),0)</f>
        <v/>
      </c>
      <c r="S19" s="44">
        <f>IF(I19=1,$C19/(1+($B$8+$B$10/10000)/2)^(J19-1),0)</f>
        <v/>
      </c>
      <c r="T19" s="44">
        <f>IF(I19=1,$C19/(1+($B$8+메인!$A$96/10000)/2)^(J19-1),0)</f>
        <v/>
      </c>
      <c r="U19" s="44">
        <f>IF(I19=1,$C19/(1+($B$8+메인!$A$97/10000)/2)^(J19-1),0)</f>
        <v/>
      </c>
      <c r="V19" s="44">
        <f>IF(I19=1,$C19/(1+($B$8+메인!$A$98/10000)/2)^(J19-1),0)</f>
        <v/>
      </c>
      <c r="W19" s="44">
        <f>IF(I19=1,$C19/(1+($B$8+메인!$A$99/10000)/2)^(J19-1),0)</f>
        <v/>
      </c>
      <c r="X19" s="44">
        <f>IF(I19=1,$C19/(1+($B$8+메인!$A$100/10000)/2)^(J19-1),0)</f>
        <v/>
      </c>
      <c r="Y19" s="44">
        <f>IF(I19=1,$C19/(1+($B$8+메인!$A$101/10000)/2)^(J19-1),0)</f>
        <v/>
      </c>
      <c r="Z19" s="44">
        <f>IF(I19=1,$C19/(1+($B$8+메인!$A$102/10000)/2)^(J19-1),0)</f>
        <v/>
      </c>
      <c r="AA19" s="44">
        <f>IF(I19=1,$C19/(1+($B$8+메인!$A$103/10000)/2)^(J19-1),0)</f>
        <v/>
      </c>
      <c r="AB19" s="44">
        <f>IF(I19=1,$C19/(1+($B$8+메인!$A$104/10000)/2)^(J19-1),0)</f>
        <v/>
      </c>
      <c r="AE19" s="42" t="n">
        <v>5</v>
      </c>
      <c r="AF19" s="43">
        <f>EDATE($AF$2,-6*(62-$AE19))</f>
        <v/>
      </c>
      <c r="AG19" s="44">
        <f>IF(AND(AF19&gt;$AF$3,AF19&lt;=$AF$2),IF(AF19=$AF$2,$AF$5+100,$AF$5),0)</f>
        <v/>
      </c>
      <c r="AH19" s="42">
        <f>IF(AND($AG19&gt;0,AF19&gt;$AF$6),1,0)</f>
        <v/>
      </c>
      <c r="AI19" s="42">
        <f>IF(AH19=1,SUM($AH$15:AH19),"")</f>
        <v/>
      </c>
      <c r="AJ19" s="44">
        <f>IF(AH19=1,$AG19/(1+$AF$8/2)^(AI19-1),0)</f>
        <v/>
      </c>
      <c r="AK19" s="44">
        <f>IF(AH19=1,$AG19/(1+($AF$8+0.0001)/2)^(AI19-1),0)</f>
        <v/>
      </c>
      <c r="AL19" s="44">
        <f>IF(AH19=1,$AG19/(1+($AF$8-0.0001)/2)^(AI19-1),0)</f>
        <v/>
      </c>
      <c r="AM19" s="42">
        <f>IF(AND($AG19&gt;0,AF19&gt;$AF$7),1,0)</f>
        <v/>
      </c>
      <c r="AN19" s="42">
        <f>IF(AM19=1,SUM($AM$15:AM19),"")</f>
        <v/>
      </c>
      <c r="AO19" s="44">
        <f>IF(AM19=1,$AG19/(1+$AF$99/2)^(AN19-1),0)</f>
        <v/>
      </c>
      <c r="AP19" s="44">
        <f>IF(AM19=1,$AG19/(1+($AF$99+0.0001)/2)^(AN19-1),0)</f>
        <v/>
      </c>
      <c r="AQ19" s="44">
        <f>IF(AM19=1,$AG19/(1+($AF$99-0.0001)/2)^(AN19-1),0)</f>
        <v/>
      </c>
      <c r="AR19" s="44">
        <f>IF(AM19=1,$AG19/(1+$AF$104/2)^(AN19-1),0)</f>
        <v/>
      </c>
      <c r="AS19" s="44">
        <f>IF(AM19=1,$AG19/(1+($AF$104+0.0001)/2)^(AN19-1),0)</f>
        <v/>
      </c>
      <c r="AT19" s="44">
        <f>IF(AM19=1,$AG19/(1+($AF$104-0.0001)/2)^(AN19-1),0)</f>
        <v/>
      </c>
      <c r="AU19" s="44">
        <f>IF(AM19=1,$AG19/(1+$AF$109/2)^(AN19-1),0)</f>
        <v/>
      </c>
      <c r="AV19" s="44">
        <f>IF(AND($AG19&gt;0,AF19&gt;$AF$6,AF19&lt;=$AF$7),$AG19*(1+$AF$9*($AF$7-AF19)/365),0)</f>
        <v/>
      </c>
      <c r="AW19" s="44">
        <f>IF(AM19=1,$AG19/(1+($AF$8+$AF$10/10000)/2)^(AN19-1),0)</f>
        <v/>
      </c>
      <c r="AX19" s="44">
        <f>IF(AM19=1,$AG19/(1+($AF$8+메인!$A$96/10000)/2)^(AN19-1),0)</f>
        <v/>
      </c>
      <c r="AY19" s="44">
        <f>IF(AM19=1,$AG19/(1+($AF$8+메인!$A$97/10000)/2)^(AN19-1),0)</f>
        <v/>
      </c>
      <c r="AZ19" s="44">
        <f>IF(AM19=1,$AG19/(1+($AF$8+메인!$A$98/10000)/2)^(AN19-1),0)</f>
        <v/>
      </c>
      <c r="BA19" s="44">
        <f>IF(AM19=1,$AG19/(1+($AF$8+메인!$A$99/10000)/2)^(AN19-1),0)</f>
        <v/>
      </c>
      <c r="BB19" s="44">
        <f>IF(AM19=1,$AG19/(1+($AF$8+메인!$A$100/10000)/2)^(AN19-1),0)</f>
        <v/>
      </c>
      <c r="BC19" s="44">
        <f>IF(AM19=1,$AG19/(1+($AF$8+메인!$A$101/10000)/2)^(AN19-1),0)</f>
        <v/>
      </c>
      <c r="BD19" s="44">
        <f>IF(AM19=1,$AG19/(1+($AF$8+메인!$A$102/10000)/2)^(AN19-1),0)</f>
        <v/>
      </c>
      <c r="BE19" s="44">
        <f>IF(AM19=1,$AG19/(1+($AF$8+메인!$A$103/10000)/2)^(AN19-1),0)</f>
        <v/>
      </c>
      <c r="BF19" s="44">
        <f>IF(AM19=1,$AG19/(1+($AF$8+메인!$A$104/10000)/2)^(AN19-1),0)</f>
        <v/>
      </c>
    </row>
    <row r="20">
      <c r="A20" s="42" t="n">
        <v>6</v>
      </c>
      <c r="B20" s="43">
        <f>EDATE($B$2,-6*(62-$A20))</f>
        <v/>
      </c>
      <c r="C20" s="44">
        <f>IF(AND(B20&gt;$B$3,B20&lt;=$B$2),IF(B20=$B$2,$B$5+100,$B$5),0)</f>
        <v/>
      </c>
      <c r="D20" s="42">
        <f>IF(AND($C20&gt;0,B20&gt;$B$6),1,0)</f>
        <v/>
      </c>
      <c r="E20" s="42">
        <f>IF(D20=1,SUM($D$15:D20),"")</f>
        <v/>
      </c>
      <c r="F20" s="44">
        <f>IF(D20=1,$C20/(1+$B$8/2)^(E20-1),0)</f>
        <v/>
      </c>
      <c r="G20" s="44">
        <f>IF(D20=1,$C20/(1+($B$8+0.0001)/2)^(E20-1),0)</f>
        <v/>
      </c>
      <c r="H20" s="44">
        <f>IF(D20=1,$C20/(1+($B$8-0.0001)/2)^(E20-1),0)</f>
        <v/>
      </c>
      <c r="I20" s="42">
        <f>IF(AND($C20&gt;0,B20&gt;$B$7),1,0)</f>
        <v/>
      </c>
      <c r="J20" s="42">
        <f>IF(I20=1,SUM($I$15:I20),"")</f>
        <v/>
      </c>
      <c r="K20" s="44">
        <f>IF(I20=1,$C20/(1+$B$99/2)^(J20-1),0)</f>
        <v/>
      </c>
      <c r="L20" s="44">
        <f>IF(I20=1,$C20/(1+($B$99+0.0001)/2)^(J20-1),0)</f>
        <v/>
      </c>
      <c r="M20" s="44">
        <f>IF(I20=1,$C20/(1+($B$99-0.0001)/2)^(J20-1),0)</f>
        <v/>
      </c>
      <c r="N20" s="44">
        <f>IF(I20=1,$C20/(1+$B$104/2)^(J20-1),0)</f>
        <v/>
      </c>
      <c r="O20" s="44">
        <f>IF(I20=1,$C20/(1+($B$104+0.0001)/2)^(J20-1),0)</f>
        <v/>
      </c>
      <c r="P20" s="44">
        <f>IF(I20=1,$C20/(1+($B$104-0.0001)/2)^(J20-1),0)</f>
        <v/>
      </c>
      <c r="Q20" s="44">
        <f>IF(I20=1,$C20/(1+$B$109/2)^(J20-1),0)</f>
        <v/>
      </c>
      <c r="R20" s="44">
        <f>IF(AND($C20&gt;0,B20&gt;$B$6,B20&lt;=$B$7),$C20*(1+$B$9*($B$7-B20)/365),0)</f>
        <v/>
      </c>
      <c r="S20" s="44">
        <f>IF(I20=1,$C20/(1+($B$8+$B$10/10000)/2)^(J20-1),0)</f>
        <v/>
      </c>
      <c r="T20" s="44">
        <f>IF(I20=1,$C20/(1+($B$8+메인!$A$96/10000)/2)^(J20-1),0)</f>
        <v/>
      </c>
      <c r="U20" s="44">
        <f>IF(I20=1,$C20/(1+($B$8+메인!$A$97/10000)/2)^(J20-1),0)</f>
        <v/>
      </c>
      <c r="V20" s="44">
        <f>IF(I20=1,$C20/(1+($B$8+메인!$A$98/10000)/2)^(J20-1),0)</f>
        <v/>
      </c>
      <c r="W20" s="44">
        <f>IF(I20=1,$C20/(1+($B$8+메인!$A$99/10000)/2)^(J20-1),0)</f>
        <v/>
      </c>
      <c r="X20" s="44">
        <f>IF(I20=1,$C20/(1+($B$8+메인!$A$100/10000)/2)^(J20-1),0)</f>
        <v/>
      </c>
      <c r="Y20" s="44">
        <f>IF(I20=1,$C20/(1+($B$8+메인!$A$101/10000)/2)^(J20-1),0)</f>
        <v/>
      </c>
      <c r="Z20" s="44">
        <f>IF(I20=1,$C20/(1+($B$8+메인!$A$102/10000)/2)^(J20-1),0)</f>
        <v/>
      </c>
      <c r="AA20" s="44">
        <f>IF(I20=1,$C20/(1+($B$8+메인!$A$103/10000)/2)^(J20-1),0)</f>
        <v/>
      </c>
      <c r="AB20" s="44">
        <f>IF(I20=1,$C20/(1+($B$8+메인!$A$104/10000)/2)^(J20-1),0)</f>
        <v/>
      </c>
      <c r="AE20" s="42" t="n">
        <v>6</v>
      </c>
      <c r="AF20" s="43">
        <f>EDATE($AF$2,-6*(62-$AE20))</f>
        <v/>
      </c>
      <c r="AG20" s="44">
        <f>IF(AND(AF20&gt;$AF$3,AF20&lt;=$AF$2),IF(AF20=$AF$2,$AF$5+100,$AF$5),0)</f>
        <v/>
      </c>
      <c r="AH20" s="42">
        <f>IF(AND($AG20&gt;0,AF20&gt;$AF$6),1,0)</f>
        <v/>
      </c>
      <c r="AI20" s="42">
        <f>IF(AH20=1,SUM($AH$15:AH20),"")</f>
        <v/>
      </c>
      <c r="AJ20" s="44">
        <f>IF(AH20=1,$AG20/(1+$AF$8/2)^(AI20-1),0)</f>
        <v/>
      </c>
      <c r="AK20" s="44">
        <f>IF(AH20=1,$AG20/(1+($AF$8+0.0001)/2)^(AI20-1),0)</f>
        <v/>
      </c>
      <c r="AL20" s="44">
        <f>IF(AH20=1,$AG20/(1+($AF$8-0.0001)/2)^(AI20-1),0)</f>
        <v/>
      </c>
      <c r="AM20" s="42">
        <f>IF(AND($AG20&gt;0,AF20&gt;$AF$7),1,0)</f>
        <v/>
      </c>
      <c r="AN20" s="42">
        <f>IF(AM20=1,SUM($AM$15:AM20),"")</f>
        <v/>
      </c>
      <c r="AO20" s="44">
        <f>IF(AM20=1,$AG20/(1+$AF$99/2)^(AN20-1),0)</f>
        <v/>
      </c>
      <c r="AP20" s="44">
        <f>IF(AM20=1,$AG20/(1+($AF$99+0.0001)/2)^(AN20-1),0)</f>
        <v/>
      </c>
      <c r="AQ20" s="44">
        <f>IF(AM20=1,$AG20/(1+($AF$99-0.0001)/2)^(AN20-1),0)</f>
        <v/>
      </c>
      <c r="AR20" s="44">
        <f>IF(AM20=1,$AG20/(1+$AF$104/2)^(AN20-1),0)</f>
        <v/>
      </c>
      <c r="AS20" s="44">
        <f>IF(AM20=1,$AG20/(1+($AF$104+0.0001)/2)^(AN20-1),0)</f>
        <v/>
      </c>
      <c r="AT20" s="44">
        <f>IF(AM20=1,$AG20/(1+($AF$104-0.0001)/2)^(AN20-1),0)</f>
        <v/>
      </c>
      <c r="AU20" s="44">
        <f>IF(AM20=1,$AG20/(1+$AF$109/2)^(AN20-1),0)</f>
        <v/>
      </c>
      <c r="AV20" s="44">
        <f>IF(AND($AG20&gt;0,AF20&gt;$AF$6,AF20&lt;=$AF$7),$AG20*(1+$AF$9*($AF$7-AF20)/365),0)</f>
        <v/>
      </c>
      <c r="AW20" s="44">
        <f>IF(AM20=1,$AG20/(1+($AF$8+$AF$10/10000)/2)^(AN20-1),0)</f>
        <v/>
      </c>
      <c r="AX20" s="44">
        <f>IF(AM20=1,$AG20/(1+($AF$8+메인!$A$96/10000)/2)^(AN20-1),0)</f>
        <v/>
      </c>
      <c r="AY20" s="44">
        <f>IF(AM20=1,$AG20/(1+($AF$8+메인!$A$97/10000)/2)^(AN20-1),0)</f>
        <v/>
      </c>
      <c r="AZ20" s="44">
        <f>IF(AM20=1,$AG20/(1+($AF$8+메인!$A$98/10000)/2)^(AN20-1),0)</f>
        <v/>
      </c>
      <c r="BA20" s="44">
        <f>IF(AM20=1,$AG20/(1+($AF$8+메인!$A$99/10000)/2)^(AN20-1),0)</f>
        <v/>
      </c>
      <c r="BB20" s="44">
        <f>IF(AM20=1,$AG20/(1+($AF$8+메인!$A$100/10000)/2)^(AN20-1),0)</f>
        <v/>
      </c>
      <c r="BC20" s="44">
        <f>IF(AM20=1,$AG20/(1+($AF$8+메인!$A$101/10000)/2)^(AN20-1),0)</f>
        <v/>
      </c>
      <c r="BD20" s="44">
        <f>IF(AM20=1,$AG20/(1+($AF$8+메인!$A$102/10000)/2)^(AN20-1),0)</f>
        <v/>
      </c>
      <c r="BE20" s="44">
        <f>IF(AM20=1,$AG20/(1+($AF$8+메인!$A$103/10000)/2)^(AN20-1),0)</f>
        <v/>
      </c>
      <c r="BF20" s="44">
        <f>IF(AM20=1,$AG20/(1+($AF$8+메인!$A$104/10000)/2)^(AN20-1),0)</f>
        <v/>
      </c>
    </row>
    <row r="21">
      <c r="A21" s="42" t="n">
        <v>7</v>
      </c>
      <c r="B21" s="43">
        <f>EDATE($B$2,-6*(62-$A21))</f>
        <v/>
      </c>
      <c r="C21" s="44">
        <f>IF(AND(B21&gt;$B$3,B21&lt;=$B$2),IF(B21=$B$2,$B$5+100,$B$5),0)</f>
        <v/>
      </c>
      <c r="D21" s="42">
        <f>IF(AND($C21&gt;0,B21&gt;$B$6),1,0)</f>
        <v/>
      </c>
      <c r="E21" s="42">
        <f>IF(D21=1,SUM($D$15:D21),"")</f>
        <v/>
      </c>
      <c r="F21" s="44">
        <f>IF(D21=1,$C21/(1+$B$8/2)^(E21-1),0)</f>
        <v/>
      </c>
      <c r="G21" s="44">
        <f>IF(D21=1,$C21/(1+($B$8+0.0001)/2)^(E21-1),0)</f>
        <v/>
      </c>
      <c r="H21" s="44">
        <f>IF(D21=1,$C21/(1+($B$8-0.0001)/2)^(E21-1),0)</f>
        <v/>
      </c>
      <c r="I21" s="42">
        <f>IF(AND($C21&gt;0,B21&gt;$B$7),1,0)</f>
        <v/>
      </c>
      <c r="J21" s="42">
        <f>IF(I21=1,SUM($I$15:I21),"")</f>
        <v/>
      </c>
      <c r="K21" s="44">
        <f>IF(I21=1,$C21/(1+$B$99/2)^(J21-1),0)</f>
        <v/>
      </c>
      <c r="L21" s="44">
        <f>IF(I21=1,$C21/(1+($B$99+0.0001)/2)^(J21-1),0)</f>
        <v/>
      </c>
      <c r="M21" s="44">
        <f>IF(I21=1,$C21/(1+($B$99-0.0001)/2)^(J21-1),0)</f>
        <v/>
      </c>
      <c r="N21" s="44">
        <f>IF(I21=1,$C21/(1+$B$104/2)^(J21-1),0)</f>
        <v/>
      </c>
      <c r="O21" s="44">
        <f>IF(I21=1,$C21/(1+($B$104+0.0001)/2)^(J21-1),0)</f>
        <v/>
      </c>
      <c r="P21" s="44">
        <f>IF(I21=1,$C21/(1+($B$104-0.0001)/2)^(J21-1),0)</f>
        <v/>
      </c>
      <c r="Q21" s="44">
        <f>IF(I21=1,$C21/(1+$B$109/2)^(J21-1),0)</f>
        <v/>
      </c>
      <c r="R21" s="44">
        <f>IF(AND($C21&gt;0,B21&gt;$B$6,B21&lt;=$B$7),$C21*(1+$B$9*($B$7-B21)/365),0)</f>
        <v/>
      </c>
      <c r="S21" s="44">
        <f>IF(I21=1,$C21/(1+($B$8+$B$10/10000)/2)^(J21-1),0)</f>
        <v/>
      </c>
      <c r="T21" s="44">
        <f>IF(I21=1,$C21/(1+($B$8+메인!$A$96/10000)/2)^(J21-1),0)</f>
        <v/>
      </c>
      <c r="U21" s="44">
        <f>IF(I21=1,$C21/(1+($B$8+메인!$A$97/10000)/2)^(J21-1),0)</f>
        <v/>
      </c>
      <c r="V21" s="44">
        <f>IF(I21=1,$C21/(1+($B$8+메인!$A$98/10000)/2)^(J21-1),0)</f>
        <v/>
      </c>
      <c r="W21" s="44">
        <f>IF(I21=1,$C21/(1+($B$8+메인!$A$99/10000)/2)^(J21-1),0)</f>
        <v/>
      </c>
      <c r="X21" s="44">
        <f>IF(I21=1,$C21/(1+($B$8+메인!$A$100/10000)/2)^(J21-1),0)</f>
        <v/>
      </c>
      <c r="Y21" s="44">
        <f>IF(I21=1,$C21/(1+($B$8+메인!$A$101/10000)/2)^(J21-1),0)</f>
        <v/>
      </c>
      <c r="Z21" s="44">
        <f>IF(I21=1,$C21/(1+($B$8+메인!$A$102/10000)/2)^(J21-1),0)</f>
        <v/>
      </c>
      <c r="AA21" s="44">
        <f>IF(I21=1,$C21/(1+($B$8+메인!$A$103/10000)/2)^(J21-1),0)</f>
        <v/>
      </c>
      <c r="AB21" s="44">
        <f>IF(I21=1,$C21/(1+($B$8+메인!$A$104/10000)/2)^(J21-1),0)</f>
        <v/>
      </c>
      <c r="AE21" s="42" t="n">
        <v>7</v>
      </c>
      <c r="AF21" s="43">
        <f>EDATE($AF$2,-6*(62-$AE21))</f>
        <v/>
      </c>
      <c r="AG21" s="44">
        <f>IF(AND(AF21&gt;$AF$3,AF21&lt;=$AF$2),IF(AF21=$AF$2,$AF$5+100,$AF$5),0)</f>
        <v/>
      </c>
      <c r="AH21" s="42">
        <f>IF(AND($AG21&gt;0,AF21&gt;$AF$6),1,0)</f>
        <v/>
      </c>
      <c r="AI21" s="42">
        <f>IF(AH21=1,SUM($AH$15:AH21),"")</f>
        <v/>
      </c>
      <c r="AJ21" s="44">
        <f>IF(AH21=1,$AG21/(1+$AF$8/2)^(AI21-1),0)</f>
        <v/>
      </c>
      <c r="AK21" s="44">
        <f>IF(AH21=1,$AG21/(1+($AF$8+0.0001)/2)^(AI21-1),0)</f>
        <v/>
      </c>
      <c r="AL21" s="44">
        <f>IF(AH21=1,$AG21/(1+($AF$8-0.0001)/2)^(AI21-1),0)</f>
        <v/>
      </c>
      <c r="AM21" s="42">
        <f>IF(AND($AG21&gt;0,AF21&gt;$AF$7),1,0)</f>
        <v/>
      </c>
      <c r="AN21" s="42">
        <f>IF(AM21=1,SUM($AM$15:AM21),"")</f>
        <v/>
      </c>
      <c r="AO21" s="44">
        <f>IF(AM21=1,$AG21/(1+$AF$99/2)^(AN21-1),0)</f>
        <v/>
      </c>
      <c r="AP21" s="44">
        <f>IF(AM21=1,$AG21/(1+($AF$99+0.0001)/2)^(AN21-1),0)</f>
        <v/>
      </c>
      <c r="AQ21" s="44">
        <f>IF(AM21=1,$AG21/(1+($AF$99-0.0001)/2)^(AN21-1),0)</f>
        <v/>
      </c>
      <c r="AR21" s="44">
        <f>IF(AM21=1,$AG21/(1+$AF$104/2)^(AN21-1),0)</f>
        <v/>
      </c>
      <c r="AS21" s="44">
        <f>IF(AM21=1,$AG21/(1+($AF$104+0.0001)/2)^(AN21-1),0)</f>
        <v/>
      </c>
      <c r="AT21" s="44">
        <f>IF(AM21=1,$AG21/(1+($AF$104-0.0001)/2)^(AN21-1),0)</f>
        <v/>
      </c>
      <c r="AU21" s="44">
        <f>IF(AM21=1,$AG21/(1+$AF$109/2)^(AN21-1),0)</f>
        <v/>
      </c>
      <c r="AV21" s="44">
        <f>IF(AND($AG21&gt;0,AF21&gt;$AF$6,AF21&lt;=$AF$7),$AG21*(1+$AF$9*($AF$7-AF21)/365),0)</f>
        <v/>
      </c>
      <c r="AW21" s="44">
        <f>IF(AM21=1,$AG21/(1+($AF$8+$AF$10/10000)/2)^(AN21-1),0)</f>
        <v/>
      </c>
      <c r="AX21" s="44">
        <f>IF(AM21=1,$AG21/(1+($AF$8+메인!$A$96/10000)/2)^(AN21-1),0)</f>
        <v/>
      </c>
      <c r="AY21" s="44">
        <f>IF(AM21=1,$AG21/(1+($AF$8+메인!$A$97/10000)/2)^(AN21-1),0)</f>
        <v/>
      </c>
      <c r="AZ21" s="44">
        <f>IF(AM21=1,$AG21/(1+($AF$8+메인!$A$98/10000)/2)^(AN21-1),0)</f>
        <v/>
      </c>
      <c r="BA21" s="44">
        <f>IF(AM21=1,$AG21/(1+($AF$8+메인!$A$99/10000)/2)^(AN21-1),0)</f>
        <v/>
      </c>
      <c r="BB21" s="44">
        <f>IF(AM21=1,$AG21/(1+($AF$8+메인!$A$100/10000)/2)^(AN21-1),0)</f>
        <v/>
      </c>
      <c r="BC21" s="44">
        <f>IF(AM21=1,$AG21/(1+($AF$8+메인!$A$101/10000)/2)^(AN21-1),0)</f>
        <v/>
      </c>
      <c r="BD21" s="44">
        <f>IF(AM21=1,$AG21/(1+($AF$8+메인!$A$102/10000)/2)^(AN21-1),0)</f>
        <v/>
      </c>
      <c r="BE21" s="44">
        <f>IF(AM21=1,$AG21/(1+($AF$8+메인!$A$103/10000)/2)^(AN21-1),0)</f>
        <v/>
      </c>
      <c r="BF21" s="44">
        <f>IF(AM21=1,$AG21/(1+($AF$8+메인!$A$104/10000)/2)^(AN21-1),0)</f>
        <v/>
      </c>
    </row>
    <row r="22">
      <c r="A22" s="42" t="n">
        <v>8</v>
      </c>
      <c r="B22" s="43">
        <f>EDATE($B$2,-6*(62-$A22))</f>
        <v/>
      </c>
      <c r="C22" s="44">
        <f>IF(AND(B22&gt;$B$3,B22&lt;=$B$2),IF(B22=$B$2,$B$5+100,$B$5),0)</f>
        <v/>
      </c>
      <c r="D22" s="42">
        <f>IF(AND($C22&gt;0,B22&gt;$B$6),1,0)</f>
        <v/>
      </c>
      <c r="E22" s="42">
        <f>IF(D22=1,SUM($D$15:D22),"")</f>
        <v/>
      </c>
      <c r="F22" s="44">
        <f>IF(D22=1,$C22/(1+$B$8/2)^(E22-1),0)</f>
        <v/>
      </c>
      <c r="G22" s="44">
        <f>IF(D22=1,$C22/(1+($B$8+0.0001)/2)^(E22-1),0)</f>
        <v/>
      </c>
      <c r="H22" s="44">
        <f>IF(D22=1,$C22/(1+($B$8-0.0001)/2)^(E22-1),0)</f>
        <v/>
      </c>
      <c r="I22" s="42">
        <f>IF(AND($C22&gt;0,B22&gt;$B$7),1,0)</f>
        <v/>
      </c>
      <c r="J22" s="42">
        <f>IF(I22=1,SUM($I$15:I22),"")</f>
        <v/>
      </c>
      <c r="K22" s="44">
        <f>IF(I22=1,$C22/(1+$B$99/2)^(J22-1),0)</f>
        <v/>
      </c>
      <c r="L22" s="44">
        <f>IF(I22=1,$C22/(1+($B$99+0.0001)/2)^(J22-1),0)</f>
        <v/>
      </c>
      <c r="M22" s="44">
        <f>IF(I22=1,$C22/(1+($B$99-0.0001)/2)^(J22-1),0)</f>
        <v/>
      </c>
      <c r="N22" s="44">
        <f>IF(I22=1,$C22/(1+$B$104/2)^(J22-1),0)</f>
        <v/>
      </c>
      <c r="O22" s="44">
        <f>IF(I22=1,$C22/(1+($B$104+0.0001)/2)^(J22-1),0)</f>
        <v/>
      </c>
      <c r="P22" s="44">
        <f>IF(I22=1,$C22/(1+($B$104-0.0001)/2)^(J22-1),0)</f>
        <v/>
      </c>
      <c r="Q22" s="44">
        <f>IF(I22=1,$C22/(1+$B$109/2)^(J22-1),0)</f>
        <v/>
      </c>
      <c r="R22" s="44">
        <f>IF(AND($C22&gt;0,B22&gt;$B$6,B22&lt;=$B$7),$C22*(1+$B$9*($B$7-B22)/365),0)</f>
        <v/>
      </c>
      <c r="S22" s="44">
        <f>IF(I22=1,$C22/(1+($B$8+$B$10/10000)/2)^(J22-1),0)</f>
        <v/>
      </c>
      <c r="T22" s="44">
        <f>IF(I22=1,$C22/(1+($B$8+메인!$A$96/10000)/2)^(J22-1),0)</f>
        <v/>
      </c>
      <c r="U22" s="44">
        <f>IF(I22=1,$C22/(1+($B$8+메인!$A$97/10000)/2)^(J22-1),0)</f>
        <v/>
      </c>
      <c r="V22" s="44">
        <f>IF(I22=1,$C22/(1+($B$8+메인!$A$98/10000)/2)^(J22-1),0)</f>
        <v/>
      </c>
      <c r="W22" s="44">
        <f>IF(I22=1,$C22/(1+($B$8+메인!$A$99/10000)/2)^(J22-1),0)</f>
        <v/>
      </c>
      <c r="X22" s="44">
        <f>IF(I22=1,$C22/(1+($B$8+메인!$A$100/10000)/2)^(J22-1),0)</f>
        <v/>
      </c>
      <c r="Y22" s="44">
        <f>IF(I22=1,$C22/(1+($B$8+메인!$A$101/10000)/2)^(J22-1),0)</f>
        <v/>
      </c>
      <c r="Z22" s="44">
        <f>IF(I22=1,$C22/(1+($B$8+메인!$A$102/10000)/2)^(J22-1),0)</f>
        <v/>
      </c>
      <c r="AA22" s="44">
        <f>IF(I22=1,$C22/(1+($B$8+메인!$A$103/10000)/2)^(J22-1),0)</f>
        <v/>
      </c>
      <c r="AB22" s="44">
        <f>IF(I22=1,$C22/(1+($B$8+메인!$A$104/10000)/2)^(J22-1),0)</f>
        <v/>
      </c>
      <c r="AE22" s="42" t="n">
        <v>8</v>
      </c>
      <c r="AF22" s="43">
        <f>EDATE($AF$2,-6*(62-$AE22))</f>
        <v/>
      </c>
      <c r="AG22" s="44">
        <f>IF(AND(AF22&gt;$AF$3,AF22&lt;=$AF$2),IF(AF22=$AF$2,$AF$5+100,$AF$5),0)</f>
        <v/>
      </c>
      <c r="AH22" s="42">
        <f>IF(AND($AG22&gt;0,AF22&gt;$AF$6),1,0)</f>
        <v/>
      </c>
      <c r="AI22" s="42">
        <f>IF(AH22=1,SUM($AH$15:AH22),"")</f>
        <v/>
      </c>
      <c r="AJ22" s="44">
        <f>IF(AH22=1,$AG22/(1+$AF$8/2)^(AI22-1),0)</f>
        <v/>
      </c>
      <c r="AK22" s="44">
        <f>IF(AH22=1,$AG22/(1+($AF$8+0.0001)/2)^(AI22-1),0)</f>
        <v/>
      </c>
      <c r="AL22" s="44">
        <f>IF(AH22=1,$AG22/(1+($AF$8-0.0001)/2)^(AI22-1),0)</f>
        <v/>
      </c>
      <c r="AM22" s="42">
        <f>IF(AND($AG22&gt;0,AF22&gt;$AF$7),1,0)</f>
        <v/>
      </c>
      <c r="AN22" s="42">
        <f>IF(AM22=1,SUM($AM$15:AM22),"")</f>
        <v/>
      </c>
      <c r="AO22" s="44">
        <f>IF(AM22=1,$AG22/(1+$AF$99/2)^(AN22-1),0)</f>
        <v/>
      </c>
      <c r="AP22" s="44">
        <f>IF(AM22=1,$AG22/(1+($AF$99+0.0001)/2)^(AN22-1),0)</f>
        <v/>
      </c>
      <c r="AQ22" s="44">
        <f>IF(AM22=1,$AG22/(1+($AF$99-0.0001)/2)^(AN22-1),0)</f>
        <v/>
      </c>
      <c r="AR22" s="44">
        <f>IF(AM22=1,$AG22/(1+$AF$104/2)^(AN22-1),0)</f>
        <v/>
      </c>
      <c r="AS22" s="44">
        <f>IF(AM22=1,$AG22/(1+($AF$104+0.0001)/2)^(AN22-1),0)</f>
        <v/>
      </c>
      <c r="AT22" s="44">
        <f>IF(AM22=1,$AG22/(1+($AF$104-0.0001)/2)^(AN22-1),0)</f>
        <v/>
      </c>
      <c r="AU22" s="44">
        <f>IF(AM22=1,$AG22/(1+$AF$109/2)^(AN22-1),0)</f>
        <v/>
      </c>
      <c r="AV22" s="44">
        <f>IF(AND($AG22&gt;0,AF22&gt;$AF$6,AF22&lt;=$AF$7),$AG22*(1+$AF$9*($AF$7-AF22)/365),0)</f>
        <v/>
      </c>
      <c r="AW22" s="44">
        <f>IF(AM22=1,$AG22/(1+($AF$8+$AF$10/10000)/2)^(AN22-1),0)</f>
        <v/>
      </c>
      <c r="AX22" s="44">
        <f>IF(AM22=1,$AG22/(1+($AF$8+메인!$A$96/10000)/2)^(AN22-1),0)</f>
        <v/>
      </c>
      <c r="AY22" s="44">
        <f>IF(AM22=1,$AG22/(1+($AF$8+메인!$A$97/10000)/2)^(AN22-1),0)</f>
        <v/>
      </c>
      <c r="AZ22" s="44">
        <f>IF(AM22=1,$AG22/(1+($AF$8+메인!$A$98/10000)/2)^(AN22-1),0)</f>
        <v/>
      </c>
      <c r="BA22" s="44">
        <f>IF(AM22=1,$AG22/(1+($AF$8+메인!$A$99/10000)/2)^(AN22-1),0)</f>
        <v/>
      </c>
      <c r="BB22" s="44">
        <f>IF(AM22=1,$AG22/(1+($AF$8+메인!$A$100/10000)/2)^(AN22-1),0)</f>
        <v/>
      </c>
      <c r="BC22" s="44">
        <f>IF(AM22=1,$AG22/(1+($AF$8+메인!$A$101/10000)/2)^(AN22-1),0)</f>
        <v/>
      </c>
      <c r="BD22" s="44">
        <f>IF(AM22=1,$AG22/(1+($AF$8+메인!$A$102/10000)/2)^(AN22-1),0)</f>
        <v/>
      </c>
      <c r="BE22" s="44">
        <f>IF(AM22=1,$AG22/(1+($AF$8+메인!$A$103/10000)/2)^(AN22-1),0)</f>
        <v/>
      </c>
      <c r="BF22" s="44">
        <f>IF(AM22=1,$AG22/(1+($AF$8+메인!$A$104/10000)/2)^(AN22-1),0)</f>
        <v/>
      </c>
    </row>
    <row r="23">
      <c r="A23" s="42" t="n">
        <v>9</v>
      </c>
      <c r="B23" s="43">
        <f>EDATE($B$2,-6*(62-$A23))</f>
        <v/>
      </c>
      <c r="C23" s="44">
        <f>IF(AND(B23&gt;$B$3,B23&lt;=$B$2),IF(B23=$B$2,$B$5+100,$B$5),0)</f>
        <v/>
      </c>
      <c r="D23" s="42">
        <f>IF(AND($C23&gt;0,B23&gt;$B$6),1,0)</f>
        <v/>
      </c>
      <c r="E23" s="42">
        <f>IF(D23=1,SUM($D$15:D23),"")</f>
        <v/>
      </c>
      <c r="F23" s="44">
        <f>IF(D23=1,$C23/(1+$B$8/2)^(E23-1),0)</f>
        <v/>
      </c>
      <c r="G23" s="44">
        <f>IF(D23=1,$C23/(1+($B$8+0.0001)/2)^(E23-1),0)</f>
        <v/>
      </c>
      <c r="H23" s="44">
        <f>IF(D23=1,$C23/(1+($B$8-0.0001)/2)^(E23-1),0)</f>
        <v/>
      </c>
      <c r="I23" s="42">
        <f>IF(AND($C23&gt;0,B23&gt;$B$7),1,0)</f>
        <v/>
      </c>
      <c r="J23" s="42">
        <f>IF(I23=1,SUM($I$15:I23),"")</f>
        <v/>
      </c>
      <c r="K23" s="44">
        <f>IF(I23=1,$C23/(1+$B$99/2)^(J23-1),0)</f>
        <v/>
      </c>
      <c r="L23" s="44">
        <f>IF(I23=1,$C23/(1+($B$99+0.0001)/2)^(J23-1),0)</f>
        <v/>
      </c>
      <c r="M23" s="44">
        <f>IF(I23=1,$C23/(1+($B$99-0.0001)/2)^(J23-1),0)</f>
        <v/>
      </c>
      <c r="N23" s="44">
        <f>IF(I23=1,$C23/(1+$B$104/2)^(J23-1),0)</f>
        <v/>
      </c>
      <c r="O23" s="44">
        <f>IF(I23=1,$C23/(1+($B$104+0.0001)/2)^(J23-1),0)</f>
        <v/>
      </c>
      <c r="P23" s="44">
        <f>IF(I23=1,$C23/(1+($B$104-0.0001)/2)^(J23-1),0)</f>
        <v/>
      </c>
      <c r="Q23" s="44">
        <f>IF(I23=1,$C23/(1+$B$109/2)^(J23-1),0)</f>
        <v/>
      </c>
      <c r="R23" s="44">
        <f>IF(AND($C23&gt;0,B23&gt;$B$6,B23&lt;=$B$7),$C23*(1+$B$9*($B$7-B23)/365),0)</f>
        <v/>
      </c>
      <c r="S23" s="44">
        <f>IF(I23=1,$C23/(1+($B$8+$B$10/10000)/2)^(J23-1),0)</f>
        <v/>
      </c>
      <c r="T23" s="44">
        <f>IF(I23=1,$C23/(1+($B$8+메인!$A$96/10000)/2)^(J23-1),0)</f>
        <v/>
      </c>
      <c r="U23" s="44">
        <f>IF(I23=1,$C23/(1+($B$8+메인!$A$97/10000)/2)^(J23-1),0)</f>
        <v/>
      </c>
      <c r="V23" s="44">
        <f>IF(I23=1,$C23/(1+($B$8+메인!$A$98/10000)/2)^(J23-1),0)</f>
        <v/>
      </c>
      <c r="W23" s="44">
        <f>IF(I23=1,$C23/(1+($B$8+메인!$A$99/10000)/2)^(J23-1),0)</f>
        <v/>
      </c>
      <c r="X23" s="44">
        <f>IF(I23=1,$C23/(1+($B$8+메인!$A$100/10000)/2)^(J23-1),0)</f>
        <v/>
      </c>
      <c r="Y23" s="44">
        <f>IF(I23=1,$C23/(1+($B$8+메인!$A$101/10000)/2)^(J23-1),0)</f>
        <v/>
      </c>
      <c r="Z23" s="44">
        <f>IF(I23=1,$C23/(1+($B$8+메인!$A$102/10000)/2)^(J23-1),0)</f>
        <v/>
      </c>
      <c r="AA23" s="44">
        <f>IF(I23=1,$C23/(1+($B$8+메인!$A$103/10000)/2)^(J23-1),0)</f>
        <v/>
      </c>
      <c r="AB23" s="44">
        <f>IF(I23=1,$C23/(1+($B$8+메인!$A$104/10000)/2)^(J23-1),0)</f>
        <v/>
      </c>
      <c r="AE23" s="42" t="n">
        <v>9</v>
      </c>
      <c r="AF23" s="43">
        <f>EDATE($AF$2,-6*(62-$AE23))</f>
        <v/>
      </c>
      <c r="AG23" s="44">
        <f>IF(AND(AF23&gt;$AF$3,AF23&lt;=$AF$2),IF(AF23=$AF$2,$AF$5+100,$AF$5),0)</f>
        <v/>
      </c>
      <c r="AH23" s="42">
        <f>IF(AND($AG23&gt;0,AF23&gt;$AF$6),1,0)</f>
        <v/>
      </c>
      <c r="AI23" s="42">
        <f>IF(AH23=1,SUM($AH$15:AH23),"")</f>
        <v/>
      </c>
      <c r="AJ23" s="44">
        <f>IF(AH23=1,$AG23/(1+$AF$8/2)^(AI23-1),0)</f>
        <v/>
      </c>
      <c r="AK23" s="44">
        <f>IF(AH23=1,$AG23/(1+($AF$8+0.0001)/2)^(AI23-1),0)</f>
        <v/>
      </c>
      <c r="AL23" s="44">
        <f>IF(AH23=1,$AG23/(1+($AF$8-0.0001)/2)^(AI23-1),0)</f>
        <v/>
      </c>
      <c r="AM23" s="42">
        <f>IF(AND($AG23&gt;0,AF23&gt;$AF$7),1,0)</f>
        <v/>
      </c>
      <c r="AN23" s="42">
        <f>IF(AM23=1,SUM($AM$15:AM23),"")</f>
        <v/>
      </c>
      <c r="AO23" s="44">
        <f>IF(AM23=1,$AG23/(1+$AF$99/2)^(AN23-1),0)</f>
        <v/>
      </c>
      <c r="AP23" s="44">
        <f>IF(AM23=1,$AG23/(1+($AF$99+0.0001)/2)^(AN23-1),0)</f>
        <v/>
      </c>
      <c r="AQ23" s="44">
        <f>IF(AM23=1,$AG23/(1+($AF$99-0.0001)/2)^(AN23-1),0)</f>
        <v/>
      </c>
      <c r="AR23" s="44">
        <f>IF(AM23=1,$AG23/(1+$AF$104/2)^(AN23-1),0)</f>
        <v/>
      </c>
      <c r="AS23" s="44">
        <f>IF(AM23=1,$AG23/(1+($AF$104+0.0001)/2)^(AN23-1),0)</f>
        <v/>
      </c>
      <c r="AT23" s="44">
        <f>IF(AM23=1,$AG23/(1+($AF$104-0.0001)/2)^(AN23-1),0)</f>
        <v/>
      </c>
      <c r="AU23" s="44">
        <f>IF(AM23=1,$AG23/(1+$AF$109/2)^(AN23-1),0)</f>
        <v/>
      </c>
      <c r="AV23" s="44">
        <f>IF(AND($AG23&gt;0,AF23&gt;$AF$6,AF23&lt;=$AF$7),$AG23*(1+$AF$9*($AF$7-AF23)/365),0)</f>
        <v/>
      </c>
      <c r="AW23" s="44">
        <f>IF(AM23=1,$AG23/(1+($AF$8+$AF$10/10000)/2)^(AN23-1),0)</f>
        <v/>
      </c>
      <c r="AX23" s="44">
        <f>IF(AM23=1,$AG23/(1+($AF$8+메인!$A$96/10000)/2)^(AN23-1),0)</f>
        <v/>
      </c>
      <c r="AY23" s="44">
        <f>IF(AM23=1,$AG23/(1+($AF$8+메인!$A$97/10000)/2)^(AN23-1),0)</f>
        <v/>
      </c>
      <c r="AZ23" s="44">
        <f>IF(AM23=1,$AG23/(1+($AF$8+메인!$A$98/10000)/2)^(AN23-1),0)</f>
        <v/>
      </c>
      <c r="BA23" s="44">
        <f>IF(AM23=1,$AG23/(1+($AF$8+메인!$A$99/10000)/2)^(AN23-1),0)</f>
        <v/>
      </c>
      <c r="BB23" s="44">
        <f>IF(AM23=1,$AG23/(1+($AF$8+메인!$A$100/10000)/2)^(AN23-1),0)</f>
        <v/>
      </c>
      <c r="BC23" s="44">
        <f>IF(AM23=1,$AG23/(1+($AF$8+메인!$A$101/10000)/2)^(AN23-1),0)</f>
        <v/>
      </c>
      <c r="BD23" s="44">
        <f>IF(AM23=1,$AG23/(1+($AF$8+메인!$A$102/10000)/2)^(AN23-1),0)</f>
        <v/>
      </c>
      <c r="BE23" s="44">
        <f>IF(AM23=1,$AG23/(1+($AF$8+메인!$A$103/10000)/2)^(AN23-1),0)</f>
        <v/>
      </c>
      <c r="BF23" s="44">
        <f>IF(AM23=1,$AG23/(1+($AF$8+메인!$A$104/10000)/2)^(AN23-1),0)</f>
        <v/>
      </c>
    </row>
    <row r="24">
      <c r="A24" s="42" t="n">
        <v>10</v>
      </c>
      <c r="B24" s="43">
        <f>EDATE($B$2,-6*(62-$A24))</f>
        <v/>
      </c>
      <c r="C24" s="44">
        <f>IF(AND(B24&gt;$B$3,B24&lt;=$B$2),IF(B24=$B$2,$B$5+100,$B$5),0)</f>
        <v/>
      </c>
      <c r="D24" s="42">
        <f>IF(AND($C24&gt;0,B24&gt;$B$6),1,0)</f>
        <v/>
      </c>
      <c r="E24" s="42">
        <f>IF(D24=1,SUM($D$15:D24),"")</f>
        <v/>
      </c>
      <c r="F24" s="44">
        <f>IF(D24=1,$C24/(1+$B$8/2)^(E24-1),0)</f>
        <v/>
      </c>
      <c r="G24" s="44">
        <f>IF(D24=1,$C24/(1+($B$8+0.0001)/2)^(E24-1),0)</f>
        <v/>
      </c>
      <c r="H24" s="44">
        <f>IF(D24=1,$C24/(1+($B$8-0.0001)/2)^(E24-1),0)</f>
        <v/>
      </c>
      <c r="I24" s="42">
        <f>IF(AND($C24&gt;0,B24&gt;$B$7),1,0)</f>
        <v/>
      </c>
      <c r="J24" s="42">
        <f>IF(I24=1,SUM($I$15:I24),"")</f>
        <v/>
      </c>
      <c r="K24" s="44">
        <f>IF(I24=1,$C24/(1+$B$99/2)^(J24-1),0)</f>
        <v/>
      </c>
      <c r="L24" s="44">
        <f>IF(I24=1,$C24/(1+($B$99+0.0001)/2)^(J24-1),0)</f>
        <v/>
      </c>
      <c r="M24" s="44">
        <f>IF(I24=1,$C24/(1+($B$99-0.0001)/2)^(J24-1),0)</f>
        <v/>
      </c>
      <c r="N24" s="44">
        <f>IF(I24=1,$C24/(1+$B$104/2)^(J24-1),0)</f>
        <v/>
      </c>
      <c r="O24" s="44">
        <f>IF(I24=1,$C24/(1+($B$104+0.0001)/2)^(J24-1),0)</f>
        <v/>
      </c>
      <c r="P24" s="44">
        <f>IF(I24=1,$C24/(1+($B$104-0.0001)/2)^(J24-1),0)</f>
        <v/>
      </c>
      <c r="Q24" s="44">
        <f>IF(I24=1,$C24/(1+$B$109/2)^(J24-1),0)</f>
        <v/>
      </c>
      <c r="R24" s="44">
        <f>IF(AND($C24&gt;0,B24&gt;$B$6,B24&lt;=$B$7),$C24*(1+$B$9*($B$7-B24)/365),0)</f>
        <v/>
      </c>
      <c r="S24" s="44">
        <f>IF(I24=1,$C24/(1+($B$8+$B$10/10000)/2)^(J24-1),0)</f>
        <v/>
      </c>
      <c r="T24" s="44">
        <f>IF(I24=1,$C24/(1+($B$8+메인!$A$96/10000)/2)^(J24-1),0)</f>
        <v/>
      </c>
      <c r="U24" s="44">
        <f>IF(I24=1,$C24/(1+($B$8+메인!$A$97/10000)/2)^(J24-1),0)</f>
        <v/>
      </c>
      <c r="V24" s="44">
        <f>IF(I24=1,$C24/(1+($B$8+메인!$A$98/10000)/2)^(J24-1),0)</f>
        <v/>
      </c>
      <c r="W24" s="44">
        <f>IF(I24=1,$C24/(1+($B$8+메인!$A$99/10000)/2)^(J24-1),0)</f>
        <v/>
      </c>
      <c r="X24" s="44">
        <f>IF(I24=1,$C24/(1+($B$8+메인!$A$100/10000)/2)^(J24-1),0)</f>
        <v/>
      </c>
      <c r="Y24" s="44">
        <f>IF(I24=1,$C24/(1+($B$8+메인!$A$101/10000)/2)^(J24-1),0)</f>
        <v/>
      </c>
      <c r="Z24" s="44">
        <f>IF(I24=1,$C24/(1+($B$8+메인!$A$102/10000)/2)^(J24-1),0)</f>
        <v/>
      </c>
      <c r="AA24" s="44">
        <f>IF(I24=1,$C24/(1+($B$8+메인!$A$103/10000)/2)^(J24-1),0)</f>
        <v/>
      </c>
      <c r="AB24" s="44">
        <f>IF(I24=1,$C24/(1+($B$8+메인!$A$104/10000)/2)^(J24-1),0)</f>
        <v/>
      </c>
      <c r="AE24" s="42" t="n">
        <v>10</v>
      </c>
      <c r="AF24" s="43">
        <f>EDATE($AF$2,-6*(62-$AE24))</f>
        <v/>
      </c>
      <c r="AG24" s="44">
        <f>IF(AND(AF24&gt;$AF$3,AF24&lt;=$AF$2),IF(AF24=$AF$2,$AF$5+100,$AF$5),0)</f>
        <v/>
      </c>
      <c r="AH24" s="42">
        <f>IF(AND($AG24&gt;0,AF24&gt;$AF$6),1,0)</f>
        <v/>
      </c>
      <c r="AI24" s="42">
        <f>IF(AH24=1,SUM($AH$15:AH24),"")</f>
        <v/>
      </c>
      <c r="AJ24" s="44">
        <f>IF(AH24=1,$AG24/(1+$AF$8/2)^(AI24-1),0)</f>
        <v/>
      </c>
      <c r="AK24" s="44">
        <f>IF(AH24=1,$AG24/(1+($AF$8+0.0001)/2)^(AI24-1),0)</f>
        <v/>
      </c>
      <c r="AL24" s="44">
        <f>IF(AH24=1,$AG24/(1+($AF$8-0.0001)/2)^(AI24-1),0)</f>
        <v/>
      </c>
      <c r="AM24" s="42">
        <f>IF(AND($AG24&gt;0,AF24&gt;$AF$7),1,0)</f>
        <v/>
      </c>
      <c r="AN24" s="42">
        <f>IF(AM24=1,SUM($AM$15:AM24),"")</f>
        <v/>
      </c>
      <c r="AO24" s="44">
        <f>IF(AM24=1,$AG24/(1+$AF$99/2)^(AN24-1),0)</f>
        <v/>
      </c>
      <c r="AP24" s="44">
        <f>IF(AM24=1,$AG24/(1+($AF$99+0.0001)/2)^(AN24-1),0)</f>
        <v/>
      </c>
      <c r="AQ24" s="44">
        <f>IF(AM24=1,$AG24/(1+($AF$99-0.0001)/2)^(AN24-1),0)</f>
        <v/>
      </c>
      <c r="AR24" s="44">
        <f>IF(AM24=1,$AG24/(1+$AF$104/2)^(AN24-1),0)</f>
        <v/>
      </c>
      <c r="AS24" s="44">
        <f>IF(AM24=1,$AG24/(1+($AF$104+0.0001)/2)^(AN24-1),0)</f>
        <v/>
      </c>
      <c r="AT24" s="44">
        <f>IF(AM24=1,$AG24/(1+($AF$104-0.0001)/2)^(AN24-1),0)</f>
        <v/>
      </c>
      <c r="AU24" s="44">
        <f>IF(AM24=1,$AG24/(1+$AF$109/2)^(AN24-1),0)</f>
        <v/>
      </c>
      <c r="AV24" s="44">
        <f>IF(AND($AG24&gt;0,AF24&gt;$AF$6,AF24&lt;=$AF$7),$AG24*(1+$AF$9*($AF$7-AF24)/365),0)</f>
        <v/>
      </c>
      <c r="AW24" s="44">
        <f>IF(AM24=1,$AG24/(1+($AF$8+$AF$10/10000)/2)^(AN24-1),0)</f>
        <v/>
      </c>
      <c r="AX24" s="44">
        <f>IF(AM24=1,$AG24/(1+($AF$8+메인!$A$96/10000)/2)^(AN24-1),0)</f>
        <v/>
      </c>
      <c r="AY24" s="44">
        <f>IF(AM24=1,$AG24/(1+($AF$8+메인!$A$97/10000)/2)^(AN24-1),0)</f>
        <v/>
      </c>
      <c r="AZ24" s="44">
        <f>IF(AM24=1,$AG24/(1+($AF$8+메인!$A$98/10000)/2)^(AN24-1),0)</f>
        <v/>
      </c>
      <c r="BA24" s="44">
        <f>IF(AM24=1,$AG24/(1+($AF$8+메인!$A$99/10000)/2)^(AN24-1),0)</f>
        <v/>
      </c>
      <c r="BB24" s="44">
        <f>IF(AM24=1,$AG24/(1+($AF$8+메인!$A$100/10000)/2)^(AN24-1),0)</f>
        <v/>
      </c>
      <c r="BC24" s="44">
        <f>IF(AM24=1,$AG24/(1+($AF$8+메인!$A$101/10000)/2)^(AN24-1),0)</f>
        <v/>
      </c>
      <c r="BD24" s="44">
        <f>IF(AM24=1,$AG24/(1+($AF$8+메인!$A$102/10000)/2)^(AN24-1),0)</f>
        <v/>
      </c>
      <c r="BE24" s="44">
        <f>IF(AM24=1,$AG24/(1+($AF$8+메인!$A$103/10000)/2)^(AN24-1),0)</f>
        <v/>
      </c>
      <c r="BF24" s="44">
        <f>IF(AM24=1,$AG24/(1+($AF$8+메인!$A$104/10000)/2)^(AN24-1),0)</f>
        <v/>
      </c>
    </row>
    <row r="25">
      <c r="A25" s="42" t="n">
        <v>11</v>
      </c>
      <c r="B25" s="43">
        <f>EDATE($B$2,-6*(62-$A25))</f>
        <v/>
      </c>
      <c r="C25" s="44">
        <f>IF(AND(B25&gt;$B$3,B25&lt;=$B$2),IF(B25=$B$2,$B$5+100,$B$5),0)</f>
        <v/>
      </c>
      <c r="D25" s="42">
        <f>IF(AND($C25&gt;0,B25&gt;$B$6),1,0)</f>
        <v/>
      </c>
      <c r="E25" s="42">
        <f>IF(D25=1,SUM($D$15:D25),"")</f>
        <v/>
      </c>
      <c r="F25" s="44">
        <f>IF(D25=1,$C25/(1+$B$8/2)^(E25-1),0)</f>
        <v/>
      </c>
      <c r="G25" s="44">
        <f>IF(D25=1,$C25/(1+($B$8+0.0001)/2)^(E25-1),0)</f>
        <v/>
      </c>
      <c r="H25" s="44">
        <f>IF(D25=1,$C25/(1+($B$8-0.0001)/2)^(E25-1),0)</f>
        <v/>
      </c>
      <c r="I25" s="42">
        <f>IF(AND($C25&gt;0,B25&gt;$B$7),1,0)</f>
        <v/>
      </c>
      <c r="J25" s="42">
        <f>IF(I25=1,SUM($I$15:I25),"")</f>
        <v/>
      </c>
      <c r="K25" s="44">
        <f>IF(I25=1,$C25/(1+$B$99/2)^(J25-1),0)</f>
        <v/>
      </c>
      <c r="L25" s="44">
        <f>IF(I25=1,$C25/(1+($B$99+0.0001)/2)^(J25-1),0)</f>
        <v/>
      </c>
      <c r="M25" s="44">
        <f>IF(I25=1,$C25/(1+($B$99-0.0001)/2)^(J25-1),0)</f>
        <v/>
      </c>
      <c r="N25" s="44">
        <f>IF(I25=1,$C25/(1+$B$104/2)^(J25-1),0)</f>
        <v/>
      </c>
      <c r="O25" s="44">
        <f>IF(I25=1,$C25/(1+($B$104+0.0001)/2)^(J25-1),0)</f>
        <v/>
      </c>
      <c r="P25" s="44">
        <f>IF(I25=1,$C25/(1+($B$104-0.0001)/2)^(J25-1),0)</f>
        <v/>
      </c>
      <c r="Q25" s="44">
        <f>IF(I25=1,$C25/(1+$B$109/2)^(J25-1),0)</f>
        <v/>
      </c>
      <c r="R25" s="44">
        <f>IF(AND($C25&gt;0,B25&gt;$B$6,B25&lt;=$B$7),$C25*(1+$B$9*($B$7-B25)/365),0)</f>
        <v/>
      </c>
      <c r="S25" s="44">
        <f>IF(I25=1,$C25/(1+($B$8+$B$10/10000)/2)^(J25-1),0)</f>
        <v/>
      </c>
      <c r="T25" s="44">
        <f>IF(I25=1,$C25/(1+($B$8+메인!$A$96/10000)/2)^(J25-1),0)</f>
        <v/>
      </c>
      <c r="U25" s="44">
        <f>IF(I25=1,$C25/(1+($B$8+메인!$A$97/10000)/2)^(J25-1),0)</f>
        <v/>
      </c>
      <c r="V25" s="44">
        <f>IF(I25=1,$C25/(1+($B$8+메인!$A$98/10000)/2)^(J25-1),0)</f>
        <v/>
      </c>
      <c r="W25" s="44">
        <f>IF(I25=1,$C25/(1+($B$8+메인!$A$99/10000)/2)^(J25-1),0)</f>
        <v/>
      </c>
      <c r="X25" s="44">
        <f>IF(I25=1,$C25/(1+($B$8+메인!$A$100/10000)/2)^(J25-1),0)</f>
        <v/>
      </c>
      <c r="Y25" s="44">
        <f>IF(I25=1,$C25/(1+($B$8+메인!$A$101/10000)/2)^(J25-1),0)</f>
        <v/>
      </c>
      <c r="Z25" s="44">
        <f>IF(I25=1,$C25/(1+($B$8+메인!$A$102/10000)/2)^(J25-1),0)</f>
        <v/>
      </c>
      <c r="AA25" s="44">
        <f>IF(I25=1,$C25/(1+($B$8+메인!$A$103/10000)/2)^(J25-1),0)</f>
        <v/>
      </c>
      <c r="AB25" s="44">
        <f>IF(I25=1,$C25/(1+($B$8+메인!$A$104/10000)/2)^(J25-1),0)</f>
        <v/>
      </c>
      <c r="AE25" s="42" t="n">
        <v>11</v>
      </c>
      <c r="AF25" s="43">
        <f>EDATE($AF$2,-6*(62-$AE25))</f>
        <v/>
      </c>
      <c r="AG25" s="44">
        <f>IF(AND(AF25&gt;$AF$3,AF25&lt;=$AF$2),IF(AF25=$AF$2,$AF$5+100,$AF$5),0)</f>
        <v/>
      </c>
      <c r="AH25" s="42">
        <f>IF(AND($AG25&gt;0,AF25&gt;$AF$6),1,0)</f>
        <v/>
      </c>
      <c r="AI25" s="42">
        <f>IF(AH25=1,SUM($AH$15:AH25),"")</f>
        <v/>
      </c>
      <c r="AJ25" s="44">
        <f>IF(AH25=1,$AG25/(1+$AF$8/2)^(AI25-1),0)</f>
        <v/>
      </c>
      <c r="AK25" s="44">
        <f>IF(AH25=1,$AG25/(1+($AF$8+0.0001)/2)^(AI25-1),0)</f>
        <v/>
      </c>
      <c r="AL25" s="44">
        <f>IF(AH25=1,$AG25/(1+($AF$8-0.0001)/2)^(AI25-1),0)</f>
        <v/>
      </c>
      <c r="AM25" s="42">
        <f>IF(AND($AG25&gt;0,AF25&gt;$AF$7),1,0)</f>
        <v/>
      </c>
      <c r="AN25" s="42">
        <f>IF(AM25=1,SUM($AM$15:AM25),"")</f>
        <v/>
      </c>
      <c r="AO25" s="44">
        <f>IF(AM25=1,$AG25/(1+$AF$99/2)^(AN25-1),0)</f>
        <v/>
      </c>
      <c r="AP25" s="44">
        <f>IF(AM25=1,$AG25/(1+($AF$99+0.0001)/2)^(AN25-1),0)</f>
        <v/>
      </c>
      <c r="AQ25" s="44">
        <f>IF(AM25=1,$AG25/(1+($AF$99-0.0001)/2)^(AN25-1),0)</f>
        <v/>
      </c>
      <c r="AR25" s="44">
        <f>IF(AM25=1,$AG25/(1+$AF$104/2)^(AN25-1),0)</f>
        <v/>
      </c>
      <c r="AS25" s="44">
        <f>IF(AM25=1,$AG25/(1+($AF$104+0.0001)/2)^(AN25-1),0)</f>
        <v/>
      </c>
      <c r="AT25" s="44">
        <f>IF(AM25=1,$AG25/(1+($AF$104-0.0001)/2)^(AN25-1),0)</f>
        <v/>
      </c>
      <c r="AU25" s="44">
        <f>IF(AM25=1,$AG25/(1+$AF$109/2)^(AN25-1),0)</f>
        <v/>
      </c>
      <c r="AV25" s="44">
        <f>IF(AND($AG25&gt;0,AF25&gt;$AF$6,AF25&lt;=$AF$7),$AG25*(1+$AF$9*($AF$7-AF25)/365),0)</f>
        <v/>
      </c>
      <c r="AW25" s="44">
        <f>IF(AM25=1,$AG25/(1+($AF$8+$AF$10/10000)/2)^(AN25-1),0)</f>
        <v/>
      </c>
      <c r="AX25" s="44">
        <f>IF(AM25=1,$AG25/(1+($AF$8+메인!$A$96/10000)/2)^(AN25-1),0)</f>
        <v/>
      </c>
      <c r="AY25" s="44">
        <f>IF(AM25=1,$AG25/(1+($AF$8+메인!$A$97/10000)/2)^(AN25-1),0)</f>
        <v/>
      </c>
      <c r="AZ25" s="44">
        <f>IF(AM25=1,$AG25/(1+($AF$8+메인!$A$98/10000)/2)^(AN25-1),0)</f>
        <v/>
      </c>
      <c r="BA25" s="44">
        <f>IF(AM25=1,$AG25/(1+($AF$8+메인!$A$99/10000)/2)^(AN25-1),0)</f>
        <v/>
      </c>
      <c r="BB25" s="44">
        <f>IF(AM25=1,$AG25/(1+($AF$8+메인!$A$100/10000)/2)^(AN25-1),0)</f>
        <v/>
      </c>
      <c r="BC25" s="44">
        <f>IF(AM25=1,$AG25/(1+($AF$8+메인!$A$101/10000)/2)^(AN25-1),0)</f>
        <v/>
      </c>
      <c r="BD25" s="44">
        <f>IF(AM25=1,$AG25/(1+($AF$8+메인!$A$102/10000)/2)^(AN25-1),0)</f>
        <v/>
      </c>
      <c r="BE25" s="44">
        <f>IF(AM25=1,$AG25/(1+($AF$8+메인!$A$103/10000)/2)^(AN25-1),0)</f>
        <v/>
      </c>
      <c r="BF25" s="44">
        <f>IF(AM25=1,$AG25/(1+($AF$8+메인!$A$104/10000)/2)^(AN25-1),0)</f>
        <v/>
      </c>
    </row>
    <row r="26">
      <c r="A26" s="42" t="n">
        <v>12</v>
      </c>
      <c r="B26" s="43">
        <f>EDATE($B$2,-6*(62-$A26))</f>
        <v/>
      </c>
      <c r="C26" s="44">
        <f>IF(AND(B26&gt;$B$3,B26&lt;=$B$2),IF(B26=$B$2,$B$5+100,$B$5),0)</f>
        <v/>
      </c>
      <c r="D26" s="42">
        <f>IF(AND($C26&gt;0,B26&gt;$B$6),1,0)</f>
        <v/>
      </c>
      <c r="E26" s="42">
        <f>IF(D26=1,SUM($D$15:D26),"")</f>
        <v/>
      </c>
      <c r="F26" s="44">
        <f>IF(D26=1,$C26/(1+$B$8/2)^(E26-1),0)</f>
        <v/>
      </c>
      <c r="G26" s="44">
        <f>IF(D26=1,$C26/(1+($B$8+0.0001)/2)^(E26-1),0)</f>
        <v/>
      </c>
      <c r="H26" s="44">
        <f>IF(D26=1,$C26/(1+($B$8-0.0001)/2)^(E26-1),0)</f>
        <v/>
      </c>
      <c r="I26" s="42">
        <f>IF(AND($C26&gt;0,B26&gt;$B$7),1,0)</f>
        <v/>
      </c>
      <c r="J26" s="42">
        <f>IF(I26=1,SUM($I$15:I26),"")</f>
        <v/>
      </c>
      <c r="K26" s="44">
        <f>IF(I26=1,$C26/(1+$B$99/2)^(J26-1),0)</f>
        <v/>
      </c>
      <c r="L26" s="44">
        <f>IF(I26=1,$C26/(1+($B$99+0.0001)/2)^(J26-1),0)</f>
        <v/>
      </c>
      <c r="M26" s="44">
        <f>IF(I26=1,$C26/(1+($B$99-0.0001)/2)^(J26-1),0)</f>
        <v/>
      </c>
      <c r="N26" s="44">
        <f>IF(I26=1,$C26/(1+$B$104/2)^(J26-1),0)</f>
        <v/>
      </c>
      <c r="O26" s="44">
        <f>IF(I26=1,$C26/(1+($B$104+0.0001)/2)^(J26-1),0)</f>
        <v/>
      </c>
      <c r="P26" s="44">
        <f>IF(I26=1,$C26/(1+($B$104-0.0001)/2)^(J26-1),0)</f>
        <v/>
      </c>
      <c r="Q26" s="44">
        <f>IF(I26=1,$C26/(1+$B$109/2)^(J26-1),0)</f>
        <v/>
      </c>
      <c r="R26" s="44">
        <f>IF(AND($C26&gt;0,B26&gt;$B$6,B26&lt;=$B$7),$C26*(1+$B$9*($B$7-B26)/365),0)</f>
        <v/>
      </c>
      <c r="S26" s="44">
        <f>IF(I26=1,$C26/(1+($B$8+$B$10/10000)/2)^(J26-1),0)</f>
        <v/>
      </c>
      <c r="T26" s="44">
        <f>IF(I26=1,$C26/(1+($B$8+메인!$A$96/10000)/2)^(J26-1),0)</f>
        <v/>
      </c>
      <c r="U26" s="44">
        <f>IF(I26=1,$C26/(1+($B$8+메인!$A$97/10000)/2)^(J26-1),0)</f>
        <v/>
      </c>
      <c r="V26" s="44">
        <f>IF(I26=1,$C26/(1+($B$8+메인!$A$98/10000)/2)^(J26-1),0)</f>
        <v/>
      </c>
      <c r="W26" s="44">
        <f>IF(I26=1,$C26/(1+($B$8+메인!$A$99/10000)/2)^(J26-1),0)</f>
        <v/>
      </c>
      <c r="X26" s="44">
        <f>IF(I26=1,$C26/(1+($B$8+메인!$A$100/10000)/2)^(J26-1),0)</f>
        <v/>
      </c>
      <c r="Y26" s="44">
        <f>IF(I26=1,$C26/(1+($B$8+메인!$A$101/10000)/2)^(J26-1),0)</f>
        <v/>
      </c>
      <c r="Z26" s="44">
        <f>IF(I26=1,$C26/(1+($B$8+메인!$A$102/10000)/2)^(J26-1),0)</f>
        <v/>
      </c>
      <c r="AA26" s="44">
        <f>IF(I26=1,$C26/(1+($B$8+메인!$A$103/10000)/2)^(J26-1),0)</f>
        <v/>
      </c>
      <c r="AB26" s="44">
        <f>IF(I26=1,$C26/(1+($B$8+메인!$A$104/10000)/2)^(J26-1),0)</f>
        <v/>
      </c>
      <c r="AE26" s="42" t="n">
        <v>12</v>
      </c>
      <c r="AF26" s="43">
        <f>EDATE($AF$2,-6*(62-$AE26))</f>
        <v/>
      </c>
      <c r="AG26" s="44">
        <f>IF(AND(AF26&gt;$AF$3,AF26&lt;=$AF$2),IF(AF26=$AF$2,$AF$5+100,$AF$5),0)</f>
        <v/>
      </c>
      <c r="AH26" s="42">
        <f>IF(AND($AG26&gt;0,AF26&gt;$AF$6),1,0)</f>
        <v/>
      </c>
      <c r="AI26" s="42">
        <f>IF(AH26=1,SUM($AH$15:AH26),"")</f>
        <v/>
      </c>
      <c r="AJ26" s="44">
        <f>IF(AH26=1,$AG26/(1+$AF$8/2)^(AI26-1),0)</f>
        <v/>
      </c>
      <c r="AK26" s="44">
        <f>IF(AH26=1,$AG26/(1+($AF$8+0.0001)/2)^(AI26-1),0)</f>
        <v/>
      </c>
      <c r="AL26" s="44">
        <f>IF(AH26=1,$AG26/(1+($AF$8-0.0001)/2)^(AI26-1),0)</f>
        <v/>
      </c>
      <c r="AM26" s="42">
        <f>IF(AND($AG26&gt;0,AF26&gt;$AF$7),1,0)</f>
        <v/>
      </c>
      <c r="AN26" s="42">
        <f>IF(AM26=1,SUM($AM$15:AM26),"")</f>
        <v/>
      </c>
      <c r="AO26" s="44">
        <f>IF(AM26=1,$AG26/(1+$AF$99/2)^(AN26-1),0)</f>
        <v/>
      </c>
      <c r="AP26" s="44">
        <f>IF(AM26=1,$AG26/(1+($AF$99+0.0001)/2)^(AN26-1),0)</f>
        <v/>
      </c>
      <c r="AQ26" s="44">
        <f>IF(AM26=1,$AG26/(1+($AF$99-0.0001)/2)^(AN26-1),0)</f>
        <v/>
      </c>
      <c r="AR26" s="44">
        <f>IF(AM26=1,$AG26/(1+$AF$104/2)^(AN26-1),0)</f>
        <v/>
      </c>
      <c r="AS26" s="44">
        <f>IF(AM26=1,$AG26/(1+($AF$104+0.0001)/2)^(AN26-1),0)</f>
        <v/>
      </c>
      <c r="AT26" s="44">
        <f>IF(AM26=1,$AG26/(1+($AF$104-0.0001)/2)^(AN26-1),0)</f>
        <v/>
      </c>
      <c r="AU26" s="44">
        <f>IF(AM26=1,$AG26/(1+$AF$109/2)^(AN26-1),0)</f>
        <v/>
      </c>
      <c r="AV26" s="44">
        <f>IF(AND($AG26&gt;0,AF26&gt;$AF$6,AF26&lt;=$AF$7),$AG26*(1+$AF$9*($AF$7-AF26)/365),0)</f>
        <v/>
      </c>
      <c r="AW26" s="44">
        <f>IF(AM26=1,$AG26/(1+($AF$8+$AF$10/10000)/2)^(AN26-1),0)</f>
        <v/>
      </c>
      <c r="AX26" s="44">
        <f>IF(AM26=1,$AG26/(1+($AF$8+메인!$A$96/10000)/2)^(AN26-1),0)</f>
        <v/>
      </c>
      <c r="AY26" s="44">
        <f>IF(AM26=1,$AG26/(1+($AF$8+메인!$A$97/10000)/2)^(AN26-1),0)</f>
        <v/>
      </c>
      <c r="AZ26" s="44">
        <f>IF(AM26=1,$AG26/(1+($AF$8+메인!$A$98/10000)/2)^(AN26-1),0)</f>
        <v/>
      </c>
      <c r="BA26" s="44">
        <f>IF(AM26=1,$AG26/(1+($AF$8+메인!$A$99/10000)/2)^(AN26-1),0)</f>
        <v/>
      </c>
      <c r="BB26" s="44">
        <f>IF(AM26=1,$AG26/(1+($AF$8+메인!$A$100/10000)/2)^(AN26-1),0)</f>
        <v/>
      </c>
      <c r="BC26" s="44">
        <f>IF(AM26=1,$AG26/(1+($AF$8+메인!$A$101/10000)/2)^(AN26-1),0)</f>
        <v/>
      </c>
      <c r="BD26" s="44">
        <f>IF(AM26=1,$AG26/(1+($AF$8+메인!$A$102/10000)/2)^(AN26-1),0)</f>
        <v/>
      </c>
      <c r="BE26" s="44">
        <f>IF(AM26=1,$AG26/(1+($AF$8+메인!$A$103/10000)/2)^(AN26-1),0)</f>
        <v/>
      </c>
      <c r="BF26" s="44">
        <f>IF(AM26=1,$AG26/(1+($AF$8+메인!$A$104/10000)/2)^(AN26-1),0)</f>
        <v/>
      </c>
    </row>
    <row r="27">
      <c r="A27" s="42" t="n">
        <v>13</v>
      </c>
      <c r="B27" s="43">
        <f>EDATE($B$2,-6*(62-$A27))</f>
        <v/>
      </c>
      <c r="C27" s="44">
        <f>IF(AND(B27&gt;$B$3,B27&lt;=$B$2),IF(B27=$B$2,$B$5+100,$B$5),0)</f>
        <v/>
      </c>
      <c r="D27" s="42">
        <f>IF(AND($C27&gt;0,B27&gt;$B$6),1,0)</f>
        <v/>
      </c>
      <c r="E27" s="42">
        <f>IF(D27=1,SUM($D$15:D27),"")</f>
        <v/>
      </c>
      <c r="F27" s="44">
        <f>IF(D27=1,$C27/(1+$B$8/2)^(E27-1),0)</f>
        <v/>
      </c>
      <c r="G27" s="44">
        <f>IF(D27=1,$C27/(1+($B$8+0.0001)/2)^(E27-1),0)</f>
        <v/>
      </c>
      <c r="H27" s="44">
        <f>IF(D27=1,$C27/(1+($B$8-0.0001)/2)^(E27-1),0)</f>
        <v/>
      </c>
      <c r="I27" s="42">
        <f>IF(AND($C27&gt;0,B27&gt;$B$7),1,0)</f>
        <v/>
      </c>
      <c r="J27" s="42">
        <f>IF(I27=1,SUM($I$15:I27),"")</f>
        <v/>
      </c>
      <c r="K27" s="44">
        <f>IF(I27=1,$C27/(1+$B$99/2)^(J27-1),0)</f>
        <v/>
      </c>
      <c r="L27" s="44">
        <f>IF(I27=1,$C27/(1+($B$99+0.0001)/2)^(J27-1),0)</f>
        <v/>
      </c>
      <c r="M27" s="44">
        <f>IF(I27=1,$C27/(1+($B$99-0.0001)/2)^(J27-1),0)</f>
        <v/>
      </c>
      <c r="N27" s="44">
        <f>IF(I27=1,$C27/(1+$B$104/2)^(J27-1),0)</f>
        <v/>
      </c>
      <c r="O27" s="44">
        <f>IF(I27=1,$C27/(1+($B$104+0.0001)/2)^(J27-1),0)</f>
        <v/>
      </c>
      <c r="P27" s="44">
        <f>IF(I27=1,$C27/(1+($B$104-0.0001)/2)^(J27-1),0)</f>
        <v/>
      </c>
      <c r="Q27" s="44">
        <f>IF(I27=1,$C27/(1+$B$109/2)^(J27-1),0)</f>
        <v/>
      </c>
      <c r="R27" s="44">
        <f>IF(AND($C27&gt;0,B27&gt;$B$6,B27&lt;=$B$7),$C27*(1+$B$9*($B$7-B27)/365),0)</f>
        <v/>
      </c>
      <c r="S27" s="44">
        <f>IF(I27=1,$C27/(1+($B$8+$B$10/10000)/2)^(J27-1),0)</f>
        <v/>
      </c>
      <c r="T27" s="44">
        <f>IF(I27=1,$C27/(1+($B$8+메인!$A$96/10000)/2)^(J27-1),0)</f>
        <v/>
      </c>
      <c r="U27" s="44">
        <f>IF(I27=1,$C27/(1+($B$8+메인!$A$97/10000)/2)^(J27-1),0)</f>
        <v/>
      </c>
      <c r="V27" s="44">
        <f>IF(I27=1,$C27/(1+($B$8+메인!$A$98/10000)/2)^(J27-1),0)</f>
        <v/>
      </c>
      <c r="W27" s="44">
        <f>IF(I27=1,$C27/(1+($B$8+메인!$A$99/10000)/2)^(J27-1),0)</f>
        <v/>
      </c>
      <c r="X27" s="44">
        <f>IF(I27=1,$C27/(1+($B$8+메인!$A$100/10000)/2)^(J27-1),0)</f>
        <v/>
      </c>
      <c r="Y27" s="44">
        <f>IF(I27=1,$C27/(1+($B$8+메인!$A$101/10000)/2)^(J27-1),0)</f>
        <v/>
      </c>
      <c r="Z27" s="44">
        <f>IF(I27=1,$C27/(1+($B$8+메인!$A$102/10000)/2)^(J27-1),0)</f>
        <v/>
      </c>
      <c r="AA27" s="44">
        <f>IF(I27=1,$C27/(1+($B$8+메인!$A$103/10000)/2)^(J27-1),0)</f>
        <v/>
      </c>
      <c r="AB27" s="44">
        <f>IF(I27=1,$C27/(1+($B$8+메인!$A$104/10000)/2)^(J27-1),0)</f>
        <v/>
      </c>
      <c r="AE27" s="42" t="n">
        <v>13</v>
      </c>
      <c r="AF27" s="43">
        <f>EDATE($AF$2,-6*(62-$AE27))</f>
        <v/>
      </c>
      <c r="AG27" s="44">
        <f>IF(AND(AF27&gt;$AF$3,AF27&lt;=$AF$2),IF(AF27=$AF$2,$AF$5+100,$AF$5),0)</f>
        <v/>
      </c>
      <c r="AH27" s="42">
        <f>IF(AND($AG27&gt;0,AF27&gt;$AF$6),1,0)</f>
        <v/>
      </c>
      <c r="AI27" s="42">
        <f>IF(AH27=1,SUM($AH$15:AH27),"")</f>
        <v/>
      </c>
      <c r="AJ27" s="44">
        <f>IF(AH27=1,$AG27/(1+$AF$8/2)^(AI27-1),0)</f>
        <v/>
      </c>
      <c r="AK27" s="44">
        <f>IF(AH27=1,$AG27/(1+($AF$8+0.0001)/2)^(AI27-1),0)</f>
        <v/>
      </c>
      <c r="AL27" s="44">
        <f>IF(AH27=1,$AG27/(1+($AF$8-0.0001)/2)^(AI27-1),0)</f>
        <v/>
      </c>
      <c r="AM27" s="42">
        <f>IF(AND($AG27&gt;0,AF27&gt;$AF$7),1,0)</f>
        <v/>
      </c>
      <c r="AN27" s="42">
        <f>IF(AM27=1,SUM($AM$15:AM27),"")</f>
        <v/>
      </c>
      <c r="AO27" s="44">
        <f>IF(AM27=1,$AG27/(1+$AF$99/2)^(AN27-1),0)</f>
        <v/>
      </c>
      <c r="AP27" s="44">
        <f>IF(AM27=1,$AG27/(1+($AF$99+0.0001)/2)^(AN27-1),0)</f>
        <v/>
      </c>
      <c r="AQ27" s="44">
        <f>IF(AM27=1,$AG27/(1+($AF$99-0.0001)/2)^(AN27-1),0)</f>
        <v/>
      </c>
      <c r="AR27" s="44">
        <f>IF(AM27=1,$AG27/(1+$AF$104/2)^(AN27-1),0)</f>
        <v/>
      </c>
      <c r="AS27" s="44">
        <f>IF(AM27=1,$AG27/(1+($AF$104+0.0001)/2)^(AN27-1),0)</f>
        <v/>
      </c>
      <c r="AT27" s="44">
        <f>IF(AM27=1,$AG27/(1+($AF$104-0.0001)/2)^(AN27-1),0)</f>
        <v/>
      </c>
      <c r="AU27" s="44">
        <f>IF(AM27=1,$AG27/(1+$AF$109/2)^(AN27-1),0)</f>
        <v/>
      </c>
      <c r="AV27" s="44">
        <f>IF(AND($AG27&gt;0,AF27&gt;$AF$6,AF27&lt;=$AF$7),$AG27*(1+$AF$9*($AF$7-AF27)/365),0)</f>
        <v/>
      </c>
      <c r="AW27" s="44">
        <f>IF(AM27=1,$AG27/(1+($AF$8+$AF$10/10000)/2)^(AN27-1),0)</f>
        <v/>
      </c>
      <c r="AX27" s="44">
        <f>IF(AM27=1,$AG27/(1+($AF$8+메인!$A$96/10000)/2)^(AN27-1),0)</f>
        <v/>
      </c>
      <c r="AY27" s="44">
        <f>IF(AM27=1,$AG27/(1+($AF$8+메인!$A$97/10000)/2)^(AN27-1),0)</f>
        <v/>
      </c>
      <c r="AZ27" s="44">
        <f>IF(AM27=1,$AG27/(1+($AF$8+메인!$A$98/10000)/2)^(AN27-1),0)</f>
        <v/>
      </c>
      <c r="BA27" s="44">
        <f>IF(AM27=1,$AG27/(1+($AF$8+메인!$A$99/10000)/2)^(AN27-1),0)</f>
        <v/>
      </c>
      <c r="BB27" s="44">
        <f>IF(AM27=1,$AG27/(1+($AF$8+메인!$A$100/10000)/2)^(AN27-1),0)</f>
        <v/>
      </c>
      <c r="BC27" s="44">
        <f>IF(AM27=1,$AG27/(1+($AF$8+메인!$A$101/10000)/2)^(AN27-1),0)</f>
        <v/>
      </c>
      <c r="BD27" s="44">
        <f>IF(AM27=1,$AG27/(1+($AF$8+메인!$A$102/10000)/2)^(AN27-1),0)</f>
        <v/>
      </c>
      <c r="BE27" s="44">
        <f>IF(AM27=1,$AG27/(1+($AF$8+메인!$A$103/10000)/2)^(AN27-1),0)</f>
        <v/>
      </c>
      <c r="BF27" s="44">
        <f>IF(AM27=1,$AG27/(1+($AF$8+메인!$A$104/10000)/2)^(AN27-1),0)</f>
        <v/>
      </c>
    </row>
    <row r="28">
      <c r="A28" s="42" t="n">
        <v>14</v>
      </c>
      <c r="B28" s="43">
        <f>EDATE($B$2,-6*(62-$A28))</f>
        <v/>
      </c>
      <c r="C28" s="44">
        <f>IF(AND(B28&gt;$B$3,B28&lt;=$B$2),IF(B28=$B$2,$B$5+100,$B$5),0)</f>
        <v/>
      </c>
      <c r="D28" s="42">
        <f>IF(AND($C28&gt;0,B28&gt;$B$6),1,0)</f>
        <v/>
      </c>
      <c r="E28" s="42">
        <f>IF(D28=1,SUM($D$15:D28),"")</f>
        <v/>
      </c>
      <c r="F28" s="44">
        <f>IF(D28=1,$C28/(1+$B$8/2)^(E28-1),0)</f>
        <v/>
      </c>
      <c r="G28" s="44">
        <f>IF(D28=1,$C28/(1+($B$8+0.0001)/2)^(E28-1),0)</f>
        <v/>
      </c>
      <c r="H28" s="44">
        <f>IF(D28=1,$C28/(1+($B$8-0.0001)/2)^(E28-1),0)</f>
        <v/>
      </c>
      <c r="I28" s="42">
        <f>IF(AND($C28&gt;0,B28&gt;$B$7),1,0)</f>
        <v/>
      </c>
      <c r="J28" s="42">
        <f>IF(I28=1,SUM($I$15:I28),"")</f>
        <v/>
      </c>
      <c r="K28" s="44">
        <f>IF(I28=1,$C28/(1+$B$99/2)^(J28-1),0)</f>
        <v/>
      </c>
      <c r="L28" s="44">
        <f>IF(I28=1,$C28/(1+($B$99+0.0001)/2)^(J28-1),0)</f>
        <v/>
      </c>
      <c r="M28" s="44">
        <f>IF(I28=1,$C28/(1+($B$99-0.0001)/2)^(J28-1),0)</f>
        <v/>
      </c>
      <c r="N28" s="44">
        <f>IF(I28=1,$C28/(1+$B$104/2)^(J28-1),0)</f>
        <v/>
      </c>
      <c r="O28" s="44">
        <f>IF(I28=1,$C28/(1+($B$104+0.0001)/2)^(J28-1),0)</f>
        <v/>
      </c>
      <c r="P28" s="44">
        <f>IF(I28=1,$C28/(1+($B$104-0.0001)/2)^(J28-1),0)</f>
        <v/>
      </c>
      <c r="Q28" s="44">
        <f>IF(I28=1,$C28/(1+$B$109/2)^(J28-1),0)</f>
        <v/>
      </c>
      <c r="R28" s="44">
        <f>IF(AND($C28&gt;0,B28&gt;$B$6,B28&lt;=$B$7),$C28*(1+$B$9*($B$7-B28)/365),0)</f>
        <v/>
      </c>
      <c r="S28" s="44">
        <f>IF(I28=1,$C28/(1+($B$8+$B$10/10000)/2)^(J28-1),0)</f>
        <v/>
      </c>
      <c r="T28" s="44">
        <f>IF(I28=1,$C28/(1+($B$8+메인!$A$96/10000)/2)^(J28-1),0)</f>
        <v/>
      </c>
      <c r="U28" s="44">
        <f>IF(I28=1,$C28/(1+($B$8+메인!$A$97/10000)/2)^(J28-1),0)</f>
        <v/>
      </c>
      <c r="V28" s="44">
        <f>IF(I28=1,$C28/(1+($B$8+메인!$A$98/10000)/2)^(J28-1),0)</f>
        <v/>
      </c>
      <c r="W28" s="44">
        <f>IF(I28=1,$C28/(1+($B$8+메인!$A$99/10000)/2)^(J28-1),0)</f>
        <v/>
      </c>
      <c r="X28" s="44">
        <f>IF(I28=1,$C28/(1+($B$8+메인!$A$100/10000)/2)^(J28-1),0)</f>
        <v/>
      </c>
      <c r="Y28" s="44">
        <f>IF(I28=1,$C28/(1+($B$8+메인!$A$101/10000)/2)^(J28-1),0)</f>
        <v/>
      </c>
      <c r="Z28" s="44">
        <f>IF(I28=1,$C28/(1+($B$8+메인!$A$102/10000)/2)^(J28-1),0)</f>
        <v/>
      </c>
      <c r="AA28" s="44">
        <f>IF(I28=1,$C28/(1+($B$8+메인!$A$103/10000)/2)^(J28-1),0)</f>
        <v/>
      </c>
      <c r="AB28" s="44">
        <f>IF(I28=1,$C28/(1+($B$8+메인!$A$104/10000)/2)^(J28-1),0)</f>
        <v/>
      </c>
      <c r="AE28" s="42" t="n">
        <v>14</v>
      </c>
      <c r="AF28" s="43">
        <f>EDATE($AF$2,-6*(62-$AE28))</f>
        <v/>
      </c>
      <c r="AG28" s="44">
        <f>IF(AND(AF28&gt;$AF$3,AF28&lt;=$AF$2),IF(AF28=$AF$2,$AF$5+100,$AF$5),0)</f>
        <v/>
      </c>
      <c r="AH28" s="42">
        <f>IF(AND($AG28&gt;0,AF28&gt;$AF$6),1,0)</f>
        <v/>
      </c>
      <c r="AI28" s="42">
        <f>IF(AH28=1,SUM($AH$15:AH28),"")</f>
        <v/>
      </c>
      <c r="AJ28" s="44">
        <f>IF(AH28=1,$AG28/(1+$AF$8/2)^(AI28-1),0)</f>
        <v/>
      </c>
      <c r="AK28" s="44">
        <f>IF(AH28=1,$AG28/(1+($AF$8+0.0001)/2)^(AI28-1),0)</f>
        <v/>
      </c>
      <c r="AL28" s="44">
        <f>IF(AH28=1,$AG28/(1+($AF$8-0.0001)/2)^(AI28-1),0)</f>
        <v/>
      </c>
      <c r="AM28" s="42">
        <f>IF(AND($AG28&gt;0,AF28&gt;$AF$7),1,0)</f>
        <v/>
      </c>
      <c r="AN28" s="42">
        <f>IF(AM28=1,SUM($AM$15:AM28),"")</f>
        <v/>
      </c>
      <c r="AO28" s="44">
        <f>IF(AM28=1,$AG28/(1+$AF$99/2)^(AN28-1),0)</f>
        <v/>
      </c>
      <c r="AP28" s="44">
        <f>IF(AM28=1,$AG28/(1+($AF$99+0.0001)/2)^(AN28-1),0)</f>
        <v/>
      </c>
      <c r="AQ28" s="44">
        <f>IF(AM28=1,$AG28/(1+($AF$99-0.0001)/2)^(AN28-1),0)</f>
        <v/>
      </c>
      <c r="AR28" s="44">
        <f>IF(AM28=1,$AG28/(1+$AF$104/2)^(AN28-1),0)</f>
        <v/>
      </c>
      <c r="AS28" s="44">
        <f>IF(AM28=1,$AG28/(1+($AF$104+0.0001)/2)^(AN28-1),0)</f>
        <v/>
      </c>
      <c r="AT28" s="44">
        <f>IF(AM28=1,$AG28/(1+($AF$104-0.0001)/2)^(AN28-1),0)</f>
        <v/>
      </c>
      <c r="AU28" s="44">
        <f>IF(AM28=1,$AG28/(1+$AF$109/2)^(AN28-1),0)</f>
        <v/>
      </c>
      <c r="AV28" s="44">
        <f>IF(AND($AG28&gt;0,AF28&gt;$AF$6,AF28&lt;=$AF$7),$AG28*(1+$AF$9*($AF$7-AF28)/365),0)</f>
        <v/>
      </c>
      <c r="AW28" s="44">
        <f>IF(AM28=1,$AG28/(1+($AF$8+$AF$10/10000)/2)^(AN28-1),0)</f>
        <v/>
      </c>
      <c r="AX28" s="44">
        <f>IF(AM28=1,$AG28/(1+($AF$8+메인!$A$96/10000)/2)^(AN28-1),0)</f>
        <v/>
      </c>
      <c r="AY28" s="44">
        <f>IF(AM28=1,$AG28/(1+($AF$8+메인!$A$97/10000)/2)^(AN28-1),0)</f>
        <v/>
      </c>
      <c r="AZ28" s="44">
        <f>IF(AM28=1,$AG28/(1+($AF$8+메인!$A$98/10000)/2)^(AN28-1),0)</f>
        <v/>
      </c>
      <c r="BA28" s="44">
        <f>IF(AM28=1,$AG28/(1+($AF$8+메인!$A$99/10000)/2)^(AN28-1),0)</f>
        <v/>
      </c>
      <c r="BB28" s="44">
        <f>IF(AM28=1,$AG28/(1+($AF$8+메인!$A$100/10000)/2)^(AN28-1),0)</f>
        <v/>
      </c>
      <c r="BC28" s="44">
        <f>IF(AM28=1,$AG28/(1+($AF$8+메인!$A$101/10000)/2)^(AN28-1),0)</f>
        <v/>
      </c>
      <c r="BD28" s="44">
        <f>IF(AM28=1,$AG28/(1+($AF$8+메인!$A$102/10000)/2)^(AN28-1),0)</f>
        <v/>
      </c>
      <c r="BE28" s="44">
        <f>IF(AM28=1,$AG28/(1+($AF$8+메인!$A$103/10000)/2)^(AN28-1),0)</f>
        <v/>
      </c>
      <c r="BF28" s="44">
        <f>IF(AM28=1,$AG28/(1+($AF$8+메인!$A$104/10000)/2)^(AN28-1),0)</f>
        <v/>
      </c>
    </row>
    <row r="29">
      <c r="A29" s="42" t="n">
        <v>15</v>
      </c>
      <c r="B29" s="43">
        <f>EDATE($B$2,-6*(62-$A29))</f>
        <v/>
      </c>
      <c r="C29" s="44">
        <f>IF(AND(B29&gt;$B$3,B29&lt;=$B$2),IF(B29=$B$2,$B$5+100,$B$5),0)</f>
        <v/>
      </c>
      <c r="D29" s="42">
        <f>IF(AND($C29&gt;0,B29&gt;$B$6),1,0)</f>
        <v/>
      </c>
      <c r="E29" s="42">
        <f>IF(D29=1,SUM($D$15:D29),"")</f>
        <v/>
      </c>
      <c r="F29" s="44">
        <f>IF(D29=1,$C29/(1+$B$8/2)^(E29-1),0)</f>
        <v/>
      </c>
      <c r="G29" s="44">
        <f>IF(D29=1,$C29/(1+($B$8+0.0001)/2)^(E29-1),0)</f>
        <v/>
      </c>
      <c r="H29" s="44">
        <f>IF(D29=1,$C29/(1+($B$8-0.0001)/2)^(E29-1),0)</f>
        <v/>
      </c>
      <c r="I29" s="42">
        <f>IF(AND($C29&gt;0,B29&gt;$B$7),1,0)</f>
        <v/>
      </c>
      <c r="J29" s="42">
        <f>IF(I29=1,SUM($I$15:I29),"")</f>
        <v/>
      </c>
      <c r="K29" s="44">
        <f>IF(I29=1,$C29/(1+$B$99/2)^(J29-1),0)</f>
        <v/>
      </c>
      <c r="L29" s="44">
        <f>IF(I29=1,$C29/(1+($B$99+0.0001)/2)^(J29-1),0)</f>
        <v/>
      </c>
      <c r="M29" s="44">
        <f>IF(I29=1,$C29/(1+($B$99-0.0001)/2)^(J29-1),0)</f>
        <v/>
      </c>
      <c r="N29" s="44">
        <f>IF(I29=1,$C29/(1+$B$104/2)^(J29-1),0)</f>
        <v/>
      </c>
      <c r="O29" s="44">
        <f>IF(I29=1,$C29/(1+($B$104+0.0001)/2)^(J29-1),0)</f>
        <v/>
      </c>
      <c r="P29" s="44">
        <f>IF(I29=1,$C29/(1+($B$104-0.0001)/2)^(J29-1),0)</f>
        <v/>
      </c>
      <c r="Q29" s="44">
        <f>IF(I29=1,$C29/(1+$B$109/2)^(J29-1),0)</f>
        <v/>
      </c>
      <c r="R29" s="44">
        <f>IF(AND($C29&gt;0,B29&gt;$B$6,B29&lt;=$B$7),$C29*(1+$B$9*($B$7-B29)/365),0)</f>
        <v/>
      </c>
      <c r="S29" s="44">
        <f>IF(I29=1,$C29/(1+($B$8+$B$10/10000)/2)^(J29-1),0)</f>
        <v/>
      </c>
      <c r="T29" s="44">
        <f>IF(I29=1,$C29/(1+($B$8+메인!$A$96/10000)/2)^(J29-1),0)</f>
        <v/>
      </c>
      <c r="U29" s="44">
        <f>IF(I29=1,$C29/(1+($B$8+메인!$A$97/10000)/2)^(J29-1),0)</f>
        <v/>
      </c>
      <c r="V29" s="44">
        <f>IF(I29=1,$C29/(1+($B$8+메인!$A$98/10000)/2)^(J29-1),0)</f>
        <v/>
      </c>
      <c r="W29" s="44">
        <f>IF(I29=1,$C29/(1+($B$8+메인!$A$99/10000)/2)^(J29-1),0)</f>
        <v/>
      </c>
      <c r="X29" s="44">
        <f>IF(I29=1,$C29/(1+($B$8+메인!$A$100/10000)/2)^(J29-1),0)</f>
        <v/>
      </c>
      <c r="Y29" s="44">
        <f>IF(I29=1,$C29/(1+($B$8+메인!$A$101/10000)/2)^(J29-1),0)</f>
        <v/>
      </c>
      <c r="Z29" s="44">
        <f>IF(I29=1,$C29/(1+($B$8+메인!$A$102/10000)/2)^(J29-1),0)</f>
        <v/>
      </c>
      <c r="AA29" s="44">
        <f>IF(I29=1,$C29/(1+($B$8+메인!$A$103/10000)/2)^(J29-1),0)</f>
        <v/>
      </c>
      <c r="AB29" s="44">
        <f>IF(I29=1,$C29/(1+($B$8+메인!$A$104/10000)/2)^(J29-1),0)</f>
        <v/>
      </c>
      <c r="AE29" s="42" t="n">
        <v>15</v>
      </c>
      <c r="AF29" s="43">
        <f>EDATE($AF$2,-6*(62-$AE29))</f>
        <v/>
      </c>
      <c r="AG29" s="44">
        <f>IF(AND(AF29&gt;$AF$3,AF29&lt;=$AF$2),IF(AF29=$AF$2,$AF$5+100,$AF$5),0)</f>
        <v/>
      </c>
      <c r="AH29" s="42">
        <f>IF(AND($AG29&gt;0,AF29&gt;$AF$6),1,0)</f>
        <v/>
      </c>
      <c r="AI29" s="42">
        <f>IF(AH29=1,SUM($AH$15:AH29),"")</f>
        <v/>
      </c>
      <c r="AJ29" s="44">
        <f>IF(AH29=1,$AG29/(1+$AF$8/2)^(AI29-1),0)</f>
        <v/>
      </c>
      <c r="AK29" s="44">
        <f>IF(AH29=1,$AG29/(1+($AF$8+0.0001)/2)^(AI29-1),0)</f>
        <v/>
      </c>
      <c r="AL29" s="44">
        <f>IF(AH29=1,$AG29/(1+($AF$8-0.0001)/2)^(AI29-1),0)</f>
        <v/>
      </c>
      <c r="AM29" s="42">
        <f>IF(AND($AG29&gt;0,AF29&gt;$AF$7),1,0)</f>
        <v/>
      </c>
      <c r="AN29" s="42">
        <f>IF(AM29=1,SUM($AM$15:AM29),"")</f>
        <v/>
      </c>
      <c r="AO29" s="44">
        <f>IF(AM29=1,$AG29/(1+$AF$99/2)^(AN29-1),0)</f>
        <v/>
      </c>
      <c r="AP29" s="44">
        <f>IF(AM29=1,$AG29/(1+($AF$99+0.0001)/2)^(AN29-1),0)</f>
        <v/>
      </c>
      <c r="AQ29" s="44">
        <f>IF(AM29=1,$AG29/(1+($AF$99-0.0001)/2)^(AN29-1),0)</f>
        <v/>
      </c>
      <c r="AR29" s="44">
        <f>IF(AM29=1,$AG29/(1+$AF$104/2)^(AN29-1),0)</f>
        <v/>
      </c>
      <c r="AS29" s="44">
        <f>IF(AM29=1,$AG29/(1+($AF$104+0.0001)/2)^(AN29-1),0)</f>
        <v/>
      </c>
      <c r="AT29" s="44">
        <f>IF(AM29=1,$AG29/(1+($AF$104-0.0001)/2)^(AN29-1),0)</f>
        <v/>
      </c>
      <c r="AU29" s="44">
        <f>IF(AM29=1,$AG29/(1+$AF$109/2)^(AN29-1),0)</f>
        <v/>
      </c>
      <c r="AV29" s="44">
        <f>IF(AND($AG29&gt;0,AF29&gt;$AF$6,AF29&lt;=$AF$7),$AG29*(1+$AF$9*($AF$7-AF29)/365),0)</f>
        <v/>
      </c>
      <c r="AW29" s="44">
        <f>IF(AM29=1,$AG29/(1+($AF$8+$AF$10/10000)/2)^(AN29-1),0)</f>
        <v/>
      </c>
      <c r="AX29" s="44">
        <f>IF(AM29=1,$AG29/(1+($AF$8+메인!$A$96/10000)/2)^(AN29-1),0)</f>
        <v/>
      </c>
      <c r="AY29" s="44">
        <f>IF(AM29=1,$AG29/(1+($AF$8+메인!$A$97/10000)/2)^(AN29-1),0)</f>
        <v/>
      </c>
      <c r="AZ29" s="44">
        <f>IF(AM29=1,$AG29/(1+($AF$8+메인!$A$98/10000)/2)^(AN29-1),0)</f>
        <v/>
      </c>
      <c r="BA29" s="44">
        <f>IF(AM29=1,$AG29/(1+($AF$8+메인!$A$99/10000)/2)^(AN29-1),0)</f>
        <v/>
      </c>
      <c r="BB29" s="44">
        <f>IF(AM29=1,$AG29/(1+($AF$8+메인!$A$100/10000)/2)^(AN29-1),0)</f>
        <v/>
      </c>
      <c r="BC29" s="44">
        <f>IF(AM29=1,$AG29/(1+($AF$8+메인!$A$101/10000)/2)^(AN29-1),0)</f>
        <v/>
      </c>
      <c r="BD29" s="44">
        <f>IF(AM29=1,$AG29/(1+($AF$8+메인!$A$102/10000)/2)^(AN29-1),0)</f>
        <v/>
      </c>
      <c r="BE29" s="44">
        <f>IF(AM29=1,$AG29/(1+($AF$8+메인!$A$103/10000)/2)^(AN29-1),0)</f>
        <v/>
      </c>
      <c r="BF29" s="44">
        <f>IF(AM29=1,$AG29/(1+($AF$8+메인!$A$104/10000)/2)^(AN29-1),0)</f>
        <v/>
      </c>
    </row>
    <row r="30">
      <c r="A30" s="42" t="n">
        <v>16</v>
      </c>
      <c r="B30" s="43">
        <f>EDATE($B$2,-6*(62-$A30))</f>
        <v/>
      </c>
      <c r="C30" s="44">
        <f>IF(AND(B30&gt;$B$3,B30&lt;=$B$2),IF(B30=$B$2,$B$5+100,$B$5),0)</f>
        <v/>
      </c>
      <c r="D30" s="42">
        <f>IF(AND($C30&gt;0,B30&gt;$B$6),1,0)</f>
        <v/>
      </c>
      <c r="E30" s="42">
        <f>IF(D30=1,SUM($D$15:D30),"")</f>
        <v/>
      </c>
      <c r="F30" s="44">
        <f>IF(D30=1,$C30/(1+$B$8/2)^(E30-1),0)</f>
        <v/>
      </c>
      <c r="G30" s="44">
        <f>IF(D30=1,$C30/(1+($B$8+0.0001)/2)^(E30-1),0)</f>
        <v/>
      </c>
      <c r="H30" s="44">
        <f>IF(D30=1,$C30/(1+($B$8-0.0001)/2)^(E30-1),0)</f>
        <v/>
      </c>
      <c r="I30" s="42">
        <f>IF(AND($C30&gt;0,B30&gt;$B$7),1,0)</f>
        <v/>
      </c>
      <c r="J30" s="42">
        <f>IF(I30=1,SUM($I$15:I30),"")</f>
        <v/>
      </c>
      <c r="K30" s="44">
        <f>IF(I30=1,$C30/(1+$B$99/2)^(J30-1),0)</f>
        <v/>
      </c>
      <c r="L30" s="44">
        <f>IF(I30=1,$C30/(1+($B$99+0.0001)/2)^(J30-1),0)</f>
        <v/>
      </c>
      <c r="M30" s="44">
        <f>IF(I30=1,$C30/(1+($B$99-0.0001)/2)^(J30-1),0)</f>
        <v/>
      </c>
      <c r="N30" s="44">
        <f>IF(I30=1,$C30/(1+$B$104/2)^(J30-1),0)</f>
        <v/>
      </c>
      <c r="O30" s="44">
        <f>IF(I30=1,$C30/(1+($B$104+0.0001)/2)^(J30-1),0)</f>
        <v/>
      </c>
      <c r="P30" s="44">
        <f>IF(I30=1,$C30/(1+($B$104-0.0001)/2)^(J30-1),0)</f>
        <v/>
      </c>
      <c r="Q30" s="44">
        <f>IF(I30=1,$C30/(1+$B$109/2)^(J30-1),0)</f>
        <v/>
      </c>
      <c r="R30" s="44">
        <f>IF(AND($C30&gt;0,B30&gt;$B$6,B30&lt;=$B$7),$C30*(1+$B$9*($B$7-B30)/365),0)</f>
        <v/>
      </c>
      <c r="S30" s="44">
        <f>IF(I30=1,$C30/(1+($B$8+$B$10/10000)/2)^(J30-1),0)</f>
        <v/>
      </c>
      <c r="T30" s="44">
        <f>IF(I30=1,$C30/(1+($B$8+메인!$A$96/10000)/2)^(J30-1),0)</f>
        <v/>
      </c>
      <c r="U30" s="44">
        <f>IF(I30=1,$C30/(1+($B$8+메인!$A$97/10000)/2)^(J30-1),0)</f>
        <v/>
      </c>
      <c r="V30" s="44">
        <f>IF(I30=1,$C30/(1+($B$8+메인!$A$98/10000)/2)^(J30-1),0)</f>
        <v/>
      </c>
      <c r="W30" s="44">
        <f>IF(I30=1,$C30/(1+($B$8+메인!$A$99/10000)/2)^(J30-1),0)</f>
        <v/>
      </c>
      <c r="X30" s="44">
        <f>IF(I30=1,$C30/(1+($B$8+메인!$A$100/10000)/2)^(J30-1),0)</f>
        <v/>
      </c>
      <c r="Y30" s="44">
        <f>IF(I30=1,$C30/(1+($B$8+메인!$A$101/10000)/2)^(J30-1),0)</f>
        <v/>
      </c>
      <c r="Z30" s="44">
        <f>IF(I30=1,$C30/(1+($B$8+메인!$A$102/10000)/2)^(J30-1),0)</f>
        <v/>
      </c>
      <c r="AA30" s="44">
        <f>IF(I30=1,$C30/(1+($B$8+메인!$A$103/10000)/2)^(J30-1),0)</f>
        <v/>
      </c>
      <c r="AB30" s="44">
        <f>IF(I30=1,$C30/(1+($B$8+메인!$A$104/10000)/2)^(J30-1),0)</f>
        <v/>
      </c>
      <c r="AE30" s="42" t="n">
        <v>16</v>
      </c>
      <c r="AF30" s="43">
        <f>EDATE($AF$2,-6*(62-$AE30))</f>
        <v/>
      </c>
      <c r="AG30" s="44">
        <f>IF(AND(AF30&gt;$AF$3,AF30&lt;=$AF$2),IF(AF30=$AF$2,$AF$5+100,$AF$5),0)</f>
        <v/>
      </c>
      <c r="AH30" s="42">
        <f>IF(AND($AG30&gt;0,AF30&gt;$AF$6),1,0)</f>
        <v/>
      </c>
      <c r="AI30" s="42">
        <f>IF(AH30=1,SUM($AH$15:AH30),"")</f>
        <v/>
      </c>
      <c r="AJ30" s="44">
        <f>IF(AH30=1,$AG30/(1+$AF$8/2)^(AI30-1),0)</f>
        <v/>
      </c>
      <c r="AK30" s="44">
        <f>IF(AH30=1,$AG30/(1+($AF$8+0.0001)/2)^(AI30-1),0)</f>
        <v/>
      </c>
      <c r="AL30" s="44">
        <f>IF(AH30=1,$AG30/(1+($AF$8-0.0001)/2)^(AI30-1),0)</f>
        <v/>
      </c>
      <c r="AM30" s="42">
        <f>IF(AND($AG30&gt;0,AF30&gt;$AF$7),1,0)</f>
        <v/>
      </c>
      <c r="AN30" s="42">
        <f>IF(AM30=1,SUM($AM$15:AM30),"")</f>
        <v/>
      </c>
      <c r="AO30" s="44">
        <f>IF(AM30=1,$AG30/(1+$AF$99/2)^(AN30-1),0)</f>
        <v/>
      </c>
      <c r="AP30" s="44">
        <f>IF(AM30=1,$AG30/(1+($AF$99+0.0001)/2)^(AN30-1),0)</f>
        <v/>
      </c>
      <c r="AQ30" s="44">
        <f>IF(AM30=1,$AG30/(1+($AF$99-0.0001)/2)^(AN30-1),0)</f>
        <v/>
      </c>
      <c r="AR30" s="44">
        <f>IF(AM30=1,$AG30/(1+$AF$104/2)^(AN30-1),0)</f>
        <v/>
      </c>
      <c r="AS30" s="44">
        <f>IF(AM30=1,$AG30/(1+($AF$104+0.0001)/2)^(AN30-1),0)</f>
        <v/>
      </c>
      <c r="AT30" s="44">
        <f>IF(AM30=1,$AG30/(1+($AF$104-0.0001)/2)^(AN30-1),0)</f>
        <v/>
      </c>
      <c r="AU30" s="44">
        <f>IF(AM30=1,$AG30/(1+$AF$109/2)^(AN30-1),0)</f>
        <v/>
      </c>
      <c r="AV30" s="44">
        <f>IF(AND($AG30&gt;0,AF30&gt;$AF$6,AF30&lt;=$AF$7),$AG30*(1+$AF$9*($AF$7-AF30)/365),0)</f>
        <v/>
      </c>
      <c r="AW30" s="44">
        <f>IF(AM30=1,$AG30/(1+($AF$8+$AF$10/10000)/2)^(AN30-1),0)</f>
        <v/>
      </c>
      <c r="AX30" s="44">
        <f>IF(AM30=1,$AG30/(1+($AF$8+메인!$A$96/10000)/2)^(AN30-1),0)</f>
        <v/>
      </c>
      <c r="AY30" s="44">
        <f>IF(AM30=1,$AG30/(1+($AF$8+메인!$A$97/10000)/2)^(AN30-1),0)</f>
        <v/>
      </c>
      <c r="AZ30" s="44">
        <f>IF(AM30=1,$AG30/(1+($AF$8+메인!$A$98/10000)/2)^(AN30-1),0)</f>
        <v/>
      </c>
      <c r="BA30" s="44">
        <f>IF(AM30=1,$AG30/(1+($AF$8+메인!$A$99/10000)/2)^(AN30-1),0)</f>
        <v/>
      </c>
      <c r="BB30" s="44">
        <f>IF(AM30=1,$AG30/(1+($AF$8+메인!$A$100/10000)/2)^(AN30-1),0)</f>
        <v/>
      </c>
      <c r="BC30" s="44">
        <f>IF(AM30=1,$AG30/(1+($AF$8+메인!$A$101/10000)/2)^(AN30-1),0)</f>
        <v/>
      </c>
      <c r="BD30" s="44">
        <f>IF(AM30=1,$AG30/(1+($AF$8+메인!$A$102/10000)/2)^(AN30-1),0)</f>
        <v/>
      </c>
      <c r="BE30" s="44">
        <f>IF(AM30=1,$AG30/(1+($AF$8+메인!$A$103/10000)/2)^(AN30-1),0)</f>
        <v/>
      </c>
      <c r="BF30" s="44">
        <f>IF(AM30=1,$AG30/(1+($AF$8+메인!$A$104/10000)/2)^(AN30-1),0)</f>
        <v/>
      </c>
    </row>
    <row r="31">
      <c r="A31" s="42" t="n">
        <v>17</v>
      </c>
      <c r="B31" s="43">
        <f>EDATE($B$2,-6*(62-$A31))</f>
        <v/>
      </c>
      <c r="C31" s="44">
        <f>IF(AND(B31&gt;$B$3,B31&lt;=$B$2),IF(B31=$B$2,$B$5+100,$B$5),0)</f>
        <v/>
      </c>
      <c r="D31" s="42">
        <f>IF(AND($C31&gt;0,B31&gt;$B$6),1,0)</f>
        <v/>
      </c>
      <c r="E31" s="42">
        <f>IF(D31=1,SUM($D$15:D31),"")</f>
        <v/>
      </c>
      <c r="F31" s="44">
        <f>IF(D31=1,$C31/(1+$B$8/2)^(E31-1),0)</f>
        <v/>
      </c>
      <c r="G31" s="44">
        <f>IF(D31=1,$C31/(1+($B$8+0.0001)/2)^(E31-1),0)</f>
        <v/>
      </c>
      <c r="H31" s="44">
        <f>IF(D31=1,$C31/(1+($B$8-0.0001)/2)^(E31-1),0)</f>
        <v/>
      </c>
      <c r="I31" s="42">
        <f>IF(AND($C31&gt;0,B31&gt;$B$7),1,0)</f>
        <v/>
      </c>
      <c r="J31" s="42">
        <f>IF(I31=1,SUM($I$15:I31),"")</f>
        <v/>
      </c>
      <c r="K31" s="44">
        <f>IF(I31=1,$C31/(1+$B$99/2)^(J31-1),0)</f>
        <v/>
      </c>
      <c r="L31" s="44">
        <f>IF(I31=1,$C31/(1+($B$99+0.0001)/2)^(J31-1),0)</f>
        <v/>
      </c>
      <c r="M31" s="44">
        <f>IF(I31=1,$C31/(1+($B$99-0.0001)/2)^(J31-1),0)</f>
        <v/>
      </c>
      <c r="N31" s="44">
        <f>IF(I31=1,$C31/(1+$B$104/2)^(J31-1),0)</f>
        <v/>
      </c>
      <c r="O31" s="44">
        <f>IF(I31=1,$C31/(1+($B$104+0.0001)/2)^(J31-1),0)</f>
        <v/>
      </c>
      <c r="P31" s="44">
        <f>IF(I31=1,$C31/(1+($B$104-0.0001)/2)^(J31-1),0)</f>
        <v/>
      </c>
      <c r="Q31" s="44">
        <f>IF(I31=1,$C31/(1+$B$109/2)^(J31-1),0)</f>
        <v/>
      </c>
      <c r="R31" s="44">
        <f>IF(AND($C31&gt;0,B31&gt;$B$6,B31&lt;=$B$7),$C31*(1+$B$9*($B$7-B31)/365),0)</f>
        <v/>
      </c>
      <c r="S31" s="44">
        <f>IF(I31=1,$C31/(1+($B$8+$B$10/10000)/2)^(J31-1),0)</f>
        <v/>
      </c>
      <c r="T31" s="44">
        <f>IF(I31=1,$C31/(1+($B$8+메인!$A$96/10000)/2)^(J31-1),0)</f>
        <v/>
      </c>
      <c r="U31" s="44">
        <f>IF(I31=1,$C31/(1+($B$8+메인!$A$97/10000)/2)^(J31-1),0)</f>
        <v/>
      </c>
      <c r="V31" s="44">
        <f>IF(I31=1,$C31/(1+($B$8+메인!$A$98/10000)/2)^(J31-1),0)</f>
        <v/>
      </c>
      <c r="W31" s="44">
        <f>IF(I31=1,$C31/(1+($B$8+메인!$A$99/10000)/2)^(J31-1),0)</f>
        <v/>
      </c>
      <c r="X31" s="44">
        <f>IF(I31=1,$C31/(1+($B$8+메인!$A$100/10000)/2)^(J31-1),0)</f>
        <v/>
      </c>
      <c r="Y31" s="44">
        <f>IF(I31=1,$C31/(1+($B$8+메인!$A$101/10000)/2)^(J31-1),0)</f>
        <v/>
      </c>
      <c r="Z31" s="44">
        <f>IF(I31=1,$C31/(1+($B$8+메인!$A$102/10000)/2)^(J31-1),0)</f>
        <v/>
      </c>
      <c r="AA31" s="44">
        <f>IF(I31=1,$C31/(1+($B$8+메인!$A$103/10000)/2)^(J31-1),0)</f>
        <v/>
      </c>
      <c r="AB31" s="44">
        <f>IF(I31=1,$C31/(1+($B$8+메인!$A$104/10000)/2)^(J31-1),0)</f>
        <v/>
      </c>
      <c r="AE31" s="42" t="n">
        <v>17</v>
      </c>
      <c r="AF31" s="43">
        <f>EDATE($AF$2,-6*(62-$AE31))</f>
        <v/>
      </c>
      <c r="AG31" s="44">
        <f>IF(AND(AF31&gt;$AF$3,AF31&lt;=$AF$2),IF(AF31=$AF$2,$AF$5+100,$AF$5),0)</f>
        <v/>
      </c>
      <c r="AH31" s="42">
        <f>IF(AND($AG31&gt;0,AF31&gt;$AF$6),1,0)</f>
        <v/>
      </c>
      <c r="AI31" s="42">
        <f>IF(AH31=1,SUM($AH$15:AH31),"")</f>
        <v/>
      </c>
      <c r="AJ31" s="44">
        <f>IF(AH31=1,$AG31/(1+$AF$8/2)^(AI31-1),0)</f>
        <v/>
      </c>
      <c r="AK31" s="44">
        <f>IF(AH31=1,$AG31/(1+($AF$8+0.0001)/2)^(AI31-1),0)</f>
        <v/>
      </c>
      <c r="AL31" s="44">
        <f>IF(AH31=1,$AG31/(1+($AF$8-0.0001)/2)^(AI31-1),0)</f>
        <v/>
      </c>
      <c r="AM31" s="42">
        <f>IF(AND($AG31&gt;0,AF31&gt;$AF$7),1,0)</f>
        <v/>
      </c>
      <c r="AN31" s="42">
        <f>IF(AM31=1,SUM($AM$15:AM31),"")</f>
        <v/>
      </c>
      <c r="AO31" s="44">
        <f>IF(AM31=1,$AG31/(1+$AF$99/2)^(AN31-1),0)</f>
        <v/>
      </c>
      <c r="AP31" s="44">
        <f>IF(AM31=1,$AG31/(1+($AF$99+0.0001)/2)^(AN31-1),0)</f>
        <v/>
      </c>
      <c r="AQ31" s="44">
        <f>IF(AM31=1,$AG31/(1+($AF$99-0.0001)/2)^(AN31-1),0)</f>
        <v/>
      </c>
      <c r="AR31" s="44">
        <f>IF(AM31=1,$AG31/(1+$AF$104/2)^(AN31-1),0)</f>
        <v/>
      </c>
      <c r="AS31" s="44">
        <f>IF(AM31=1,$AG31/(1+($AF$104+0.0001)/2)^(AN31-1),0)</f>
        <v/>
      </c>
      <c r="AT31" s="44">
        <f>IF(AM31=1,$AG31/(1+($AF$104-0.0001)/2)^(AN31-1),0)</f>
        <v/>
      </c>
      <c r="AU31" s="44">
        <f>IF(AM31=1,$AG31/(1+$AF$109/2)^(AN31-1),0)</f>
        <v/>
      </c>
      <c r="AV31" s="44">
        <f>IF(AND($AG31&gt;0,AF31&gt;$AF$6,AF31&lt;=$AF$7),$AG31*(1+$AF$9*($AF$7-AF31)/365),0)</f>
        <v/>
      </c>
      <c r="AW31" s="44">
        <f>IF(AM31=1,$AG31/(1+($AF$8+$AF$10/10000)/2)^(AN31-1),0)</f>
        <v/>
      </c>
      <c r="AX31" s="44">
        <f>IF(AM31=1,$AG31/(1+($AF$8+메인!$A$96/10000)/2)^(AN31-1),0)</f>
        <v/>
      </c>
      <c r="AY31" s="44">
        <f>IF(AM31=1,$AG31/(1+($AF$8+메인!$A$97/10000)/2)^(AN31-1),0)</f>
        <v/>
      </c>
      <c r="AZ31" s="44">
        <f>IF(AM31=1,$AG31/(1+($AF$8+메인!$A$98/10000)/2)^(AN31-1),0)</f>
        <v/>
      </c>
      <c r="BA31" s="44">
        <f>IF(AM31=1,$AG31/(1+($AF$8+메인!$A$99/10000)/2)^(AN31-1),0)</f>
        <v/>
      </c>
      <c r="BB31" s="44">
        <f>IF(AM31=1,$AG31/(1+($AF$8+메인!$A$100/10000)/2)^(AN31-1),0)</f>
        <v/>
      </c>
      <c r="BC31" s="44">
        <f>IF(AM31=1,$AG31/(1+($AF$8+메인!$A$101/10000)/2)^(AN31-1),0)</f>
        <v/>
      </c>
      <c r="BD31" s="44">
        <f>IF(AM31=1,$AG31/(1+($AF$8+메인!$A$102/10000)/2)^(AN31-1),0)</f>
        <v/>
      </c>
      <c r="BE31" s="44">
        <f>IF(AM31=1,$AG31/(1+($AF$8+메인!$A$103/10000)/2)^(AN31-1),0)</f>
        <v/>
      </c>
      <c r="BF31" s="44">
        <f>IF(AM31=1,$AG31/(1+($AF$8+메인!$A$104/10000)/2)^(AN31-1),0)</f>
        <v/>
      </c>
    </row>
    <row r="32">
      <c r="A32" s="42" t="n">
        <v>18</v>
      </c>
      <c r="B32" s="43">
        <f>EDATE($B$2,-6*(62-$A32))</f>
        <v/>
      </c>
      <c r="C32" s="44">
        <f>IF(AND(B32&gt;$B$3,B32&lt;=$B$2),IF(B32=$B$2,$B$5+100,$B$5),0)</f>
        <v/>
      </c>
      <c r="D32" s="42">
        <f>IF(AND($C32&gt;0,B32&gt;$B$6),1,0)</f>
        <v/>
      </c>
      <c r="E32" s="42">
        <f>IF(D32=1,SUM($D$15:D32),"")</f>
        <v/>
      </c>
      <c r="F32" s="44">
        <f>IF(D32=1,$C32/(1+$B$8/2)^(E32-1),0)</f>
        <v/>
      </c>
      <c r="G32" s="44">
        <f>IF(D32=1,$C32/(1+($B$8+0.0001)/2)^(E32-1),0)</f>
        <v/>
      </c>
      <c r="H32" s="44">
        <f>IF(D32=1,$C32/(1+($B$8-0.0001)/2)^(E32-1),0)</f>
        <v/>
      </c>
      <c r="I32" s="42">
        <f>IF(AND($C32&gt;0,B32&gt;$B$7),1,0)</f>
        <v/>
      </c>
      <c r="J32" s="42">
        <f>IF(I32=1,SUM($I$15:I32),"")</f>
        <v/>
      </c>
      <c r="K32" s="44">
        <f>IF(I32=1,$C32/(1+$B$99/2)^(J32-1),0)</f>
        <v/>
      </c>
      <c r="L32" s="44">
        <f>IF(I32=1,$C32/(1+($B$99+0.0001)/2)^(J32-1),0)</f>
        <v/>
      </c>
      <c r="M32" s="44">
        <f>IF(I32=1,$C32/(1+($B$99-0.0001)/2)^(J32-1),0)</f>
        <v/>
      </c>
      <c r="N32" s="44">
        <f>IF(I32=1,$C32/(1+$B$104/2)^(J32-1),0)</f>
        <v/>
      </c>
      <c r="O32" s="44">
        <f>IF(I32=1,$C32/(1+($B$104+0.0001)/2)^(J32-1),0)</f>
        <v/>
      </c>
      <c r="P32" s="44">
        <f>IF(I32=1,$C32/(1+($B$104-0.0001)/2)^(J32-1),0)</f>
        <v/>
      </c>
      <c r="Q32" s="44">
        <f>IF(I32=1,$C32/(1+$B$109/2)^(J32-1),0)</f>
        <v/>
      </c>
      <c r="R32" s="44">
        <f>IF(AND($C32&gt;0,B32&gt;$B$6,B32&lt;=$B$7),$C32*(1+$B$9*($B$7-B32)/365),0)</f>
        <v/>
      </c>
      <c r="S32" s="44">
        <f>IF(I32=1,$C32/(1+($B$8+$B$10/10000)/2)^(J32-1),0)</f>
        <v/>
      </c>
      <c r="T32" s="44">
        <f>IF(I32=1,$C32/(1+($B$8+메인!$A$96/10000)/2)^(J32-1),0)</f>
        <v/>
      </c>
      <c r="U32" s="44">
        <f>IF(I32=1,$C32/(1+($B$8+메인!$A$97/10000)/2)^(J32-1),0)</f>
        <v/>
      </c>
      <c r="V32" s="44">
        <f>IF(I32=1,$C32/(1+($B$8+메인!$A$98/10000)/2)^(J32-1),0)</f>
        <v/>
      </c>
      <c r="W32" s="44">
        <f>IF(I32=1,$C32/(1+($B$8+메인!$A$99/10000)/2)^(J32-1),0)</f>
        <v/>
      </c>
      <c r="X32" s="44">
        <f>IF(I32=1,$C32/(1+($B$8+메인!$A$100/10000)/2)^(J32-1),0)</f>
        <v/>
      </c>
      <c r="Y32" s="44">
        <f>IF(I32=1,$C32/(1+($B$8+메인!$A$101/10000)/2)^(J32-1),0)</f>
        <v/>
      </c>
      <c r="Z32" s="44">
        <f>IF(I32=1,$C32/(1+($B$8+메인!$A$102/10000)/2)^(J32-1),0)</f>
        <v/>
      </c>
      <c r="AA32" s="44">
        <f>IF(I32=1,$C32/(1+($B$8+메인!$A$103/10000)/2)^(J32-1),0)</f>
        <v/>
      </c>
      <c r="AB32" s="44">
        <f>IF(I32=1,$C32/(1+($B$8+메인!$A$104/10000)/2)^(J32-1),0)</f>
        <v/>
      </c>
      <c r="AE32" s="42" t="n">
        <v>18</v>
      </c>
      <c r="AF32" s="43">
        <f>EDATE($AF$2,-6*(62-$AE32))</f>
        <v/>
      </c>
      <c r="AG32" s="44">
        <f>IF(AND(AF32&gt;$AF$3,AF32&lt;=$AF$2),IF(AF32=$AF$2,$AF$5+100,$AF$5),0)</f>
        <v/>
      </c>
      <c r="AH32" s="42">
        <f>IF(AND($AG32&gt;0,AF32&gt;$AF$6),1,0)</f>
        <v/>
      </c>
      <c r="AI32" s="42">
        <f>IF(AH32=1,SUM($AH$15:AH32),"")</f>
        <v/>
      </c>
      <c r="AJ32" s="44">
        <f>IF(AH32=1,$AG32/(1+$AF$8/2)^(AI32-1),0)</f>
        <v/>
      </c>
      <c r="AK32" s="44">
        <f>IF(AH32=1,$AG32/(1+($AF$8+0.0001)/2)^(AI32-1),0)</f>
        <v/>
      </c>
      <c r="AL32" s="44">
        <f>IF(AH32=1,$AG32/(1+($AF$8-0.0001)/2)^(AI32-1),0)</f>
        <v/>
      </c>
      <c r="AM32" s="42">
        <f>IF(AND($AG32&gt;0,AF32&gt;$AF$7),1,0)</f>
        <v/>
      </c>
      <c r="AN32" s="42">
        <f>IF(AM32=1,SUM($AM$15:AM32),"")</f>
        <v/>
      </c>
      <c r="AO32" s="44">
        <f>IF(AM32=1,$AG32/(1+$AF$99/2)^(AN32-1),0)</f>
        <v/>
      </c>
      <c r="AP32" s="44">
        <f>IF(AM32=1,$AG32/(1+($AF$99+0.0001)/2)^(AN32-1),0)</f>
        <v/>
      </c>
      <c r="AQ32" s="44">
        <f>IF(AM32=1,$AG32/(1+($AF$99-0.0001)/2)^(AN32-1),0)</f>
        <v/>
      </c>
      <c r="AR32" s="44">
        <f>IF(AM32=1,$AG32/(1+$AF$104/2)^(AN32-1),0)</f>
        <v/>
      </c>
      <c r="AS32" s="44">
        <f>IF(AM32=1,$AG32/(1+($AF$104+0.0001)/2)^(AN32-1),0)</f>
        <v/>
      </c>
      <c r="AT32" s="44">
        <f>IF(AM32=1,$AG32/(1+($AF$104-0.0001)/2)^(AN32-1),0)</f>
        <v/>
      </c>
      <c r="AU32" s="44">
        <f>IF(AM32=1,$AG32/(1+$AF$109/2)^(AN32-1),0)</f>
        <v/>
      </c>
      <c r="AV32" s="44">
        <f>IF(AND($AG32&gt;0,AF32&gt;$AF$6,AF32&lt;=$AF$7),$AG32*(1+$AF$9*($AF$7-AF32)/365),0)</f>
        <v/>
      </c>
      <c r="AW32" s="44">
        <f>IF(AM32=1,$AG32/(1+($AF$8+$AF$10/10000)/2)^(AN32-1),0)</f>
        <v/>
      </c>
      <c r="AX32" s="44">
        <f>IF(AM32=1,$AG32/(1+($AF$8+메인!$A$96/10000)/2)^(AN32-1),0)</f>
        <v/>
      </c>
      <c r="AY32" s="44">
        <f>IF(AM32=1,$AG32/(1+($AF$8+메인!$A$97/10000)/2)^(AN32-1),0)</f>
        <v/>
      </c>
      <c r="AZ32" s="44">
        <f>IF(AM32=1,$AG32/(1+($AF$8+메인!$A$98/10000)/2)^(AN32-1),0)</f>
        <v/>
      </c>
      <c r="BA32" s="44">
        <f>IF(AM32=1,$AG32/(1+($AF$8+메인!$A$99/10000)/2)^(AN32-1),0)</f>
        <v/>
      </c>
      <c r="BB32" s="44">
        <f>IF(AM32=1,$AG32/(1+($AF$8+메인!$A$100/10000)/2)^(AN32-1),0)</f>
        <v/>
      </c>
      <c r="BC32" s="44">
        <f>IF(AM32=1,$AG32/(1+($AF$8+메인!$A$101/10000)/2)^(AN32-1),0)</f>
        <v/>
      </c>
      <c r="BD32" s="44">
        <f>IF(AM32=1,$AG32/(1+($AF$8+메인!$A$102/10000)/2)^(AN32-1),0)</f>
        <v/>
      </c>
      <c r="BE32" s="44">
        <f>IF(AM32=1,$AG32/(1+($AF$8+메인!$A$103/10000)/2)^(AN32-1),0)</f>
        <v/>
      </c>
      <c r="BF32" s="44">
        <f>IF(AM32=1,$AG32/(1+($AF$8+메인!$A$104/10000)/2)^(AN32-1),0)</f>
        <v/>
      </c>
    </row>
    <row r="33">
      <c r="A33" s="42" t="n">
        <v>19</v>
      </c>
      <c r="B33" s="43">
        <f>EDATE($B$2,-6*(62-$A33))</f>
        <v/>
      </c>
      <c r="C33" s="44">
        <f>IF(AND(B33&gt;$B$3,B33&lt;=$B$2),IF(B33=$B$2,$B$5+100,$B$5),0)</f>
        <v/>
      </c>
      <c r="D33" s="42">
        <f>IF(AND($C33&gt;0,B33&gt;$B$6),1,0)</f>
        <v/>
      </c>
      <c r="E33" s="42">
        <f>IF(D33=1,SUM($D$15:D33),"")</f>
        <v/>
      </c>
      <c r="F33" s="44">
        <f>IF(D33=1,$C33/(1+$B$8/2)^(E33-1),0)</f>
        <v/>
      </c>
      <c r="G33" s="44">
        <f>IF(D33=1,$C33/(1+($B$8+0.0001)/2)^(E33-1),0)</f>
        <v/>
      </c>
      <c r="H33" s="44">
        <f>IF(D33=1,$C33/(1+($B$8-0.0001)/2)^(E33-1),0)</f>
        <v/>
      </c>
      <c r="I33" s="42">
        <f>IF(AND($C33&gt;0,B33&gt;$B$7),1,0)</f>
        <v/>
      </c>
      <c r="J33" s="42">
        <f>IF(I33=1,SUM($I$15:I33),"")</f>
        <v/>
      </c>
      <c r="K33" s="44">
        <f>IF(I33=1,$C33/(1+$B$99/2)^(J33-1),0)</f>
        <v/>
      </c>
      <c r="L33" s="44">
        <f>IF(I33=1,$C33/(1+($B$99+0.0001)/2)^(J33-1),0)</f>
        <v/>
      </c>
      <c r="M33" s="44">
        <f>IF(I33=1,$C33/(1+($B$99-0.0001)/2)^(J33-1),0)</f>
        <v/>
      </c>
      <c r="N33" s="44">
        <f>IF(I33=1,$C33/(1+$B$104/2)^(J33-1),0)</f>
        <v/>
      </c>
      <c r="O33" s="44">
        <f>IF(I33=1,$C33/(1+($B$104+0.0001)/2)^(J33-1),0)</f>
        <v/>
      </c>
      <c r="P33" s="44">
        <f>IF(I33=1,$C33/(1+($B$104-0.0001)/2)^(J33-1),0)</f>
        <v/>
      </c>
      <c r="Q33" s="44">
        <f>IF(I33=1,$C33/(1+$B$109/2)^(J33-1),0)</f>
        <v/>
      </c>
      <c r="R33" s="44">
        <f>IF(AND($C33&gt;0,B33&gt;$B$6,B33&lt;=$B$7),$C33*(1+$B$9*($B$7-B33)/365),0)</f>
        <v/>
      </c>
      <c r="S33" s="44">
        <f>IF(I33=1,$C33/(1+($B$8+$B$10/10000)/2)^(J33-1),0)</f>
        <v/>
      </c>
      <c r="T33" s="44">
        <f>IF(I33=1,$C33/(1+($B$8+메인!$A$96/10000)/2)^(J33-1),0)</f>
        <v/>
      </c>
      <c r="U33" s="44">
        <f>IF(I33=1,$C33/(1+($B$8+메인!$A$97/10000)/2)^(J33-1),0)</f>
        <v/>
      </c>
      <c r="V33" s="44">
        <f>IF(I33=1,$C33/(1+($B$8+메인!$A$98/10000)/2)^(J33-1),0)</f>
        <v/>
      </c>
      <c r="W33" s="44">
        <f>IF(I33=1,$C33/(1+($B$8+메인!$A$99/10000)/2)^(J33-1),0)</f>
        <v/>
      </c>
      <c r="X33" s="44">
        <f>IF(I33=1,$C33/(1+($B$8+메인!$A$100/10000)/2)^(J33-1),0)</f>
        <v/>
      </c>
      <c r="Y33" s="44">
        <f>IF(I33=1,$C33/(1+($B$8+메인!$A$101/10000)/2)^(J33-1),0)</f>
        <v/>
      </c>
      <c r="Z33" s="44">
        <f>IF(I33=1,$C33/(1+($B$8+메인!$A$102/10000)/2)^(J33-1),0)</f>
        <v/>
      </c>
      <c r="AA33" s="44">
        <f>IF(I33=1,$C33/(1+($B$8+메인!$A$103/10000)/2)^(J33-1),0)</f>
        <v/>
      </c>
      <c r="AB33" s="44">
        <f>IF(I33=1,$C33/(1+($B$8+메인!$A$104/10000)/2)^(J33-1),0)</f>
        <v/>
      </c>
      <c r="AE33" s="42" t="n">
        <v>19</v>
      </c>
      <c r="AF33" s="43">
        <f>EDATE($AF$2,-6*(62-$AE33))</f>
        <v/>
      </c>
      <c r="AG33" s="44">
        <f>IF(AND(AF33&gt;$AF$3,AF33&lt;=$AF$2),IF(AF33=$AF$2,$AF$5+100,$AF$5),0)</f>
        <v/>
      </c>
      <c r="AH33" s="42">
        <f>IF(AND($AG33&gt;0,AF33&gt;$AF$6),1,0)</f>
        <v/>
      </c>
      <c r="AI33" s="42">
        <f>IF(AH33=1,SUM($AH$15:AH33),"")</f>
        <v/>
      </c>
      <c r="AJ33" s="44">
        <f>IF(AH33=1,$AG33/(1+$AF$8/2)^(AI33-1),0)</f>
        <v/>
      </c>
      <c r="AK33" s="44">
        <f>IF(AH33=1,$AG33/(1+($AF$8+0.0001)/2)^(AI33-1),0)</f>
        <v/>
      </c>
      <c r="AL33" s="44">
        <f>IF(AH33=1,$AG33/(1+($AF$8-0.0001)/2)^(AI33-1),0)</f>
        <v/>
      </c>
      <c r="AM33" s="42">
        <f>IF(AND($AG33&gt;0,AF33&gt;$AF$7),1,0)</f>
        <v/>
      </c>
      <c r="AN33" s="42">
        <f>IF(AM33=1,SUM($AM$15:AM33),"")</f>
        <v/>
      </c>
      <c r="AO33" s="44">
        <f>IF(AM33=1,$AG33/(1+$AF$99/2)^(AN33-1),0)</f>
        <v/>
      </c>
      <c r="AP33" s="44">
        <f>IF(AM33=1,$AG33/(1+($AF$99+0.0001)/2)^(AN33-1),0)</f>
        <v/>
      </c>
      <c r="AQ33" s="44">
        <f>IF(AM33=1,$AG33/(1+($AF$99-0.0001)/2)^(AN33-1),0)</f>
        <v/>
      </c>
      <c r="AR33" s="44">
        <f>IF(AM33=1,$AG33/(1+$AF$104/2)^(AN33-1),0)</f>
        <v/>
      </c>
      <c r="AS33" s="44">
        <f>IF(AM33=1,$AG33/(1+($AF$104+0.0001)/2)^(AN33-1),0)</f>
        <v/>
      </c>
      <c r="AT33" s="44">
        <f>IF(AM33=1,$AG33/(1+($AF$104-0.0001)/2)^(AN33-1),0)</f>
        <v/>
      </c>
      <c r="AU33" s="44">
        <f>IF(AM33=1,$AG33/(1+$AF$109/2)^(AN33-1),0)</f>
        <v/>
      </c>
      <c r="AV33" s="44">
        <f>IF(AND($AG33&gt;0,AF33&gt;$AF$6,AF33&lt;=$AF$7),$AG33*(1+$AF$9*($AF$7-AF33)/365),0)</f>
        <v/>
      </c>
      <c r="AW33" s="44">
        <f>IF(AM33=1,$AG33/(1+($AF$8+$AF$10/10000)/2)^(AN33-1),0)</f>
        <v/>
      </c>
      <c r="AX33" s="44">
        <f>IF(AM33=1,$AG33/(1+($AF$8+메인!$A$96/10000)/2)^(AN33-1),0)</f>
        <v/>
      </c>
      <c r="AY33" s="44">
        <f>IF(AM33=1,$AG33/(1+($AF$8+메인!$A$97/10000)/2)^(AN33-1),0)</f>
        <v/>
      </c>
      <c r="AZ33" s="44">
        <f>IF(AM33=1,$AG33/(1+($AF$8+메인!$A$98/10000)/2)^(AN33-1),0)</f>
        <v/>
      </c>
      <c r="BA33" s="44">
        <f>IF(AM33=1,$AG33/(1+($AF$8+메인!$A$99/10000)/2)^(AN33-1),0)</f>
        <v/>
      </c>
      <c r="BB33" s="44">
        <f>IF(AM33=1,$AG33/(1+($AF$8+메인!$A$100/10000)/2)^(AN33-1),0)</f>
        <v/>
      </c>
      <c r="BC33" s="44">
        <f>IF(AM33=1,$AG33/(1+($AF$8+메인!$A$101/10000)/2)^(AN33-1),0)</f>
        <v/>
      </c>
      <c r="BD33" s="44">
        <f>IF(AM33=1,$AG33/(1+($AF$8+메인!$A$102/10000)/2)^(AN33-1),0)</f>
        <v/>
      </c>
      <c r="BE33" s="44">
        <f>IF(AM33=1,$AG33/(1+($AF$8+메인!$A$103/10000)/2)^(AN33-1),0)</f>
        <v/>
      </c>
      <c r="BF33" s="44">
        <f>IF(AM33=1,$AG33/(1+($AF$8+메인!$A$104/10000)/2)^(AN33-1),0)</f>
        <v/>
      </c>
    </row>
    <row r="34">
      <c r="A34" s="42" t="n">
        <v>20</v>
      </c>
      <c r="B34" s="43">
        <f>EDATE($B$2,-6*(62-$A34))</f>
        <v/>
      </c>
      <c r="C34" s="44">
        <f>IF(AND(B34&gt;$B$3,B34&lt;=$B$2),IF(B34=$B$2,$B$5+100,$B$5),0)</f>
        <v/>
      </c>
      <c r="D34" s="42">
        <f>IF(AND($C34&gt;0,B34&gt;$B$6),1,0)</f>
        <v/>
      </c>
      <c r="E34" s="42">
        <f>IF(D34=1,SUM($D$15:D34),"")</f>
        <v/>
      </c>
      <c r="F34" s="44">
        <f>IF(D34=1,$C34/(1+$B$8/2)^(E34-1),0)</f>
        <v/>
      </c>
      <c r="G34" s="44">
        <f>IF(D34=1,$C34/(1+($B$8+0.0001)/2)^(E34-1),0)</f>
        <v/>
      </c>
      <c r="H34" s="44">
        <f>IF(D34=1,$C34/(1+($B$8-0.0001)/2)^(E34-1),0)</f>
        <v/>
      </c>
      <c r="I34" s="42">
        <f>IF(AND($C34&gt;0,B34&gt;$B$7),1,0)</f>
        <v/>
      </c>
      <c r="J34" s="42">
        <f>IF(I34=1,SUM($I$15:I34),"")</f>
        <v/>
      </c>
      <c r="K34" s="44">
        <f>IF(I34=1,$C34/(1+$B$99/2)^(J34-1),0)</f>
        <v/>
      </c>
      <c r="L34" s="44">
        <f>IF(I34=1,$C34/(1+($B$99+0.0001)/2)^(J34-1),0)</f>
        <v/>
      </c>
      <c r="M34" s="44">
        <f>IF(I34=1,$C34/(1+($B$99-0.0001)/2)^(J34-1),0)</f>
        <v/>
      </c>
      <c r="N34" s="44">
        <f>IF(I34=1,$C34/(1+$B$104/2)^(J34-1),0)</f>
        <v/>
      </c>
      <c r="O34" s="44">
        <f>IF(I34=1,$C34/(1+($B$104+0.0001)/2)^(J34-1),0)</f>
        <v/>
      </c>
      <c r="P34" s="44">
        <f>IF(I34=1,$C34/(1+($B$104-0.0001)/2)^(J34-1),0)</f>
        <v/>
      </c>
      <c r="Q34" s="44">
        <f>IF(I34=1,$C34/(1+$B$109/2)^(J34-1),0)</f>
        <v/>
      </c>
      <c r="R34" s="44">
        <f>IF(AND($C34&gt;0,B34&gt;$B$6,B34&lt;=$B$7),$C34*(1+$B$9*($B$7-B34)/365),0)</f>
        <v/>
      </c>
      <c r="S34" s="44">
        <f>IF(I34=1,$C34/(1+($B$8+$B$10/10000)/2)^(J34-1),0)</f>
        <v/>
      </c>
      <c r="T34" s="44">
        <f>IF(I34=1,$C34/(1+($B$8+메인!$A$96/10000)/2)^(J34-1),0)</f>
        <v/>
      </c>
      <c r="U34" s="44">
        <f>IF(I34=1,$C34/(1+($B$8+메인!$A$97/10000)/2)^(J34-1),0)</f>
        <v/>
      </c>
      <c r="V34" s="44">
        <f>IF(I34=1,$C34/(1+($B$8+메인!$A$98/10000)/2)^(J34-1),0)</f>
        <v/>
      </c>
      <c r="W34" s="44">
        <f>IF(I34=1,$C34/(1+($B$8+메인!$A$99/10000)/2)^(J34-1),0)</f>
        <v/>
      </c>
      <c r="X34" s="44">
        <f>IF(I34=1,$C34/(1+($B$8+메인!$A$100/10000)/2)^(J34-1),0)</f>
        <v/>
      </c>
      <c r="Y34" s="44">
        <f>IF(I34=1,$C34/(1+($B$8+메인!$A$101/10000)/2)^(J34-1),0)</f>
        <v/>
      </c>
      <c r="Z34" s="44">
        <f>IF(I34=1,$C34/(1+($B$8+메인!$A$102/10000)/2)^(J34-1),0)</f>
        <v/>
      </c>
      <c r="AA34" s="44">
        <f>IF(I34=1,$C34/(1+($B$8+메인!$A$103/10000)/2)^(J34-1),0)</f>
        <v/>
      </c>
      <c r="AB34" s="44">
        <f>IF(I34=1,$C34/(1+($B$8+메인!$A$104/10000)/2)^(J34-1),0)</f>
        <v/>
      </c>
      <c r="AE34" s="42" t="n">
        <v>20</v>
      </c>
      <c r="AF34" s="43">
        <f>EDATE($AF$2,-6*(62-$AE34))</f>
        <v/>
      </c>
      <c r="AG34" s="44">
        <f>IF(AND(AF34&gt;$AF$3,AF34&lt;=$AF$2),IF(AF34=$AF$2,$AF$5+100,$AF$5),0)</f>
        <v/>
      </c>
      <c r="AH34" s="42">
        <f>IF(AND($AG34&gt;0,AF34&gt;$AF$6),1,0)</f>
        <v/>
      </c>
      <c r="AI34" s="42">
        <f>IF(AH34=1,SUM($AH$15:AH34),"")</f>
        <v/>
      </c>
      <c r="AJ34" s="44">
        <f>IF(AH34=1,$AG34/(1+$AF$8/2)^(AI34-1),0)</f>
        <v/>
      </c>
      <c r="AK34" s="44">
        <f>IF(AH34=1,$AG34/(1+($AF$8+0.0001)/2)^(AI34-1),0)</f>
        <v/>
      </c>
      <c r="AL34" s="44">
        <f>IF(AH34=1,$AG34/(1+($AF$8-0.0001)/2)^(AI34-1),0)</f>
        <v/>
      </c>
      <c r="AM34" s="42">
        <f>IF(AND($AG34&gt;0,AF34&gt;$AF$7),1,0)</f>
        <v/>
      </c>
      <c r="AN34" s="42">
        <f>IF(AM34=1,SUM($AM$15:AM34),"")</f>
        <v/>
      </c>
      <c r="AO34" s="44">
        <f>IF(AM34=1,$AG34/(1+$AF$99/2)^(AN34-1),0)</f>
        <v/>
      </c>
      <c r="AP34" s="44">
        <f>IF(AM34=1,$AG34/(1+($AF$99+0.0001)/2)^(AN34-1),0)</f>
        <v/>
      </c>
      <c r="AQ34" s="44">
        <f>IF(AM34=1,$AG34/(1+($AF$99-0.0001)/2)^(AN34-1),0)</f>
        <v/>
      </c>
      <c r="AR34" s="44">
        <f>IF(AM34=1,$AG34/(1+$AF$104/2)^(AN34-1),0)</f>
        <v/>
      </c>
      <c r="AS34" s="44">
        <f>IF(AM34=1,$AG34/(1+($AF$104+0.0001)/2)^(AN34-1),0)</f>
        <v/>
      </c>
      <c r="AT34" s="44">
        <f>IF(AM34=1,$AG34/(1+($AF$104-0.0001)/2)^(AN34-1),0)</f>
        <v/>
      </c>
      <c r="AU34" s="44">
        <f>IF(AM34=1,$AG34/(1+$AF$109/2)^(AN34-1),0)</f>
        <v/>
      </c>
      <c r="AV34" s="44">
        <f>IF(AND($AG34&gt;0,AF34&gt;$AF$6,AF34&lt;=$AF$7),$AG34*(1+$AF$9*($AF$7-AF34)/365),0)</f>
        <v/>
      </c>
      <c r="AW34" s="44">
        <f>IF(AM34=1,$AG34/(1+($AF$8+$AF$10/10000)/2)^(AN34-1),0)</f>
        <v/>
      </c>
      <c r="AX34" s="44">
        <f>IF(AM34=1,$AG34/(1+($AF$8+메인!$A$96/10000)/2)^(AN34-1),0)</f>
        <v/>
      </c>
      <c r="AY34" s="44">
        <f>IF(AM34=1,$AG34/(1+($AF$8+메인!$A$97/10000)/2)^(AN34-1),0)</f>
        <v/>
      </c>
      <c r="AZ34" s="44">
        <f>IF(AM34=1,$AG34/(1+($AF$8+메인!$A$98/10000)/2)^(AN34-1),0)</f>
        <v/>
      </c>
      <c r="BA34" s="44">
        <f>IF(AM34=1,$AG34/(1+($AF$8+메인!$A$99/10000)/2)^(AN34-1),0)</f>
        <v/>
      </c>
      <c r="BB34" s="44">
        <f>IF(AM34=1,$AG34/(1+($AF$8+메인!$A$100/10000)/2)^(AN34-1),0)</f>
        <v/>
      </c>
      <c r="BC34" s="44">
        <f>IF(AM34=1,$AG34/(1+($AF$8+메인!$A$101/10000)/2)^(AN34-1),0)</f>
        <v/>
      </c>
      <c r="BD34" s="44">
        <f>IF(AM34=1,$AG34/(1+($AF$8+메인!$A$102/10000)/2)^(AN34-1),0)</f>
        <v/>
      </c>
      <c r="BE34" s="44">
        <f>IF(AM34=1,$AG34/(1+($AF$8+메인!$A$103/10000)/2)^(AN34-1),0)</f>
        <v/>
      </c>
      <c r="BF34" s="44">
        <f>IF(AM34=1,$AG34/(1+($AF$8+메인!$A$104/10000)/2)^(AN34-1),0)</f>
        <v/>
      </c>
    </row>
    <row r="35">
      <c r="A35" s="42" t="n">
        <v>21</v>
      </c>
      <c r="B35" s="43">
        <f>EDATE($B$2,-6*(62-$A35))</f>
        <v/>
      </c>
      <c r="C35" s="44">
        <f>IF(AND(B35&gt;$B$3,B35&lt;=$B$2),IF(B35=$B$2,$B$5+100,$B$5),0)</f>
        <v/>
      </c>
      <c r="D35" s="42">
        <f>IF(AND($C35&gt;0,B35&gt;$B$6),1,0)</f>
        <v/>
      </c>
      <c r="E35" s="42">
        <f>IF(D35=1,SUM($D$15:D35),"")</f>
        <v/>
      </c>
      <c r="F35" s="44">
        <f>IF(D35=1,$C35/(1+$B$8/2)^(E35-1),0)</f>
        <v/>
      </c>
      <c r="G35" s="44">
        <f>IF(D35=1,$C35/(1+($B$8+0.0001)/2)^(E35-1),0)</f>
        <v/>
      </c>
      <c r="H35" s="44">
        <f>IF(D35=1,$C35/(1+($B$8-0.0001)/2)^(E35-1),0)</f>
        <v/>
      </c>
      <c r="I35" s="42">
        <f>IF(AND($C35&gt;0,B35&gt;$B$7),1,0)</f>
        <v/>
      </c>
      <c r="J35" s="42">
        <f>IF(I35=1,SUM($I$15:I35),"")</f>
        <v/>
      </c>
      <c r="K35" s="44">
        <f>IF(I35=1,$C35/(1+$B$99/2)^(J35-1),0)</f>
        <v/>
      </c>
      <c r="L35" s="44">
        <f>IF(I35=1,$C35/(1+($B$99+0.0001)/2)^(J35-1),0)</f>
        <v/>
      </c>
      <c r="M35" s="44">
        <f>IF(I35=1,$C35/(1+($B$99-0.0001)/2)^(J35-1),0)</f>
        <v/>
      </c>
      <c r="N35" s="44">
        <f>IF(I35=1,$C35/(1+$B$104/2)^(J35-1),0)</f>
        <v/>
      </c>
      <c r="O35" s="44">
        <f>IF(I35=1,$C35/(1+($B$104+0.0001)/2)^(J35-1),0)</f>
        <v/>
      </c>
      <c r="P35" s="44">
        <f>IF(I35=1,$C35/(1+($B$104-0.0001)/2)^(J35-1),0)</f>
        <v/>
      </c>
      <c r="Q35" s="44">
        <f>IF(I35=1,$C35/(1+$B$109/2)^(J35-1),0)</f>
        <v/>
      </c>
      <c r="R35" s="44">
        <f>IF(AND($C35&gt;0,B35&gt;$B$6,B35&lt;=$B$7),$C35*(1+$B$9*($B$7-B35)/365),0)</f>
        <v/>
      </c>
      <c r="S35" s="44">
        <f>IF(I35=1,$C35/(1+($B$8+$B$10/10000)/2)^(J35-1),0)</f>
        <v/>
      </c>
      <c r="T35" s="44">
        <f>IF(I35=1,$C35/(1+($B$8+메인!$A$96/10000)/2)^(J35-1),0)</f>
        <v/>
      </c>
      <c r="U35" s="44">
        <f>IF(I35=1,$C35/(1+($B$8+메인!$A$97/10000)/2)^(J35-1),0)</f>
        <v/>
      </c>
      <c r="V35" s="44">
        <f>IF(I35=1,$C35/(1+($B$8+메인!$A$98/10000)/2)^(J35-1),0)</f>
        <v/>
      </c>
      <c r="W35" s="44">
        <f>IF(I35=1,$C35/(1+($B$8+메인!$A$99/10000)/2)^(J35-1),0)</f>
        <v/>
      </c>
      <c r="X35" s="44">
        <f>IF(I35=1,$C35/(1+($B$8+메인!$A$100/10000)/2)^(J35-1),0)</f>
        <v/>
      </c>
      <c r="Y35" s="44">
        <f>IF(I35=1,$C35/(1+($B$8+메인!$A$101/10000)/2)^(J35-1),0)</f>
        <v/>
      </c>
      <c r="Z35" s="44">
        <f>IF(I35=1,$C35/(1+($B$8+메인!$A$102/10000)/2)^(J35-1),0)</f>
        <v/>
      </c>
      <c r="AA35" s="44">
        <f>IF(I35=1,$C35/(1+($B$8+메인!$A$103/10000)/2)^(J35-1),0)</f>
        <v/>
      </c>
      <c r="AB35" s="44">
        <f>IF(I35=1,$C35/(1+($B$8+메인!$A$104/10000)/2)^(J35-1),0)</f>
        <v/>
      </c>
      <c r="AE35" s="42" t="n">
        <v>21</v>
      </c>
      <c r="AF35" s="43">
        <f>EDATE($AF$2,-6*(62-$AE35))</f>
        <v/>
      </c>
      <c r="AG35" s="44">
        <f>IF(AND(AF35&gt;$AF$3,AF35&lt;=$AF$2),IF(AF35=$AF$2,$AF$5+100,$AF$5),0)</f>
        <v/>
      </c>
      <c r="AH35" s="42">
        <f>IF(AND($AG35&gt;0,AF35&gt;$AF$6),1,0)</f>
        <v/>
      </c>
      <c r="AI35" s="42">
        <f>IF(AH35=1,SUM($AH$15:AH35),"")</f>
        <v/>
      </c>
      <c r="AJ35" s="44">
        <f>IF(AH35=1,$AG35/(1+$AF$8/2)^(AI35-1),0)</f>
        <v/>
      </c>
      <c r="AK35" s="44">
        <f>IF(AH35=1,$AG35/(1+($AF$8+0.0001)/2)^(AI35-1),0)</f>
        <v/>
      </c>
      <c r="AL35" s="44">
        <f>IF(AH35=1,$AG35/(1+($AF$8-0.0001)/2)^(AI35-1),0)</f>
        <v/>
      </c>
      <c r="AM35" s="42">
        <f>IF(AND($AG35&gt;0,AF35&gt;$AF$7),1,0)</f>
        <v/>
      </c>
      <c r="AN35" s="42">
        <f>IF(AM35=1,SUM($AM$15:AM35),"")</f>
        <v/>
      </c>
      <c r="AO35" s="44">
        <f>IF(AM35=1,$AG35/(1+$AF$99/2)^(AN35-1),0)</f>
        <v/>
      </c>
      <c r="AP35" s="44">
        <f>IF(AM35=1,$AG35/(1+($AF$99+0.0001)/2)^(AN35-1),0)</f>
        <v/>
      </c>
      <c r="AQ35" s="44">
        <f>IF(AM35=1,$AG35/(1+($AF$99-0.0001)/2)^(AN35-1),0)</f>
        <v/>
      </c>
      <c r="AR35" s="44">
        <f>IF(AM35=1,$AG35/(1+$AF$104/2)^(AN35-1),0)</f>
        <v/>
      </c>
      <c r="AS35" s="44">
        <f>IF(AM35=1,$AG35/(1+($AF$104+0.0001)/2)^(AN35-1),0)</f>
        <v/>
      </c>
      <c r="AT35" s="44">
        <f>IF(AM35=1,$AG35/(1+($AF$104-0.0001)/2)^(AN35-1),0)</f>
        <v/>
      </c>
      <c r="AU35" s="44">
        <f>IF(AM35=1,$AG35/(1+$AF$109/2)^(AN35-1),0)</f>
        <v/>
      </c>
      <c r="AV35" s="44">
        <f>IF(AND($AG35&gt;0,AF35&gt;$AF$6,AF35&lt;=$AF$7),$AG35*(1+$AF$9*($AF$7-AF35)/365),0)</f>
        <v/>
      </c>
      <c r="AW35" s="44">
        <f>IF(AM35=1,$AG35/(1+($AF$8+$AF$10/10000)/2)^(AN35-1),0)</f>
        <v/>
      </c>
      <c r="AX35" s="44">
        <f>IF(AM35=1,$AG35/(1+($AF$8+메인!$A$96/10000)/2)^(AN35-1),0)</f>
        <v/>
      </c>
      <c r="AY35" s="44">
        <f>IF(AM35=1,$AG35/(1+($AF$8+메인!$A$97/10000)/2)^(AN35-1),0)</f>
        <v/>
      </c>
      <c r="AZ35" s="44">
        <f>IF(AM35=1,$AG35/(1+($AF$8+메인!$A$98/10000)/2)^(AN35-1),0)</f>
        <v/>
      </c>
      <c r="BA35" s="44">
        <f>IF(AM35=1,$AG35/(1+($AF$8+메인!$A$99/10000)/2)^(AN35-1),0)</f>
        <v/>
      </c>
      <c r="BB35" s="44">
        <f>IF(AM35=1,$AG35/(1+($AF$8+메인!$A$100/10000)/2)^(AN35-1),0)</f>
        <v/>
      </c>
      <c r="BC35" s="44">
        <f>IF(AM35=1,$AG35/(1+($AF$8+메인!$A$101/10000)/2)^(AN35-1),0)</f>
        <v/>
      </c>
      <c r="BD35" s="44">
        <f>IF(AM35=1,$AG35/(1+($AF$8+메인!$A$102/10000)/2)^(AN35-1),0)</f>
        <v/>
      </c>
      <c r="BE35" s="44">
        <f>IF(AM35=1,$AG35/(1+($AF$8+메인!$A$103/10000)/2)^(AN35-1),0)</f>
        <v/>
      </c>
      <c r="BF35" s="44">
        <f>IF(AM35=1,$AG35/(1+($AF$8+메인!$A$104/10000)/2)^(AN35-1),0)</f>
        <v/>
      </c>
    </row>
    <row r="36">
      <c r="A36" s="42" t="n">
        <v>22</v>
      </c>
      <c r="B36" s="43">
        <f>EDATE($B$2,-6*(62-$A36))</f>
        <v/>
      </c>
      <c r="C36" s="44">
        <f>IF(AND(B36&gt;$B$3,B36&lt;=$B$2),IF(B36=$B$2,$B$5+100,$B$5),0)</f>
        <v/>
      </c>
      <c r="D36" s="42">
        <f>IF(AND($C36&gt;0,B36&gt;$B$6),1,0)</f>
        <v/>
      </c>
      <c r="E36" s="42">
        <f>IF(D36=1,SUM($D$15:D36),"")</f>
        <v/>
      </c>
      <c r="F36" s="44">
        <f>IF(D36=1,$C36/(1+$B$8/2)^(E36-1),0)</f>
        <v/>
      </c>
      <c r="G36" s="44">
        <f>IF(D36=1,$C36/(1+($B$8+0.0001)/2)^(E36-1),0)</f>
        <v/>
      </c>
      <c r="H36" s="44">
        <f>IF(D36=1,$C36/(1+($B$8-0.0001)/2)^(E36-1),0)</f>
        <v/>
      </c>
      <c r="I36" s="42">
        <f>IF(AND($C36&gt;0,B36&gt;$B$7),1,0)</f>
        <v/>
      </c>
      <c r="J36" s="42">
        <f>IF(I36=1,SUM($I$15:I36),"")</f>
        <v/>
      </c>
      <c r="K36" s="44">
        <f>IF(I36=1,$C36/(1+$B$99/2)^(J36-1),0)</f>
        <v/>
      </c>
      <c r="L36" s="44">
        <f>IF(I36=1,$C36/(1+($B$99+0.0001)/2)^(J36-1),0)</f>
        <v/>
      </c>
      <c r="M36" s="44">
        <f>IF(I36=1,$C36/(1+($B$99-0.0001)/2)^(J36-1),0)</f>
        <v/>
      </c>
      <c r="N36" s="44">
        <f>IF(I36=1,$C36/(1+$B$104/2)^(J36-1),0)</f>
        <v/>
      </c>
      <c r="O36" s="44">
        <f>IF(I36=1,$C36/(1+($B$104+0.0001)/2)^(J36-1),0)</f>
        <v/>
      </c>
      <c r="P36" s="44">
        <f>IF(I36=1,$C36/(1+($B$104-0.0001)/2)^(J36-1),0)</f>
        <v/>
      </c>
      <c r="Q36" s="44">
        <f>IF(I36=1,$C36/(1+$B$109/2)^(J36-1),0)</f>
        <v/>
      </c>
      <c r="R36" s="44">
        <f>IF(AND($C36&gt;0,B36&gt;$B$6,B36&lt;=$B$7),$C36*(1+$B$9*($B$7-B36)/365),0)</f>
        <v/>
      </c>
      <c r="S36" s="44">
        <f>IF(I36=1,$C36/(1+($B$8+$B$10/10000)/2)^(J36-1),0)</f>
        <v/>
      </c>
      <c r="T36" s="44">
        <f>IF(I36=1,$C36/(1+($B$8+메인!$A$96/10000)/2)^(J36-1),0)</f>
        <v/>
      </c>
      <c r="U36" s="44">
        <f>IF(I36=1,$C36/(1+($B$8+메인!$A$97/10000)/2)^(J36-1),0)</f>
        <v/>
      </c>
      <c r="V36" s="44">
        <f>IF(I36=1,$C36/(1+($B$8+메인!$A$98/10000)/2)^(J36-1),0)</f>
        <v/>
      </c>
      <c r="W36" s="44">
        <f>IF(I36=1,$C36/(1+($B$8+메인!$A$99/10000)/2)^(J36-1),0)</f>
        <v/>
      </c>
      <c r="X36" s="44">
        <f>IF(I36=1,$C36/(1+($B$8+메인!$A$100/10000)/2)^(J36-1),0)</f>
        <v/>
      </c>
      <c r="Y36" s="44">
        <f>IF(I36=1,$C36/(1+($B$8+메인!$A$101/10000)/2)^(J36-1),0)</f>
        <v/>
      </c>
      <c r="Z36" s="44">
        <f>IF(I36=1,$C36/(1+($B$8+메인!$A$102/10000)/2)^(J36-1),0)</f>
        <v/>
      </c>
      <c r="AA36" s="44">
        <f>IF(I36=1,$C36/(1+($B$8+메인!$A$103/10000)/2)^(J36-1),0)</f>
        <v/>
      </c>
      <c r="AB36" s="44">
        <f>IF(I36=1,$C36/(1+($B$8+메인!$A$104/10000)/2)^(J36-1),0)</f>
        <v/>
      </c>
      <c r="AE36" s="42" t="n">
        <v>22</v>
      </c>
      <c r="AF36" s="43">
        <f>EDATE($AF$2,-6*(62-$AE36))</f>
        <v/>
      </c>
      <c r="AG36" s="44">
        <f>IF(AND(AF36&gt;$AF$3,AF36&lt;=$AF$2),IF(AF36=$AF$2,$AF$5+100,$AF$5),0)</f>
        <v/>
      </c>
      <c r="AH36" s="42">
        <f>IF(AND($AG36&gt;0,AF36&gt;$AF$6),1,0)</f>
        <v/>
      </c>
      <c r="AI36" s="42">
        <f>IF(AH36=1,SUM($AH$15:AH36),"")</f>
        <v/>
      </c>
      <c r="AJ36" s="44">
        <f>IF(AH36=1,$AG36/(1+$AF$8/2)^(AI36-1),0)</f>
        <v/>
      </c>
      <c r="AK36" s="44">
        <f>IF(AH36=1,$AG36/(1+($AF$8+0.0001)/2)^(AI36-1),0)</f>
        <v/>
      </c>
      <c r="AL36" s="44">
        <f>IF(AH36=1,$AG36/(1+($AF$8-0.0001)/2)^(AI36-1),0)</f>
        <v/>
      </c>
      <c r="AM36" s="42">
        <f>IF(AND($AG36&gt;0,AF36&gt;$AF$7),1,0)</f>
        <v/>
      </c>
      <c r="AN36" s="42">
        <f>IF(AM36=1,SUM($AM$15:AM36),"")</f>
        <v/>
      </c>
      <c r="AO36" s="44">
        <f>IF(AM36=1,$AG36/(1+$AF$99/2)^(AN36-1),0)</f>
        <v/>
      </c>
      <c r="AP36" s="44">
        <f>IF(AM36=1,$AG36/(1+($AF$99+0.0001)/2)^(AN36-1),0)</f>
        <v/>
      </c>
      <c r="AQ36" s="44">
        <f>IF(AM36=1,$AG36/(1+($AF$99-0.0001)/2)^(AN36-1),0)</f>
        <v/>
      </c>
      <c r="AR36" s="44">
        <f>IF(AM36=1,$AG36/(1+$AF$104/2)^(AN36-1),0)</f>
        <v/>
      </c>
      <c r="AS36" s="44">
        <f>IF(AM36=1,$AG36/(1+($AF$104+0.0001)/2)^(AN36-1),0)</f>
        <v/>
      </c>
      <c r="AT36" s="44">
        <f>IF(AM36=1,$AG36/(1+($AF$104-0.0001)/2)^(AN36-1),0)</f>
        <v/>
      </c>
      <c r="AU36" s="44">
        <f>IF(AM36=1,$AG36/(1+$AF$109/2)^(AN36-1),0)</f>
        <v/>
      </c>
      <c r="AV36" s="44">
        <f>IF(AND($AG36&gt;0,AF36&gt;$AF$6,AF36&lt;=$AF$7),$AG36*(1+$AF$9*($AF$7-AF36)/365),0)</f>
        <v/>
      </c>
      <c r="AW36" s="44">
        <f>IF(AM36=1,$AG36/(1+($AF$8+$AF$10/10000)/2)^(AN36-1),0)</f>
        <v/>
      </c>
      <c r="AX36" s="44">
        <f>IF(AM36=1,$AG36/(1+($AF$8+메인!$A$96/10000)/2)^(AN36-1),0)</f>
        <v/>
      </c>
      <c r="AY36" s="44">
        <f>IF(AM36=1,$AG36/(1+($AF$8+메인!$A$97/10000)/2)^(AN36-1),0)</f>
        <v/>
      </c>
      <c r="AZ36" s="44">
        <f>IF(AM36=1,$AG36/(1+($AF$8+메인!$A$98/10000)/2)^(AN36-1),0)</f>
        <v/>
      </c>
      <c r="BA36" s="44">
        <f>IF(AM36=1,$AG36/(1+($AF$8+메인!$A$99/10000)/2)^(AN36-1),0)</f>
        <v/>
      </c>
      <c r="BB36" s="44">
        <f>IF(AM36=1,$AG36/(1+($AF$8+메인!$A$100/10000)/2)^(AN36-1),0)</f>
        <v/>
      </c>
      <c r="BC36" s="44">
        <f>IF(AM36=1,$AG36/(1+($AF$8+메인!$A$101/10000)/2)^(AN36-1),0)</f>
        <v/>
      </c>
      <c r="BD36" s="44">
        <f>IF(AM36=1,$AG36/(1+($AF$8+메인!$A$102/10000)/2)^(AN36-1),0)</f>
        <v/>
      </c>
      <c r="BE36" s="44">
        <f>IF(AM36=1,$AG36/(1+($AF$8+메인!$A$103/10000)/2)^(AN36-1),0)</f>
        <v/>
      </c>
      <c r="BF36" s="44">
        <f>IF(AM36=1,$AG36/(1+($AF$8+메인!$A$104/10000)/2)^(AN36-1),0)</f>
        <v/>
      </c>
    </row>
    <row r="37">
      <c r="A37" s="42" t="n">
        <v>23</v>
      </c>
      <c r="B37" s="43">
        <f>EDATE($B$2,-6*(62-$A37))</f>
        <v/>
      </c>
      <c r="C37" s="44">
        <f>IF(AND(B37&gt;$B$3,B37&lt;=$B$2),IF(B37=$B$2,$B$5+100,$B$5),0)</f>
        <v/>
      </c>
      <c r="D37" s="42">
        <f>IF(AND($C37&gt;0,B37&gt;$B$6),1,0)</f>
        <v/>
      </c>
      <c r="E37" s="42">
        <f>IF(D37=1,SUM($D$15:D37),"")</f>
        <v/>
      </c>
      <c r="F37" s="44">
        <f>IF(D37=1,$C37/(1+$B$8/2)^(E37-1),0)</f>
        <v/>
      </c>
      <c r="G37" s="44">
        <f>IF(D37=1,$C37/(1+($B$8+0.0001)/2)^(E37-1),0)</f>
        <v/>
      </c>
      <c r="H37" s="44">
        <f>IF(D37=1,$C37/(1+($B$8-0.0001)/2)^(E37-1),0)</f>
        <v/>
      </c>
      <c r="I37" s="42">
        <f>IF(AND($C37&gt;0,B37&gt;$B$7),1,0)</f>
        <v/>
      </c>
      <c r="J37" s="42">
        <f>IF(I37=1,SUM($I$15:I37),"")</f>
        <v/>
      </c>
      <c r="K37" s="44">
        <f>IF(I37=1,$C37/(1+$B$99/2)^(J37-1),0)</f>
        <v/>
      </c>
      <c r="L37" s="44">
        <f>IF(I37=1,$C37/(1+($B$99+0.0001)/2)^(J37-1),0)</f>
        <v/>
      </c>
      <c r="M37" s="44">
        <f>IF(I37=1,$C37/(1+($B$99-0.0001)/2)^(J37-1),0)</f>
        <v/>
      </c>
      <c r="N37" s="44">
        <f>IF(I37=1,$C37/(1+$B$104/2)^(J37-1),0)</f>
        <v/>
      </c>
      <c r="O37" s="44">
        <f>IF(I37=1,$C37/(1+($B$104+0.0001)/2)^(J37-1),0)</f>
        <v/>
      </c>
      <c r="P37" s="44">
        <f>IF(I37=1,$C37/(1+($B$104-0.0001)/2)^(J37-1),0)</f>
        <v/>
      </c>
      <c r="Q37" s="44">
        <f>IF(I37=1,$C37/(1+$B$109/2)^(J37-1),0)</f>
        <v/>
      </c>
      <c r="R37" s="44">
        <f>IF(AND($C37&gt;0,B37&gt;$B$6,B37&lt;=$B$7),$C37*(1+$B$9*($B$7-B37)/365),0)</f>
        <v/>
      </c>
      <c r="S37" s="44">
        <f>IF(I37=1,$C37/(1+($B$8+$B$10/10000)/2)^(J37-1),0)</f>
        <v/>
      </c>
      <c r="T37" s="44">
        <f>IF(I37=1,$C37/(1+($B$8+메인!$A$96/10000)/2)^(J37-1),0)</f>
        <v/>
      </c>
      <c r="U37" s="44">
        <f>IF(I37=1,$C37/(1+($B$8+메인!$A$97/10000)/2)^(J37-1),0)</f>
        <v/>
      </c>
      <c r="V37" s="44">
        <f>IF(I37=1,$C37/(1+($B$8+메인!$A$98/10000)/2)^(J37-1),0)</f>
        <v/>
      </c>
      <c r="W37" s="44">
        <f>IF(I37=1,$C37/(1+($B$8+메인!$A$99/10000)/2)^(J37-1),0)</f>
        <v/>
      </c>
      <c r="X37" s="44">
        <f>IF(I37=1,$C37/(1+($B$8+메인!$A$100/10000)/2)^(J37-1),0)</f>
        <v/>
      </c>
      <c r="Y37" s="44">
        <f>IF(I37=1,$C37/(1+($B$8+메인!$A$101/10000)/2)^(J37-1),0)</f>
        <v/>
      </c>
      <c r="Z37" s="44">
        <f>IF(I37=1,$C37/(1+($B$8+메인!$A$102/10000)/2)^(J37-1),0)</f>
        <v/>
      </c>
      <c r="AA37" s="44">
        <f>IF(I37=1,$C37/(1+($B$8+메인!$A$103/10000)/2)^(J37-1),0)</f>
        <v/>
      </c>
      <c r="AB37" s="44">
        <f>IF(I37=1,$C37/(1+($B$8+메인!$A$104/10000)/2)^(J37-1),0)</f>
        <v/>
      </c>
      <c r="AE37" s="42" t="n">
        <v>23</v>
      </c>
      <c r="AF37" s="43">
        <f>EDATE($AF$2,-6*(62-$AE37))</f>
        <v/>
      </c>
      <c r="AG37" s="44">
        <f>IF(AND(AF37&gt;$AF$3,AF37&lt;=$AF$2),IF(AF37=$AF$2,$AF$5+100,$AF$5),0)</f>
        <v/>
      </c>
      <c r="AH37" s="42">
        <f>IF(AND($AG37&gt;0,AF37&gt;$AF$6),1,0)</f>
        <v/>
      </c>
      <c r="AI37" s="42">
        <f>IF(AH37=1,SUM($AH$15:AH37),"")</f>
        <v/>
      </c>
      <c r="AJ37" s="44">
        <f>IF(AH37=1,$AG37/(1+$AF$8/2)^(AI37-1),0)</f>
        <v/>
      </c>
      <c r="AK37" s="44">
        <f>IF(AH37=1,$AG37/(1+($AF$8+0.0001)/2)^(AI37-1),0)</f>
        <v/>
      </c>
      <c r="AL37" s="44">
        <f>IF(AH37=1,$AG37/(1+($AF$8-0.0001)/2)^(AI37-1),0)</f>
        <v/>
      </c>
      <c r="AM37" s="42">
        <f>IF(AND($AG37&gt;0,AF37&gt;$AF$7),1,0)</f>
        <v/>
      </c>
      <c r="AN37" s="42">
        <f>IF(AM37=1,SUM($AM$15:AM37),"")</f>
        <v/>
      </c>
      <c r="AO37" s="44">
        <f>IF(AM37=1,$AG37/(1+$AF$99/2)^(AN37-1),0)</f>
        <v/>
      </c>
      <c r="AP37" s="44">
        <f>IF(AM37=1,$AG37/(1+($AF$99+0.0001)/2)^(AN37-1),0)</f>
        <v/>
      </c>
      <c r="AQ37" s="44">
        <f>IF(AM37=1,$AG37/(1+($AF$99-0.0001)/2)^(AN37-1),0)</f>
        <v/>
      </c>
      <c r="AR37" s="44">
        <f>IF(AM37=1,$AG37/(1+$AF$104/2)^(AN37-1),0)</f>
        <v/>
      </c>
      <c r="AS37" s="44">
        <f>IF(AM37=1,$AG37/(1+($AF$104+0.0001)/2)^(AN37-1),0)</f>
        <v/>
      </c>
      <c r="AT37" s="44">
        <f>IF(AM37=1,$AG37/(1+($AF$104-0.0001)/2)^(AN37-1),0)</f>
        <v/>
      </c>
      <c r="AU37" s="44">
        <f>IF(AM37=1,$AG37/(1+$AF$109/2)^(AN37-1),0)</f>
        <v/>
      </c>
      <c r="AV37" s="44">
        <f>IF(AND($AG37&gt;0,AF37&gt;$AF$6,AF37&lt;=$AF$7),$AG37*(1+$AF$9*($AF$7-AF37)/365),0)</f>
        <v/>
      </c>
      <c r="AW37" s="44">
        <f>IF(AM37=1,$AG37/(1+($AF$8+$AF$10/10000)/2)^(AN37-1),0)</f>
        <v/>
      </c>
      <c r="AX37" s="44">
        <f>IF(AM37=1,$AG37/(1+($AF$8+메인!$A$96/10000)/2)^(AN37-1),0)</f>
        <v/>
      </c>
      <c r="AY37" s="44">
        <f>IF(AM37=1,$AG37/(1+($AF$8+메인!$A$97/10000)/2)^(AN37-1),0)</f>
        <v/>
      </c>
      <c r="AZ37" s="44">
        <f>IF(AM37=1,$AG37/(1+($AF$8+메인!$A$98/10000)/2)^(AN37-1),0)</f>
        <v/>
      </c>
      <c r="BA37" s="44">
        <f>IF(AM37=1,$AG37/(1+($AF$8+메인!$A$99/10000)/2)^(AN37-1),0)</f>
        <v/>
      </c>
      <c r="BB37" s="44">
        <f>IF(AM37=1,$AG37/(1+($AF$8+메인!$A$100/10000)/2)^(AN37-1),0)</f>
        <v/>
      </c>
      <c r="BC37" s="44">
        <f>IF(AM37=1,$AG37/(1+($AF$8+메인!$A$101/10000)/2)^(AN37-1),0)</f>
        <v/>
      </c>
      <c r="BD37" s="44">
        <f>IF(AM37=1,$AG37/(1+($AF$8+메인!$A$102/10000)/2)^(AN37-1),0)</f>
        <v/>
      </c>
      <c r="BE37" s="44">
        <f>IF(AM37=1,$AG37/(1+($AF$8+메인!$A$103/10000)/2)^(AN37-1),0)</f>
        <v/>
      </c>
      <c r="BF37" s="44">
        <f>IF(AM37=1,$AG37/(1+($AF$8+메인!$A$104/10000)/2)^(AN37-1),0)</f>
        <v/>
      </c>
    </row>
    <row r="38">
      <c r="A38" s="42" t="n">
        <v>24</v>
      </c>
      <c r="B38" s="43">
        <f>EDATE($B$2,-6*(62-$A38))</f>
        <v/>
      </c>
      <c r="C38" s="44">
        <f>IF(AND(B38&gt;$B$3,B38&lt;=$B$2),IF(B38=$B$2,$B$5+100,$B$5),0)</f>
        <v/>
      </c>
      <c r="D38" s="42">
        <f>IF(AND($C38&gt;0,B38&gt;$B$6),1,0)</f>
        <v/>
      </c>
      <c r="E38" s="42">
        <f>IF(D38=1,SUM($D$15:D38),"")</f>
        <v/>
      </c>
      <c r="F38" s="44">
        <f>IF(D38=1,$C38/(1+$B$8/2)^(E38-1),0)</f>
        <v/>
      </c>
      <c r="G38" s="44">
        <f>IF(D38=1,$C38/(1+($B$8+0.0001)/2)^(E38-1),0)</f>
        <v/>
      </c>
      <c r="H38" s="44">
        <f>IF(D38=1,$C38/(1+($B$8-0.0001)/2)^(E38-1),0)</f>
        <v/>
      </c>
      <c r="I38" s="42">
        <f>IF(AND($C38&gt;0,B38&gt;$B$7),1,0)</f>
        <v/>
      </c>
      <c r="J38" s="42">
        <f>IF(I38=1,SUM($I$15:I38),"")</f>
        <v/>
      </c>
      <c r="K38" s="44">
        <f>IF(I38=1,$C38/(1+$B$99/2)^(J38-1),0)</f>
        <v/>
      </c>
      <c r="L38" s="44">
        <f>IF(I38=1,$C38/(1+($B$99+0.0001)/2)^(J38-1),0)</f>
        <v/>
      </c>
      <c r="M38" s="44">
        <f>IF(I38=1,$C38/(1+($B$99-0.0001)/2)^(J38-1),0)</f>
        <v/>
      </c>
      <c r="N38" s="44">
        <f>IF(I38=1,$C38/(1+$B$104/2)^(J38-1),0)</f>
        <v/>
      </c>
      <c r="O38" s="44">
        <f>IF(I38=1,$C38/(1+($B$104+0.0001)/2)^(J38-1),0)</f>
        <v/>
      </c>
      <c r="P38" s="44">
        <f>IF(I38=1,$C38/(1+($B$104-0.0001)/2)^(J38-1),0)</f>
        <v/>
      </c>
      <c r="Q38" s="44">
        <f>IF(I38=1,$C38/(1+$B$109/2)^(J38-1),0)</f>
        <v/>
      </c>
      <c r="R38" s="44">
        <f>IF(AND($C38&gt;0,B38&gt;$B$6,B38&lt;=$B$7),$C38*(1+$B$9*($B$7-B38)/365),0)</f>
        <v/>
      </c>
      <c r="S38" s="44">
        <f>IF(I38=1,$C38/(1+($B$8+$B$10/10000)/2)^(J38-1),0)</f>
        <v/>
      </c>
      <c r="T38" s="44">
        <f>IF(I38=1,$C38/(1+($B$8+메인!$A$96/10000)/2)^(J38-1),0)</f>
        <v/>
      </c>
      <c r="U38" s="44">
        <f>IF(I38=1,$C38/(1+($B$8+메인!$A$97/10000)/2)^(J38-1),0)</f>
        <v/>
      </c>
      <c r="V38" s="44">
        <f>IF(I38=1,$C38/(1+($B$8+메인!$A$98/10000)/2)^(J38-1),0)</f>
        <v/>
      </c>
      <c r="W38" s="44">
        <f>IF(I38=1,$C38/(1+($B$8+메인!$A$99/10000)/2)^(J38-1),0)</f>
        <v/>
      </c>
      <c r="X38" s="44">
        <f>IF(I38=1,$C38/(1+($B$8+메인!$A$100/10000)/2)^(J38-1),0)</f>
        <v/>
      </c>
      <c r="Y38" s="44">
        <f>IF(I38=1,$C38/(1+($B$8+메인!$A$101/10000)/2)^(J38-1),0)</f>
        <v/>
      </c>
      <c r="Z38" s="44">
        <f>IF(I38=1,$C38/(1+($B$8+메인!$A$102/10000)/2)^(J38-1),0)</f>
        <v/>
      </c>
      <c r="AA38" s="44">
        <f>IF(I38=1,$C38/(1+($B$8+메인!$A$103/10000)/2)^(J38-1),0)</f>
        <v/>
      </c>
      <c r="AB38" s="44">
        <f>IF(I38=1,$C38/(1+($B$8+메인!$A$104/10000)/2)^(J38-1),0)</f>
        <v/>
      </c>
      <c r="AE38" s="42" t="n">
        <v>24</v>
      </c>
      <c r="AF38" s="43">
        <f>EDATE($AF$2,-6*(62-$AE38))</f>
        <v/>
      </c>
      <c r="AG38" s="44">
        <f>IF(AND(AF38&gt;$AF$3,AF38&lt;=$AF$2),IF(AF38=$AF$2,$AF$5+100,$AF$5),0)</f>
        <v/>
      </c>
      <c r="AH38" s="42">
        <f>IF(AND($AG38&gt;0,AF38&gt;$AF$6),1,0)</f>
        <v/>
      </c>
      <c r="AI38" s="42">
        <f>IF(AH38=1,SUM($AH$15:AH38),"")</f>
        <v/>
      </c>
      <c r="AJ38" s="44">
        <f>IF(AH38=1,$AG38/(1+$AF$8/2)^(AI38-1),0)</f>
        <v/>
      </c>
      <c r="AK38" s="44">
        <f>IF(AH38=1,$AG38/(1+($AF$8+0.0001)/2)^(AI38-1),0)</f>
        <v/>
      </c>
      <c r="AL38" s="44">
        <f>IF(AH38=1,$AG38/(1+($AF$8-0.0001)/2)^(AI38-1),0)</f>
        <v/>
      </c>
      <c r="AM38" s="42">
        <f>IF(AND($AG38&gt;0,AF38&gt;$AF$7),1,0)</f>
        <v/>
      </c>
      <c r="AN38" s="42">
        <f>IF(AM38=1,SUM($AM$15:AM38),"")</f>
        <v/>
      </c>
      <c r="AO38" s="44">
        <f>IF(AM38=1,$AG38/(1+$AF$99/2)^(AN38-1),0)</f>
        <v/>
      </c>
      <c r="AP38" s="44">
        <f>IF(AM38=1,$AG38/(1+($AF$99+0.0001)/2)^(AN38-1),0)</f>
        <v/>
      </c>
      <c r="AQ38" s="44">
        <f>IF(AM38=1,$AG38/(1+($AF$99-0.0001)/2)^(AN38-1),0)</f>
        <v/>
      </c>
      <c r="AR38" s="44">
        <f>IF(AM38=1,$AG38/(1+$AF$104/2)^(AN38-1),0)</f>
        <v/>
      </c>
      <c r="AS38" s="44">
        <f>IF(AM38=1,$AG38/(1+($AF$104+0.0001)/2)^(AN38-1),0)</f>
        <v/>
      </c>
      <c r="AT38" s="44">
        <f>IF(AM38=1,$AG38/(1+($AF$104-0.0001)/2)^(AN38-1),0)</f>
        <v/>
      </c>
      <c r="AU38" s="44">
        <f>IF(AM38=1,$AG38/(1+$AF$109/2)^(AN38-1),0)</f>
        <v/>
      </c>
      <c r="AV38" s="44">
        <f>IF(AND($AG38&gt;0,AF38&gt;$AF$6,AF38&lt;=$AF$7),$AG38*(1+$AF$9*($AF$7-AF38)/365),0)</f>
        <v/>
      </c>
      <c r="AW38" s="44">
        <f>IF(AM38=1,$AG38/(1+($AF$8+$AF$10/10000)/2)^(AN38-1),0)</f>
        <v/>
      </c>
      <c r="AX38" s="44">
        <f>IF(AM38=1,$AG38/(1+($AF$8+메인!$A$96/10000)/2)^(AN38-1),0)</f>
        <v/>
      </c>
      <c r="AY38" s="44">
        <f>IF(AM38=1,$AG38/(1+($AF$8+메인!$A$97/10000)/2)^(AN38-1),0)</f>
        <v/>
      </c>
      <c r="AZ38" s="44">
        <f>IF(AM38=1,$AG38/(1+($AF$8+메인!$A$98/10000)/2)^(AN38-1),0)</f>
        <v/>
      </c>
      <c r="BA38" s="44">
        <f>IF(AM38=1,$AG38/(1+($AF$8+메인!$A$99/10000)/2)^(AN38-1),0)</f>
        <v/>
      </c>
      <c r="BB38" s="44">
        <f>IF(AM38=1,$AG38/(1+($AF$8+메인!$A$100/10000)/2)^(AN38-1),0)</f>
        <v/>
      </c>
      <c r="BC38" s="44">
        <f>IF(AM38=1,$AG38/(1+($AF$8+메인!$A$101/10000)/2)^(AN38-1),0)</f>
        <v/>
      </c>
      <c r="BD38" s="44">
        <f>IF(AM38=1,$AG38/(1+($AF$8+메인!$A$102/10000)/2)^(AN38-1),0)</f>
        <v/>
      </c>
      <c r="BE38" s="44">
        <f>IF(AM38=1,$AG38/(1+($AF$8+메인!$A$103/10000)/2)^(AN38-1),0)</f>
        <v/>
      </c>
      <c r="BF38" s="44">
        <f>IF(AM38=1,$AG38/(1+($AF$8+메인!$A$104/10000)/2)^(AN38-1),0)</f>
        <v/>
      </c>
    </row>
    <row r="39">
      <c r="A39" s="42" t="n">
        <v>25</v>
      </c>
      <c r="B39" s="43">
        <f>EDATE($B$2,-6*(62-$A39))</f>
        <v/>
      </c>
      <c r="C39" s="44">
        <f>IF(AND(B39&gt;$B$3,B39&lt;=$B$2),IF(B39=$B$2,$B$5+100,$B$5),0)</f>
        <v/>
      </c>
      <c r="D39" s="42">
        <f>IF(AND($C39&gt;0,B39&gt;$B$6),1,0)</f>
        <v/>
      </c>
      <c r="E39" s="42">
        <f>IF(D39=1,SUM($D$15:D39),"")</f>
        <v/>
      </c>
      <c r="F39" s="44">
        <f>IF(D39=1,$C39/(1+$B$8/2)^(E39-1),0)</f>
        <v/>
      </c>
      <c r="G39" s="44">
        <f>IF(D39=1,$C39/(1+($B$8+0.0001)/2)^(E39-1),0)</f>
        <v/>
      </c>
      <c r="H39" s="44">
        <f>IF(D39=1,$C39/(1+($B$8-0.0001)/2)^(E39-1),0)</f>
        <v/>
      </c>
      <c r="I39" s="42">
        <f>IF(AND($C39&gt;0,B39&gt;$B$7),1,0)</f>
        <v/>
      </c>
      <c r="J39" s="42">
        <f>IF(I39=1,SUM($I$15:I39),"")</f>
        <v/>
      </c>
      <c r="K39" s="44">
        <f>IF(I39=1,$C39/(1+$B$99/2)^(J39-1),0)</f>
        <v/>
      </c>
      <c r="L39" s="44">
        <f>IF(I39=1,$C39/(1+($B$99+0.0001)/2)^(J39-1),0)</f>
        <v/>
      </c>
      <c r="M39" s="44">
        <f>IF(I39=1,$C39/(1+($B$99-0.0001)/2)^(J39-1),0)</f>
        <v/>
      </c>
      <c r="N39" s="44">
        <f>IF(I39=1,$C39/(1+$B$104/2)^(J39-1),0)</f>
        <v/>
      </c>
      <c r="O39" s="44">
        <f>IF(I39=1,$C39/(1+($B$104+0.0001)/2)^(J39-1),0)</f>
        <v/>
      </c>
      <c r="P39" s="44">
        <f>IF(I39=1,$C39/(1+($B$104-0.0001)/2)^(J39-1),0)</f>
        <v/>
      </c>
      <c r="Q39" s="44">
        <f>IF(I39=1,$C39/(1+$B$109/2)^(J39-1),0)</f>
        <v/>
      </c>
      <c r="R39" s="44">
        <f>IF(AND($C39&gt;0,B39&gt;$B$6,B39&lt;=$B$7),$C39*(1+$B$9*($B$7-B39)/365),0)</f>
        <v/>
      </c>
      <c r="S39" s="44">
        <f>IF(I39=1,$C39/(1+($B$8+$B$10/10000)/2)^(J39-1),0)</f>
        <v/>
      </c>
      <c r="T39" s="44">
        <f>IF(I39=1,$C39/(1+($B$8+메인!$A$96/10000)/2)^(J39-1),0)</f>
        <v/>
      </c>
      <c r="U39" s="44">
        <f>IF(I39=1,$C39/(1+($B$8+메인!$A$97/10000)/2)^(J39-1),0)</f>
        <v/>
      </c>
      <c r="V39" s="44">
        <f>IF(I39=1,$C39/(1+($B$8+메인!$A$98/10000)/2)^(J39-1),0)</f>
        <v/>
      </c>
      <c r="W39" s="44">
        <f>IF(I39=1,$C39/(1+($B$8+메인!$A$99/10000)/2)^(J39-1),0)</f>
        <v/>
      </c>
      <c r="X39" s="44">
        <f>IF(I39=1,$C39/(1+($B$8+메인!$A$100/10000)/2)^(J39-1),0)</f>
        <v/>
      </c>
      <c r="Y39" s="44">
        <f>IF(I39=1,$C39/(1+($B$8+메인!$A$101/10000)/2)^(J39-1),0)</f>
        <v/>
      </c>
      <c r="Z39" s="44">
        <f>IF(I39=1,$C39/(1+($B$8+메인!$A$102/10000)/2)^(J39-1),0)</f>
        <v/>
      </c>
      <c r="AA39" s="44">
        <f>IF(I39=1,$C39/(1+($B$8+메인!$A$103/10000)/2)^(J39-1),0)</f>
        <v/>
      </c>
      <c r="AB39" s="44">
        <f>IF(I39=1,$C39/(1+($B$8+메인!$A$104/10000)/2)^(J39-1),0)</f>
        <v/>
      </c>
      <c r="AE39" s="42" t="n">
        <v>25</v>
      </c>
      <c r="AF39" s="43">
        <f>EDATE($AF$2,-6*(62-$AE39))</f>
        <v/>
      </c>
      <c r="AG39" s="44">
        <f>IF(AND(AF39&gt;$AF$3,AF39&lt;=$AF$2),IF(AF39=$AF$2,$AF$5+100,$AF$5),0)</f>
        <v/>
      </c>
      <c r="AH39" s="42">
        <f>IF(AND($AG39&gt;0,AF39&gt;$AF$6),1,0)</f>
        <v/>
      </c>
      <c r="AI39" s="42">
        <f>IF(AH39=1,SUM($AH$15:AH39),"")</f>
        <v/>
      </c>
      <c r="AJ39" s="44">
        <f>IF(AH39=1,$AG39/(1+$AF$8/2)^(AI39-1),0)</f>
        <v/>
      </c>
      <c r="AK39" s="44">
        <f>IF(AH39=1,$AG39/(1+($AF$8+0.0001)/2)^(AI39-1),0)</f>
        <v/>
      </c>
      <c r="AL39" s="44">
        <f>IF(AH39=1,$AG39/(1+($AF$8-0.0001)/2)^(AI39-1),0)</f>
        <v/>
      </c>
      <c r="AM39" s="42">
        <f>IF(AND($AG39&gt;0,AF39&gt;$AF$7),1,0)</f>
        <v/>
      </c>
      <c r="AN39" s="42">
        <f>IF(AM39=1,SUM($AM$15:AM39),"")</f>
        <v/>
      </c>
      <c r="AO39" s="44">
        <f>IF(AM39=1,$AG39/(1+$AF$99/2)^(AN39-1),0)</f>
        <v/>
      </c>
      <c r="AP39" s="44">
        <f>IF(AM39=1,$AG39/(1+($AF$99+0.0001)/2)^(AN39-1),0)</f>
        <v/>
      </c>
      <c r="AQ39" s="44">
        <f>IF(AM39=1,$AG39/(1+($AF$99-0.0001)/2)^(AN39-1),0)</f>
        <v/>
      </c>
      <c r="AR39" s="44">
        <f>IF(AM39=1,$AG39/(1+$AF$104/2)^(AN39-1),0)</f>
        <v/>
      </c>
      <c r="AS39" s="44">
        <f>IF(AM39=1,$AG39/(1+($AF$104+0.0001)/2)^(AN39-1),0)</f>
        <v/>
      </c>
      <c r="AT39" s="44">
        <f>IF(AM39=1,$AG39/(1+($AF$104-0.0001)/2)^(AN39-1),0)</f>
        <v/>
      </c>
      <c r="AU39" s="44">
        <f>IF(AM39=1,$AG39/(1+$AF$109/2)^(AN39-1),0)</f>
        <v/>
      </c>
      <c r="AV39" s="44">
        <f>IF(AND($AG39&gt;0,AF39&gt;$AF$6,AF39&lt;=$AF$7),$AG39*(1+$AF$9*($AF$7-AF39)/365),0)</f>
        <v/>
      </c>
      <c r="AW39" s="44">
        <f>IF(AM39=1,$AG39/(1+($AF$8+$AF$10/10000)/2)^(AN39-1),0)</f>
        <v/>
      </c>
      <c r="AX39" s="44">
        <f>IF(AM39=1,$AG39/(1+($AF$8+메인!$A$96/10000)/2)^(AN39-1),0)</f>
        <v/>
      </c>
      <c r="AY39" s="44">
        <f>IF(AM39=1,$AG39/(1+($AF$8+메인!$A$97/10000)/2)^(AN39-1),0)</f>
        <v/>
      </c>
      <c r="AZ39" s="44">
        <f>IF(AM39=1,$AG39/(1+($AF$8+메인!$A$98/10000)/2)^(AN39-1),0)</f>
        <v/>
      </c>
      <c r="BA39" s="44">
        <f>IF(AM39=1,$AG39/(1+($AF$8+메인!$A$99/10000)/2)^(AN39-1),0)</f>
        <v/>
      </c>
      <c r="BB39" s="44">
        <f>IF(AM39=1,$AG39/(1+($AF$8+메인!$A$100/10000)/2)^(AN39-1),0)</f>
        <v/>
      </c>
      <c r="BC39" s="44">
        <f>IF(AM39=1,$AG39/(1+($AF$8+메인!$A$101/10000)/2)^(AN39-1),0)</f>
        <v/>
      </c>
      <c r="BD39" s="44">
        <f>IF(AM39=1,$AG39/(1+($AF$8+메인!$A$102/10000)/2)^(AN39-1),0)</f>
        <v/>
      </c>
      <c r="BE39" s="44">
        <f>IF(AM39=1,$AG39/(1+($AF$8+메인!$A$103/10000)/2)^(AN39-1),0)</f>
        <v/>
      </c>
      <c r="BF39" s="44">
        <f>IF(AM39=1,$AG39/(1+($AF$8+메인!$A$104/10000)/2)^(AN39-1),0)</f>
        <v/>
      </c>
    </row>
    <row r="40">
      <c r="A40" s="42" t="n">
        <v>26</v>
      </c>
      <c r="B40" s="43">
        <f>EDATE($B$2,-6*(62-$A40))</f>
        <v/>
      </c>
      <c r="C40" s="44">
        <f>IF(AND(B40&gt;$B$3,B40&lt;=$B$2),IF(B40=$B$2,$B$5+100,$B$5),0)</f>
        <v/>
      </c>
      <c r="D40" s="42">
        <f>IF(AND($C40&gt;0,B40&gt;$B$6),1,0)</f>
        <v/>
      </c>
      <c r="E40" s="42">
        <f>IF(D40=1,SUM($D$15:D40),"")</f>
        <v/>
      </c>
      <c r="F40" s="44">
        <f>IF(D40=1,$C40/(1+$B$8/2)^(E40-1),0)</f>
        <v/>
      </c>
      <c r="G40" s="44">
        <f>IF(D40=1,$C40/(1+($B$8+0.0001)/2)^(E40-1),0)</f>
        <v/>
      </c>
      <c r="H40" s="44">
        <f>IF(D40=1,$C40/(1+($B$8-0.0001)/2)^(E40-1),0)</f>
        <v/>
      </c>
      <c r="I40" s="42">
        <f>IF(AND($C40&gt;0,B40&gt;$B$7),1,0)</f>
        <v/>
      </c>
      <c r="J40" s="42">
        <f>IF(I40=1,SUM($I$15:I40),"")</f>
        <v/>
      </c>
      <c r="K40" s="44">
        <f>IF(I40=1,$C40/(1+$B$99/2)^(J40-1),0)</f>
        <v/>
      </c>
      <c r="L40" s="44">
        <f>IF(I40=1,$C40/(1+($B$99+0.0001)/2)^(J40-1),0)</f>
        <v/>
      </c>
      <c r="M40" s="44">
        <f>IF(I40=1,$C40/(1+($B$99-0.0001)/2)^(J40-1),0)</f>
        <v/>
      </c>
      <c r="N40" s="44">
        <f>IF(I40=1,$C40/(1+$B$104/2)^(J40-1),0)</f>
        <v/>
      </c>
      <c r="O40" s="44">
        <f>IF(I40=1,$C40/(1+($B$104+0.0001)/2)^(J40-1),0)</f>
        <v/>
      </c>
      <c r="P40" s="44">
        <f>IF(I40=1,$C40/(1+($B$104-0.0001)/2)^(J40-1),0)</f>
        <v/>
      </c>
      <c r="Q40" s="44">
        <f>IF(I40=1,$C40/(1+$B$109/2)^(J40-1),0)</f>
        <v/>
      </c>
      <c r="R40" s="44">
        <f>IF(AND($C40&gt;0,B40&gt;$B$6,B40&lt;=$B$7),$C40*(1+$B$9*($B$7-B40)/365),0)</f>
        <v/>
      </c>
      <c r="S40" s="44">
        <f>IF(I40=1,$C40/(1+($B$8+$B$10/10000)/2)^(J40-1),0)</f>
        <v/>
      </c>
      <c r="T40" s="44">
        <f>IF(I40=1,$C40/(1+($B$8+메인!$A$96/10000)/2)^(J40-1),0)</f>
        <v/>
      </c>
      <c r="U40" s="44">
        <f>IF(I40=1,$C40/(1+($B$8+메인!$A$97/10000)/2)^(J40-1),0)</f>
        <v/>
      </c>
      <c r="V40" s="44">
        <f>IF(I40=1,$C40/(1+($B$8+메인!$A$98/10000)/2)^(J40-1),0)</f>
        <v/>
      </c>
      <c r="W40" s="44">
        <f>IF(I40=1,$C40/(1+($B$8+메인!$A$99/10000)/2)^(J40-1),0)</f>
        <v/>
      </c>
      <c r="X40" s="44">
        <f>IF(I40=1,$C40/(1+($B$8+메인!$A$100/10000)/2)^(J40-1),0)</f>
        <v/>
      </c>
      <c r="Y40" s="44">
        <f>IF(I40=1,$C40/(1+($B$8+메인!$A$101/10000)/2)^(J40-1),0)</f>
        <v/>
      </c>
      <c r="Z40" s="44">
        <f>IF(I40=1,$C40/(1+($B$8+메인!$A$102/10000)/2)^(J40-1),0)</f>
        <v/>
      </c>
      <c r="AA40" s="44">
        <f>IF(I40=1,$C40/(1+($B$8+메인!$A$103/10000)/2)^(J40-1),0)</f>
        <v/>
      </c>
      <c r="AB40" s="44">
        <f>IF(I40=1,$C40/(1+($B$8+메인!$A$104/10000)/2)^(J40-1),0)</f>
        <v/>
      </c>
      <c r="AE40" s="42" t="n">
        <v>26</v>
      </c>
      <c r="AF40" s="43">
        <f>EDATE($AF$2,-6*(62-$AE40))</f>
        <v/>
      </c>
      <c r="AG40" s="44">
        <f>IF(AND(AF40&gt;$AF$3,AF40&lt;=$AF$2),IF(AF40=$AF$2,$AF$5+100,$AF$5),0)</f>
        <v/>
      </c>
      <c r="AH40" s="42">
        <f>IF(AND($AG40&gt;0,AF40&gt;$AF$6),1,0)</f>
        <v/>
      </c>
      <c r="AI40" s="42">
        <f>IF(AH40=1,SUM($AH$15:AH40),"")</f>
        <v/>
      </c>
      <c r="AJ40" s="44">
        <f>IF(AH40=1,$AG40/(1+$AF$8/2)^(AI40-1),0)</f>
        <v/>
      </c>
      <c r="AK40" s="44">
        <f>IF(AH40=1,$AG40/(1+($AF$8+0.0001)/2)^(AI40-1),0)</f>
        <v/>
      </c>
      <c r="AL40" s="44">
        <f>IF(AH40=1,$AG40/(1+($AF$8-0.0001)/2)^(AI40-1),0)</f>
        <v/>
      </c>
      <c r="AM40" s="42">
        <f>IF(AND($AG40&gt;0,AF40&gt;$AF$7),1,0)</f>
        <v/>
      </c>
      <c r="AN40" s="42">
        <f>IF(AM40=1,SUM($AM$15:AM40),"")</f>
        <v/>
      </c>
      <c r="AO40" s="44">
        <f>IF(AM40=1,$AG40/(1+$AF$99/2)^(AN40-1),0)</f>
        <v/>
      </c>
      <c r="AP40" s="44">
        <f>IF(AM40=1,$AG40/(1+($AF$99+0.0001)/2)^(AN40-1),0)</f>
        <v/>
      </c>
      <c r="AQ40" s="44">
        <f>IF(AM40=1,$AG40/(1+($AF$99-0.0001)/2)^(AN40-1),0)</f>
        <v/>
      </c>
      <c r="AR40" s="44">
        <f>IF(AM40=1,$AG40/(1+$AF$104/2)^(AN40-1),0)</f>
        <v/>
      </c>
      <c r="AS40" s="44">
        <f>IF(AM40=1,$AG40/(1+($AF$104+0.0001)/2)^(AN40-1),0)</f>
        <v/>
      </c>
      <c r="AT40" s="44">
        <f>IF(AM40=1,$AG40/(1+($AF$104-0.0001)/2)^(AN40-1),0)</f>
        <v/>
      </c>
      <c r="AU40" s="44">
        <f>IF(AM40=1,$AG40/(1+$AF$109/2)^(AN40-1),0)</f>
        <v/>
      </c>
      <c r="AV40" s="44">
        <f>IF(AND($AG40&gt;0,AF40&gt;$AF$6,AF40&lt;=$AF$7),$AG40*(1+$AF$9*($AF$7-AF40)/365),0)</f>
        <v/>
      </c>
      <c r="AW40" s="44">
        <f>IF(AM40=1,$AG40/(1+($AF$8+$AF$10/10000)/2)^(AN40-1),0)</f>
        <v/>
      </c>
      <c r="AX40" s="44">
        <f>IF(AM40=1,$AG40/(1+($AF$8+메인!$A$96/10000)/2)^(AN40-1),0)</f>
        <v/>
      </c>
      <c r="AY40" s="44">
        <f>IF(AM40=1,$AG40/(1+($AF$8+메인!$A$97/10000)/2)^(AN40-1),0)</f>
        <v/>
      </c>
      <c r="AZ40" s="44">
        <f>IF(AM40=1,$AG40/(1+($AF$8+메인!$A$98/10000)/2)^(AN40-1),0)</f>
        <v/>
      </c>
      <c r="BA40" s="44">
        <f>IF(AM40=1,$AG40/(1+($AF$8+메인!$A$99/10000)/2)^(AN40-1),0)</f>
        <v/>
      </c>
      <c r="BB40" s="44">
        <f>IF(AM40=1,$AG40/(1+($AF$8+메인!$A$100/10000)/2)^(AN40-1),0)</f>
        <v/>
      </c>
      <c r="BC40" s="44">
        <f>IF(AM40=1,$AG40/(1+($AF$8+메인!$A$101/10000)/2)^(AN40-1),0)</f>
        <v/>
      </c>
      <c r="BD40" s="44">
        <f>IF(AM40=1,$AG40/(1+($AF$8+메인!$A$102/10000)/2)^(AN40-1),0)</f>
        <v/>
      </c>
      <c r="BE40" s="44">
        <f>IF(AM40=1,$AG40/(1+($AF$8+메인!$A$103/10000)/2)^(AN40-1),0)</f>
        <v/>
      </c>
      <c r="BF40" s="44">
        <f>IF(AM40=1,$AG40/(1+($AF$8+메인!$A$104/10000)/2)^(AN40-1),0)</f>
        <v/>
      </c>
    </row>
    <row r="41">
      <c r="A41" s="42" t="n">
        <v>27</v>
      </c>
      <c r="B41" s="43">
        <f>EDATE($B$2,-6*(62-$A41))</f>
        <v/>
      </c>
      <c r="C41" s="44">
        <f>IF(AND(B41&gt;$B$3,B41&lt;=$B$2),IF(B41=$B$2,$B$5+100,$B$5),0)</f>
        <v/>
      </c>
      <c r="D41" s="42">
        <f>IF(AND($C41&gt;0,B41&gt;$B$6),1,0)</f>
        <v/>
      </c>
      <c r="E41" s="42">
        <f>IF(D41=1,SUM($D$15:D41),"")</f>
        <v/>
      </c>
      <c r="F41" s="44">
        <f>IF(D41=1,$C41/(1+$B$8/2)^(E41-1),0)</f>
        <v/>
      </c>
      <c r="G41" s="44">
        <f>IF(D41=1,$C41/(1+($B$8+0.0001)/2)^(E41-1),0)</f>
        <v/>
      </c>
      <c r="H41" s="44">
        <f>IF(D41=1,$C41/(1+($B$8-0.0001)/2)^(E41-1),0)</f>
        <v/>
      </c>
      <c r="I41" s="42">
        <f>IF(AND($C41&gt;0,B41&gt;$B$7),1,0)</f>
        <v/>
      </c>
      <c r="J41" s="42">
        <f>IF(I41=1,SUM($I$15:I41),"")</f>
        <v/>
      </c>
      <c r="K41" s="44">
        <f>IF(I41=1,$C41/(1+$B$99/2)^(J41-1),0)</f>
        <v/>
      </c>
      <c r="L41" s="44">
        <f>IF(I41=1,$C41/(1+($B$99+0.0001)/2)^(J41-1),0)</f>
        <v/>
      </c>
      <c r="M41" s="44">
        <f>IF(I41=1,$C41/(1+($B$99-0.0001)/2)^(J41-1),0)</f>
        <v/>
      </c>
      <c r="N41" s="44">
        <f>IF(I41=1,$C41/(1+$B$104/2)^(J41-1),0)</f>
        <v/>
      </c>
      <c r="O41" s="44">
        <f>IF(I41=1,$C41/(1+($B$104+0.0001)/2)^(J41-1),0)</f>
        <v/>
      </c>
      <c r="P41" s="44">
        <f>IF(I41=1,$C41/(1+($B$104-0.0001)/2)^(J41-1),0)</f>
        <v/>
      </c>
      <c r="Q41" s="44">
        <f>IF(I41=1,$C41/(1+$B$109/2)^(J41-1),0)</f>
        <v/>
      </c>
      <c r="R41" s="44">
        <f>IF(AND($C41&gt;0,B41&gt;$B$6,B41&lt;=$B$7),$C41*(1+$B$9*($B$7-B41)/365),0)</f>
        <v/>
      </c>
      <c r="S41" s="44">
        <f>IF(I41=1,$C41/(1+($B$8+$B$10/10000)/2)^(J41-1),0)</f>
        <v/>
      </c>
      <c r="T41" s="44">
        <f>IF(I41=1,$C41/(1+($B$8+메인!$A$96/10000)/2)^(J41-1),0)</f>
        <v/>
      </c>
      <c r="U41" s="44">
        <f>IF(I41=1,$C41/(1+($B$8+메인!$A$97/10000)/2)^(J41-1),0)</f>
        <v/>
      </c>
      <c r="V41" s="44">
        <f>IF(I41=1,$C41/(1+($B$8+메인!$A$98/10000)/2)^(J41-1),0)</f>
        <v/>
      </c>
      <c r="W41" s="44">
        <f>IF(I41=1,$C41/(1+($B$8+메인!$A$99/10000)/2)^(J41-1),0)</f>
        <v/>
      </c>
      <c r="X41" s="44">
        <f>IF(I41=1,$C41/(1+($B$8+메인!$A$100/10000)/2)^(J41-1),0)</f>
        <v/>
      </c>
      <c r="Y41" s="44">
        <f>IF(I41=1,$C41/(1+($B$8+메인!$A$101/10000)/2)^(J41-1),0)</f>
        <v/>
      </c>
      <c r="Z41" s="44">
        <f>IF(I41=1,$C41/(1+($B$8+메인!$A$102/10000)/2)^(J41-1),0)</f>
        <v/>
      </c>
      <c r="AA41" s="44">
        <f>IF(I41=1,$C41/(1+($B$8+메인!$A$103/10000)/2)^(J41-1),0)</f>
        <v/>
      </c>
      <c r="AB41" s="44">
        <f>IF(I41=1,$C41/(1+($B$8+메인!$A$104/10000)/2)^(J41-1),0)</f>
        <v/>
      </c>
      <c r="AE41" s="42" t="n">
        <v>27</v>
      </c>
      <c r="AF41" s="43">
        <f>EDATE($AF$2,-6*(62-$AE41))</f>
        <v/>
      </c>
      <c r="AG41" s="44">
        <f>IF(AND(AF41&gt;$AF$3,AF41&lt;=$AF$2),IF(AF41=$AF$2,$AF$5+100,$AF$5),0)</f>
        <v/>
      </c>
      <c r="AH41" s="42">
        <f>IF(AND($AG41&gt;0,AF41&gt;$AF$6),1,0)</f>
        <v/>
      </c>
      <c r="AI41" s="42">
        <f>IF(AH41=1,SUM($AH$15:AH41),"")</f>
        <v/>
      </c>
      <c r="AJ41" s="44">
        <f>IF(AH41=1,$AG41/(1+$AF$8/2)^(AI41-1),0)</f>
        <v/>
      </c>
      <c r="AK41" s="44">
        <f>IF(AH41=1,$AG41/(1+($AF$8+0.0001)/2)^(AI41-1),0)</f>
        <v/>
      </c>
      <c r="AL41" s="44">
        <f>IF(AH41=1,$AG41/(1+($AF$8-0.0001)/2)^(AI41-1),0)</f>
        <v/>
      </c>
      <c r="AM41" s="42">
        <f>IF(AND($AG41&gt;0,AF41&gt;$AF$7),1,0)</f>
        <v/>
      </c>
      <c r="AN41" s="42">
        <f>IF(AM41=1,SUM($AM$15:AM41),"")</f>
        <v/>
      </c>
      <c r="AO41" s="44">
        <f>IF(AM41=1,$AG41/(1+$AF$99/2)^(AN41-1),0)</f>
        <v/>
      </c>
      <c r="AP41" s="44">
        <f>IF(AM41=1,$AG41/(1+($AF$99+0.0001)/2)^(AN41-1),0)</f>
        <v/>
      </c>
      <c r="AQ41" s="44">
        <f>IF(AM41=1,$AG41/(1+($AF$99-0.0001)/2)^(AN41-1),0)</f>
        <v/>
      </c>
      <c r="AR41" s="44">
        <f>IF(AM41=1,$AG41/(1+$AF$104/2)^(AN41-1),0)</f>
        <v/>
      </c>
      <c r="AS41" s="44">
        <f>IF(AM41=1,$AG41/(1+($AF$104+0.0001)/2)^(AN41-1),0)</f>
        <v/>
      </c>
      <c r="AT41" s="44">
        <f>IF(AM41=1,$AG41/(1+($AF$104-0.0001)/2)^(AN41-1),0)</f>
        <v/>
      </c>
      <c r="AU41" s="44">
        <f>IF(AM41=1,$AG41/(1+$AF$109/2)^(AN41-1),0)</f>
        <v/>
      </c>
      <c r="AV41" s="44">
        <f>IF(AND($AG41&gt;0,AF41&gt;$AF$6,AF41&lt;=$AF$7),$AG41*(1+$AF$9*($AF$7-AF41)/365),0)</f>
        <v/>
      </c>
      <c r="AW41" s="44">
        <f>IF(AM41=1,$AG41/(1+($AF$8+$AF$10/10000)/2)^(AN41-1),0)</f>
        <v/>
      </c>
      <c r="AX41" s="44">
        <f>IF(AM41=1,$AG41/(1+($AF$8+메인!$A$96/10000)/2)^(AN41-1),0)</f>
        <v/>
      </c>
      <c r="AY41" s="44">
        <f>IF(AM41=1,$AG41/(1+($AF$8+메인!$A$97/10000)/2)^(AN41-1),0)</f>
        <v/>
      </c>
      <c r="AZ41" s="44">
        <f>IF(AM41=1,$AG41/(1+($AF$8+메인!$A$98/10000)/2)^(AN41-1),0)</f>
        <v/>
      </c>
      <c r="BA41" s="44">
        <f>IF(AM41=1,$AG41/(1+($AF$8+메인!$A$99/10000)/2)^(AN41-1),0)</f>
        <v/>
      </c>
      <c r="BB41" s="44">
        <f>IF(AM41=1,$AG41/(1+($AF$8+메인!$A$100/10000)/2)^(AN41-1),0)</f>
        <v/>
      </c>
      <c r="BC41" s="44">
        <f>IF(AM41=1,$AG41/(1+($AF$8+메인!$A$101/10000)/2)^(AN41-1),0)</f>
        <v/>
      </c>
      <c r="BD41" s="44">
        <f>IF(AM41=1,$AG41/(1+($AF$8+메인!$A$102/10000)/2)^(AN41-1),0)</f>
        <v/>
      </c>
      <c r="BE41" s="44">
        <f>IF(AM41=1,$AG41/(1+($AF$8+메인!$A$103/10000)/2)^(AN41-1),0)</f>
        <v/>
      </c>
      <c r="BF41" s="44">
        <f>IF(AM41=1,$AG41/(1+($AF$8+메인!$A$104/10000)/2)^(AN41-1),0)</f>
        <v/>
      </c>
    </row>
    <row r="42">
      <c r="A42" s="42" t="n">
        <v>28</v>
      </c>
      <c r="B42" s="43">
        <f>EDATE($B$2,-6*(62-$A42))</f>
        <v/>
      </c>
      <c r="C42" s="44">
        <f>IF(AND(B42&gt;$B$3,B42&lt;=$B$2),IF(B42=$B$2,$B$5+100,$B$5),0)</f>
        <v/>
      </c>
      <c r="D42" s="42">
        <f>IF(AND($C42&gt;0,B42&gt;$B$6),1,0)</f>
        <v/>
      </c>
      <c r="E42" s="42">
        <f>IF(D42=1,SUM($D$15:D42),"")</f>
        <v/>
      </c>
      <c r="F42" s="44">
        <f>IF(D42=1,$C42/(1+$B$8/2)^(E42-1),0)</f>
        <v/>
      </c>
      <c r="G42" s="44">
        <f>IF(D42=1,$C42/(1+($B$8+0.0001)/2)^(E42-1),0)</f>
        <v/>
      </c>
      <c r="H42" s="44">
        <f>IF(D42=1,$C42/(1+($B$8-0.0001)/2)^(E42-1),0)</f>
        <v/>
      </c>
      <c r="I42" s="42">
        <f>IF(AND($C42&gt;0,B42&gt;$B$7),1,0)</f>
        <v/>
      </c>
      <c r="J42" s="42">
        <f>IF(I42=1,SUM($I$15:I42),"")</f>
        <v/>
      </c>
      <c r="K42" s="44">
        <f>IF(I42=1,$C42/(1+$B$99/2)^(J42-1),0)</f>
        <v/>
      </c>
      <c r="L42" s="44">
        <f>IF(I42=1,$C42/(1+($B$99+0.0001)/2)^(J42-1),0)</f>
        <v/>
      </c>
      <c r="M42" s="44">
        <f>IF(I42=1,$C42/(1+($B$99-0.0001)/2)^(J42-1),0)</f>
        <v/>
      </c>
      <c r="N42" s="44">
        <f>IF(I42=1,$C42/(1+$B$104/2)^(J42-1),0)</f>
        <v/>
      </c>
      <c r="O42" s="44">
        <f>IF(I42=1,$C42/(1+($B$104+0.0001)/2)^(J42-1),0)</f>
        <v/>
      </c>
      <c r="P42" s="44">
        <f>IF(I42=1,$C42/(1+($B$104-0.0001)/2)^(J42-1),0)</f>
        <v/>
      </c>
      <c r="Q42" s="44">
        <f>IF(I42=1,$C42/(1+$B$109/2)^(J42-1),0)</f>
        <v/>
      </c>
      <c r="R42" s="44">
        <f>IF(AND($C42&gt;0,B42&gt;$B$6,B42&lt;=$B$7),$C42*(1+$B$9*($B$7-B42)/365),0)</f>
        <v/>
      </c>
      <c r="S42" s="44">
        <f>IF(I42=1,$C42/(1+($B$8+$B$10/10000)/2)^(J42-1),0)</f>
        <v/>
      </c>
      <c r="T42" s="44">
        <f>IF(I42=1,$C42/(1+($B$8+메인!$A$96/10000)/2)^(J42-1),0)</f>
        <v/>
      </c>
      <c r="U42" s="44">
        <f>IF(I42=1,$C42/(1+($B$8+메인!$A$97/10000)/2)^(J42-1),0)</f>
        <v/>
      </c>
      <c r="V42" s="44">
        <f>IF(I42=1,$C42/(1+($B$8+메인!$A$98/10000)/2)^(J42-1),0)</f>
        <v/>
      </c>
      <c r="W42" s="44">
        <f>IF(I42=1,$C42/(1+($B$8+메인!$A$99/10000)/2)^(J42-1),0)</f>
        <v/>
      </c>
      <c r="X42" s="44">
        <f>IF(I42=1,$C42/(1+($B$8+메인!$A$100/10000)/2)^(J42-1),0)</f>
        <v/>
      </c>
      <c r="Y42" s="44">
        <f>IF(I42=1,$C42/(1+($B$8+메인!$A$101/10000)/2)^(J42-1),0)</f>
        <v/>
      </c>
      <c r="Z42" s="44">
        <f>IF(I42=1,$C42/(1+($B$8+메인!$A$102/10000)/2)^(J42-1),0)</f>
        <v/>
      </c>
      <c r="AA42" s="44">
        <f>IF(I42=1,$C42/(1+($B$8+메인!$A$103/10000)/2)^(J42-1),0)</f>
        <v/>
      </c>
      <c r="AB42" s="44">
        <f>IF(I42=1,$C42/(1+($B$8+메인!$A$104/10000)/2)^(J42-1),0)</f>
        <v/>
      </c>
      <c r="AE42" s="42" t="n">
        <v>28</v>
      </c>
      <c r="AF42" s="43">
        <f>EDATE($AF$2,-6*(62-$AE42))</f>
        <v/>
      </c>
      <c r="AG42" s="44">
        <f>IF(AND(AF42&gt;$AF$3,AF42&lt;=$AF$2),IF(AF42=$AF$2,$AF$5+100,$AF$5),0)</f>
        <v/>
      </c>
      <c r="AH42" s="42">
        <f>IF(AND($AG42&gt;0,AF42&gt;$AF$6),1,0)</f>
        <v/>
      </c>
      <c r="AI42" s="42">
        <f>IF(AH42=1,SUM($AH$15:AH42),"")</f>
        <v/>
      </c>
      <c r="AJ42" s="44">
        <f>IF(AH42=1,$AG42/(1+$AF$8/2)^(AI42-1),0)</f>
        <v/>
      </c>
      <c r="AK42" s="44">
        <f>IF(AH42=1,$AG42/(1+($AF$8+0.0001)/2)^(AI42-1),0)</f>
        <v/>
      </c>
      <c r="AL42" s="44">
        <f>IF(AH42=1,$AG42/(1+($AF$8-0.0001)/2)^(AI42-1),0)</f>
        <v/>
      </c>
      <c r="AM42" s="42">
        <f>IF(AND($AG42&gt;0,AF42&gt;$AF$7),1,0)</f>
        <v/>
      </c>
      <c r="AN42" s="42">
        <f>IF(AM42=1,SUM($AM$15:AM42),"")</f>
        <v/>
      </c>
      <c r="AO42" s="44">
        <f>IF(AM42=1,$AG42/(1+$AF$99/2)^(AN42-1),0)</f>
        <v/>
      </c>
      <c r="AP42" s="44">
        <f>IF(AM42=1,$AG42/(1+($AF$99+0.0001)/2)^(AN42-1),0)</f>
        <v/>
      </c>
      <c r="AQ42" s="44">
        <f>IF(AM42=1,$AG42/(1+($AF$99-0.0001)/2)^(AN42-1),0)</f>
        <v/>
      </c>
      <c r="AR42" s="44">
        <f>IF(AM42=1,$AG42/(1+$AF$104/2)^(AN42-1),0)</f>
        <v/>
      </c>
      <c r="AS42" s="44">
        <f>IF(AM42=1,$AG42/(1+($AF$104+0.0001)/2)^(AN42-1),0)</f>
        <v/>
      </c>
      <c r="AT42" s="44">
        <f>IF(AM42=1,$AG42/(1+($AF$104-0.0001)/2)^(AN42-1),0)</f>
        <v/>
      </c>
      <c r="AU42" s="44">
        <f>IF(AM42=1,$AG42/(1+$AF$109/2)^(AN42-1),0)</f>
        <v/>
      </c>
      <c r="AV42" s="44">
        <f>IF(AND($AG42&gt;0,AF42&gt;$AF$6,AF42&lt;=$AF$7),$AG42*(1+$AF$9*($AF$7-AF42)/365),0)</f>
        <v/>
      </c>
      <c r="AW42" s="44">
        <f>IF(AM42=1,$AG42/(1+($AF$8+$AF$10/10000)/2)^(AN42-1),0)</f>
        <v/>
      </c>
      <c r="AX42" s="44">
        <f>IF(AM42=1,$AG42/(1+($AF$8+메인!$A$96/10000)/2)^(AN42-1),0)</f>
        <v/>
      </c>
      <c r="AY42" s="44">
        <f>IF(AM42=1,$AG42/(1+($AF$8+메인!$A$97/10000)/2)^(AN42-1),0)</f>
        <v/>
      </c>
      <c r="AZ42" s="44">
        <f>IF(AM42=1,$AG42/(1+($AF$8+메인!$A$98/10000)/2)^(AN42-1),0)</f>
        <v/>
      </c>
      <c r="BA42" s="44">
        <f>IF(AM42=1,$AG42/(1+($AF$8+메인!$A$99/10000)/2)^(AN42-1),0)</f>
        <v/>
      </c>
      <c r="BB42" s="44">
        <f>IF(AM42=1,$AG42/(1+($AF$8+메인!$A$100/10000)/2)^(AN42-1),0)</f>
        <v/>
      </c>
      <c r="BC42" s="44">
        <f>IF(AM42=1,$AG42/(1+($AF$8+메인!$A$101/10000)/2)^(AN42-1),0)</f>
        <v/>
      </c>
      <c r="BD42" s="44">
        <f>IF(AM42=1,$AG42/(1+($AF$8+메인!$A$102/10000)/2)^(AN42-1),0)</f>
        <v/>
      </c>
      <c r="BE42" s="44">
        <f>IF(AM42=1,$AG42/(1+($AF$8+메인!$A$103/10000)/2)^(AN42-1),0)</f>
        <v/>
      </c>
      <c r="BF42" s="44">
        <f>IF(AM42=1,$AG42/(1+($AF$8+메인!$A$104/10000)/2)^(AN42-1),0)</f>
        <v/>
      </c>
    </row>
    <row r="43">
      <c r="A43" s="42" t="n">
        <v>29</v>
      </c>
      <c r="B43" s="43">
        <f>EDATE($B$2,-6*(62-$A43))</f>
        <v/>
      </c>
      <c r="C43" s="44">
        <f>IF(AND(B43&gt;$B$3,B43&lt;=$B$2),IF(B43=$B$2,$B$5+100,$B$5),0)</f>
        <v/>
      </c>
      <c r="D43" s="42">
        <f>IF(AND($C43&gt;0,B43&gt;$B$6),1,0)</f>
        <v/>
      </c>
      <c r="E43" s="42">
        <f>IF(D43=1,SUM($D$15:D43),"")</f>
        <v/>
      </c>
      <c r="F43" s="44">
        <f>IF(D43=1,$C43/(1+$B$8/2)^(E43-1),0)</f>
        <v/>
      </c>
      <c r="G43" s="44">
        <f>IF(D43=1,$C43/(1+($B$8+0.0001)/2)^(E43-1),0)</f>
        <v/>
      </c>
      <c r="H43" s="44">
        <f>IF(D43=1,$C43/(1+($B$8-0.0001)/2)^(E43-1),0)</f>
        <v/>
      </c>
      <c r="I43" s="42">
        <f>IF(AND($C43&gt;0,B43&gt;$B$7),1,0)</f>
        <v/>
      </c>
      <c r="J43" s="42">
        <f>IF(I43=1,SUM($I$15:I43),"")</f>
        <v/>
      </c>
      <c r="K43" s="44">
        <f>IF(I43=1,$C43/(1+$B$99/2)^(J43-1),0)</f>
        <v/>
      </c>
      <c r="L43" s="44">
        <f>IF(I43=1,$C43/(1+($B$99+0.0001)/2)^(J43-1),0)</f>
        <v/>
      </c>
      <c r="M43" s="44">
        <f>IF(I43=1,$C43/(1+($B$99-0.0001)/2)^(J43-1),0)</f>
        <v/>
      </c>
      <c r="N43" s="44">
        <f>IF(I43=1,$C43/(1+$B$104/2)^(J43-1),0)</f>
        <v/>
      </c>
      <c r="O43" s="44">
        <f>IF(I43=1,$C43/(1+($B$104+0.0001)/2)^(J43-1),0)</f>
        <v/>
      </c>
      <c r="P43" s="44">
        <f>IF(I43=1,$C43/(1+($B$104-0.0001)/2)^(J43-1),0)</f>
        <v/>
      </c>
      <c r="Q43" s="44">
        <f>IF(I43=1,$C43/(1+$B$109/2)^(J43-1),0)</f>
        <v/>
      </c>
      <c r="R43" s="44">
        <f>IF(AND($C43&gt;0,B43&gt;$B$6,B43&lt;=$B$7),$C43*(1+$B$9*($B$7-B43)/365),0)</f>
        <v/>
      </c>
      <c r="S43" s="44">
        <f>IF(I43=1,$C43/(1+($B$8+$B$10/10000)/2)^(J43-1),0)</f>
        <v/>
      </c>
      <c r="T43" s="44">
        <f>IF(I43=1,$C43/(1+($B$8+메인!$A$96/10000)/2)^(J43-1),0)</f>
        <v/>
      </c>
      <c r="U43" s="44">
        <f>IF(I43=1,$C43/(1+($B$8+메인!$A$97/10000)/2)^(J43-1),0)</f>
        <v/>
      </c>
      <c r="V43" s="44">
        <f>IF(I43=1,$C43/(1+($B$8+메인!$A$98/10000)/2)^(J43-1),0)</f>
        <v/>
      </c>
      <c r="W43" s="44">
        <f>IF(I43=1,$C43/(1+($B$8+메인!$A$99/10000)/2)^(J43-1),0)</f>
        <v/>
      </c>
      <c r="X43" s="44">
        <f>IF(I43=1,$C43/(1+($B$8+메인!$A$100/10000)/2)^(J43-1),0)</f>
        <v/>
      </c>
      <c r="Y43" s="44">
        <f>IF(I43=1,$C43/(1+($B$8+메인!$A$101/10000)/2)^(J43-1),0)</f>
        <v/>
      </c>
      <c r="Z43" s="44">
        <f>IF(I43=1,$C43/(1+($B$8+메인!$A$102/10000)/2)^(J43-1),0)</f>
        <v/>
      </c>
      <c r="AA43" s="44">
        <f>IF(I43=1,$C43/(1+($B$8+메인!$A$103/10000)/2)^(J43-1),0)</f>
        <v/>
      </c>
      <c r="AB43" s="44">
        <f>IF(I43=1,$C43/(1+($B$8+메인!$A$104/10000)/2)^(J43-1),0)</f>
        <v/>
      </c>
      <c r="AE43" s="42" t="n">
        <v>29</v>
      </c>
      <c r="AF43" s="43">
        <f>EDATE($AF$2,-6*(62-$AE43))</f>
        <v/>
      </c>
      <c r="AG43" s="44">
        <f>IF(AND(AF43&gt;$AF$3,AF43&lt;=$AF$2),IF(AF43=$AF$2,$AF$5+100,$AF$5),0)</f>
        <v/>
      </c>
      <c r="AH43" s="42">
        <f>IF(AND($AG43&gt;0,AF43&gt;$AF$6),1,0)</f>
        <v/>
      </c>
      <c r="AI43" s="42">
        <f>IF(AH43=1,SUM($AH$15:AH43),"")</f>
        <v/>
      </c>
      <c r="AJ43" s="44">
        <f>IF(AH43=1,$AG43/(1+$AF$8/2)^(AI43-1),0)</f>
        <v/>
      </c>
      <c r="AK43" s="44">
        <f>IF(AH43=1,$AG43/(1+($AF$8+0.0001)/2)^(AI43-1),0)</f>
        <v/>
      </c>
      <c r="AL43" s="44">
        <f>IF(AH43=1,$AG43/(1+($AF$8-0.0001)/2)^(AI43-1),0)</f>
        <v/>
      </c>
      <c r="AM43" s="42">
        <f>IF(AND($AG43&gt;0,AF43&gt;$AF$7),1,0)</f>
        <v/>
      </c>
      <c r="AN43" s="42">
        <f>IF(AM43=1,SUM($AM$15:AM43),"")</f>
        <v/>
      </c>
      <c r="AO43" s="44">
        <f>IF(AM43=1,$AG43/(1+$AF$99/2)^(AN43-1),0)</f>
        <v/>
      </c>
      <c r="AP43" s="44">
        <f>IF(AM43=1,$AG43/(1+($AF$99+0.0001)/2)^(AN43-1),0)</f>
        <v/>
      </c>
      <c r="AQ43" s="44">
        <f>IF(AM43=1,$AG43/(1+($AF$99-0.0001)/2)^(AN43-1),0)</f>
        <v/>
      </c>
      <c r="AR43" s="44">
        <f>IF(AM43=1,$AG43/(1+$AF$104/2)^(AN43-1),0)</f>
        <v/>
      </c>
      <c r="AS43" s="44">
        <f>IF(AM43=1,$AG43/(1+($AF$104+0.0001)/2)^(AN43-1),0)</f>
        <v/>
      </c>
      <c r="AT43" s="44">
        <f>IF(AM43=1,$AG43/(1+($AF$104-0.0001)/2)^(AN43-1),0)</f>
        <v/>
      </c>
      <c r="AU43" s="44">
        <f>IF(AM43=1,$AG43/(1+$AF$109/2)^(AN43-1),0)</f>
        <v/>
      </c>
      <c r="AV43" s="44">
        <f>IF(AND($AG43&gt;0,AF43&gt;$AF$6,AF43&lt;=$AF$7),$AG43*(1+$AF$9*($AF$7-AF43)/365),0)</f>
        <v/>
      </c>
      <c r="AW43" s="44">
        <f>IF(AM43=1,$AG43/(1+($AF$8+$AF$10/10000)/2)^(AN43-1),0)</f>
        <v/>
      </c>
      <c r="AX43" s="44">
        <f>IF(AM43=1,$AG43/(1+($AF$8+메인!$A$96/10000)/2)^(AN43-1),0)</f>
        <v/>
      </c>
      <c r="AY43" s="44">
        <f>IF(AM43=1,$AG43/(1+($AF$8+메인!$A$97/10000)/2)^(AN43-1),0)</f>
        <v/>
      </c>
      <c r="AZ43" s="44">
        <f>IF(AM43=1,$AG43/(1+($AF$8+메인!$A$98/10000)/2)^(AN43-1),0)</f>
        <v/>
      </c>
      <c r="BA43" s="44">
        <f>IF(AM43=1,$AG43/(1+($AF$8+메인!$A$99/10000)/2)^(AN43-1),0)</f>
        <v/>
      </c>
      <c r="BB43" s="44">
        <f>IF(AM43=1,$AG43/(1+($AF$8+메인!$A$100/10000)/2)^(AN43-1),0)</f>
        <v/>
      </c>
      <c r="BC43" s="44">
        <f>IF(AM43=1,$AG43/(1+($AF$8+메인!$A$101/10000)/2)^(AN43-1),0)</f>
        <v/>
      </c>
      <c r="BD43" s="44">
        <f>IF(AM43=1,$AG43/(1+($AF$8+메인!$A$102/10000)/2)^(AN43-1),0)</f>
        <v/>
      </c>
      <c r="BE43" s="44">
        <f>IF(AM43=1,$AG43/(1+($AF$8+메인!$A$103/10000)/2)^(AN43-1),0)</f>
        <v/>
      </c>
      <c r="BF43" s="44">
        <f>IF(AM43=1,$AG43/(1+($AF$8+메인!$A$104/10000)/2)^(AN43-1),0)</f>
        <v/>
      </c>
    </row>
    <row r="44">
      <c r="A44" s="42" t="n">
        <v>30</v>
      </c>
      <c r="B44" s="43">
        <f>EDATE($B$2,-6*(62-$A44))</f>
        <v/>
      </c>
      <c r="C44" s="44">
        <f>IF(AND(B44&gt;$B$3,B44&lt;=$B$2),IF(B44=$B$2,$B$5+100,$B$5),0)</f>
        <v/>
      </c>
      <c r="D44" s="42">
        <f>IF(AND($C44&gt;0,B44&gt;$B$6),1,0)</f>
        <v/>
      </c>
      <c r="E44" s="42">
        <f>IF(D44=1,SUM($D$15:D44),"")</f>
        <v/>
      </c>
      <c r="F44" s="44">
        <f>IF(D44=1,$C44/(1+$B$8/2)^(E44-1),0)</f>
        <v/>
      </c>
      <c r="G44" s="44">
        <f>IF(D44=1,$C44/(1+($B$8+0.0001)/2)^(E44-1),0)</f>
        <v/>
      </c>
      <c r="H44" s="44">
        <f>IF(D44=1,$C44/(1+($B$8-0.0001)/2)^(E44-1),0)</f>
        <v/>
      </c>
      <c r="I44" s="42">
        <f>IF(AND($C44&gt;0,B44&gt;$B$7),1,0)</f>
        <v/>
      </c>
      <c r="J44" s="42">
        <f>IF(I44=1,SUM($I$15:I44),"")</f>
        <v/>
      </c>
      <c r="K44" s="44">
        <f>IF(I44=1,$C44/(1+$B$99/2)^(J44-1),0)</f>
        <v/>
      </c>
      <c r="L44" s="44">
        <f>IF(I44=1,$C44/(1+($B$99+0.0001)/2)^(J44-1),0)</f>
        <v/>
      </c>
      <c r="M44" s="44">
        <f>IF(I44=1,$C44/(1+($B$99-0.0001)/2)^(J44-1),0)</f>
        <v/>
      </c>
      <c r="N44" s="44">
        <f>IF(I44=1,$C44/(1+$B$104/2)^(J44-1),0)</f>
        <v/>
      </c>
      <c r="O44" s="44">
        <f>IF(I44=1,$C44/(1+($B$104+0.0001)/2)^(J44-1),0)</f>
        <v/>
      </c>
      <c r="P44" s="44">
        <f>IF(I44=1,$C44/(1+($B$104-0.0001)/2)^(J44-1),0)</f>
        <v/>
      </c>
      <c r="Q44" s="44">
        <f>IF(I44=1,$C44/(1+$B$109/2)^(J44-1),0)</f>
        <v/>
      </c>
      <c r="R44" s="44">
        <f>IF(AND($C44&gt;0,B44&gt;$B$6,B44&lt;=$B$7),$C44*(1+$B$9*($B$7-B44)/365),0)</f>
        <v/>
      </c>
      <c r="S44" s="44">
        <f>IF(I44=1,$C44/(1+($B$8+$B$10/10000)/2)^(J44-1),0)</f>
        <v/>
      </c>
      <c r="T44" s="44">
        <f>IF(I44=1,$C44/(1+($B$8+메인!$A$96/10000)/2)^(J44-1),0)</f>
        <v/>
      </c>
      <c r="U44" s="44">
        <f>IF(I44=1,$C44/(1+($B$8+메인!$A$97/10000)/2)^(J44-1),0)</f>
        <v/>
      </c>
      <c r="V44" s="44">
        <f>IF(I44=1,$C44/(1+($B$8+메인!$A$98/10000)/2)^(J44-1),0)</f>
        <v/>
      </c>
      <c r="W44" s="44">
        <f>IF(I44=1,$C44/(1+($B$8+메인!$A$99/10000)/2)^(J44-1),0)</f>
        <v/>
      </c>
      <c r="X44" s="44">
        <f>IF(I44=1,$C44/(1+($B$8+메인!$A$100/10000)/2)^(J44-1),0)</f>
        <v/>
      </c>
      <c r="Y44" s="44">
        <f>IF(I44=1,$C44/(1+($B$8+메인!$A$101/10000)/2)^(J44-1),0)</f>
        <v/>
      </c>
      <c r="Z44" s="44">
        <f>IF(I44=1,$C44/(1+($B$8+메인!$A$102/10000)/2)^(J44-1),0)</f>
        <v/>
      </c>
      <c r="AA44" s="44">
        <f>IF(I44=1,$C44/(1+($B$8+메인!$A$103/10000)/2)^(J44-1),0)</f>
        <v/>
      </c>
      <c r="AB44" s="44">
        <f>IF(I44=1,$C44/(1+($B$8+메인!$A$104/10000)/2)^(J44-1),0)</f>
        <v/>
      </c>
      <c r="AE44" s="42" t="n">
        <v>30</v>
      </c>
      <c r="AF44" s="43">
        <f>EDATE($AF$2,-6*(62-$AE44))</f>
        <v/>
      </c>
      <c r="AG44" s="44">
        <f>IF(AND(AF44&gt;$AF$3,AF44&lt;=$AF$2),IF(AF44=$AF$2,$AF$5+100,$AF$5),0)</f>
        <v/>
      </c>
      <c r="AH44" s="42">
        <f>IF(AND($AG44&gt;0,AF44&gt;$AF$6),1,0)</f>
        <v/>
      </c>
      <c r="AI44" s="42">
        <f>IF(AH44=1,SUM($AH$15:AH44),"")</f>
        <v/>
      </c>
      <c r="AJ44" s="44">
        <f>IF(AH44=1,$AG44/(1+$AF$8/2)^(AI44-1),0)</f>
        <v/>
      </c>
      <c r="AK44" s="44">
        <f>IF(AH44=1,$AG44/(1+($AF$8+0.0001)/2)^(AI44-1),0)</f>
        <v/>
      </c>
      <c r="AL44" s="44">
        <f>IF(AH44=1,$AG44/(1+($AF$8-0.0001)/2)^(AI44-1),0)</f>
        <v/>
      </c>
      <c r="AM44" s="42">
        <f>IF(AND($AG44&gt;0,AF44&gt;$AF$7),1,0)</f>
        <v/>
      </c>
      <c r="AN44" s="42">
        <f>IF(AM44=1,SUM($AM$15:AM44),"")</f>
        <v/>
      </c>
      <c r="AO44" s="44">
        <f>IF(AM44=1,$AG44/(1+$AF$99/2)^(AN44-1),0)</f>
        <v/>
      </c>
      <c r="AP44" s="44">
        <f>IF(AM44=1,$AG44/(1+($AF$99+0.0001)/2)^(AN44-1),0)</f>
        <v/>
      </c>
      <c r="AQ44" s="44">
        <f>IF(AM44=1,$AG44/(1+($AF$99-0.0001)/2)^(AN44-1),0)</f>
        <v/>
      </c>
      <c r="AR44" s="44">
        <f>IF(AM44=1,$AG44/(1+$AF$104/2)^(AN44-1),0)</f>
        <v/>
      </c>
      <c r="AS44" s="44">
        <f>IF(AM44=1,$AG44/(1+($AF$104+0.0001)/2)^(AN44-1),0)</f>
        <v/>
      </c>
      <c r="AT44" s="44">
        <f>IF(AM44=1,$AG44/(1+($AF$104-0.0001)/2)^(AN44-1),0)</f>
        <v/>
      </c>
      <c r="AU44" s="44">
        <f>IF(AM44=1,$AG44/(1+$AF$109/2)^(AN44-1),0)</f>
        <v/>
      </c>
      <c r="AV44" s="44">
        <f>IF(AND($AG44&gt;0,AF44&gt;$AF$6,AF44&lt;=$AF$7),$AG44*(1+$AF$9*($AF$7-AF44)/365),0)</f>
        <v/>
      </c>
      <c r="AW44" s="44">
        <f>IF(AM44=1,$AG44/(1+($AF$8+$AF$10/10000)/2)^(AN44-1),0)</f>
        <v/>
      </c>
      <c r="AX44" s="44">
        <f>IF(AM44=1,$AG44/(1+($AF$8+메인!$A$96/10000)/2)^(AN44-1),0)</f>
        <v/>
      </c>
      <c r="AY44" s="44">
        <f>IF(AM44=1,$AG44/(1+($AF$8+메인!$A$97/10000)/2)^(AN44-1),0)</f>
        <v/>
      </c>
      <c r="AZ44" s="44">
        <f>IF(AM44=1,$AG44/(1+($AF$8+메인!$A$98/10000)/2)^(AN44-1),0)</f>
        <v/>
      </c>
      <c r="BA44" s="44">
        <f>IF(AM44=1,$AG44/(1+($AF$8+메인!$A$99/10000)/2)^(AN44-1),0)</f>
        <v/>
      </c>
      <c r="BB44" s="44">
        <f>IF(AM44=1,$AG44/(1+($AF$8+메인!$A$100/10000)/2)^(AN44-1),0)</f>
        <v/>
      </c>
      <c r="BC44" s="44">
        <f>IF(AM44=1,$AG44/(1+($AF$8+메인!$A$101/10000)/2)^(AN44-1),0)</f>
        <v/>
      </c>
      <c r="BD44" s="44">
        <f>IF(AM44=1,$AG44/(1+($AF$8+메인!$A$102/10000)/2)^(AN44-1),0)</f>
        <v/>
      </c>
      <c r="BE44" s="44">
        <f>IF(AM44=1,$AG44/(1+($AF$8+메인!$A$103/10000)/2)^(AN44-1),0)</f>
        <v/>
      </c>
      <c r="BF44" s="44">
        <f>IF(AM44=1,$AG44/(1+($AF$8+메인!$A$104/10000)/2)^(AN44-1),0)</f>
        <v/>
      </c>
    </row>
    <row r="45">
      <c r="A45" s="42" t="n">
        <v>31</v>
      </c>
      <c r="B45" s="43">
        <f>EDATE($B$2,-6*(62-$A45))</f>
        <v/>
      </c>
      <c r="C45" s="44">
        <f>IF(AND(B45&gt;$B$3,B45&lt;=$B$2),IF(B45=$B$2,$B$5+100,$B$5),0)</f>
        <v/>
      </c>
      <c r="D45" s="42">
        <f>IF(AND($C45&gt;0,B45&gt;$B$6),1,0)</f>
        <v/>
      </c>
      <c r="E45" s="42">
        <f>IF(D45=1,SUM($D$15:D45),"")</f>
        <v/>
      </c>
      <c r="F45" s="44">
        <f>IF(D45=1,$C45/(1+$B$8/2)^(E45-1),0)</f>
        <v/>
      </c>
      <c r="G45" s="44">
        <f>IF(D45=1,$C45/(1+($B$8+0.0001)/2)^(E45-1),0)</f>
        <v/>
      </c>
      <c r="H45" s="44">
        <f>IF(D45=1,$C45/(1+($B$8-0.0001)/2)^(E45-1),0)</f>
        <v/>
      </c>
      <c r="I45" s="42">
        <f>IF(AND($C45&gt;0,B45&gt;$B$7),1,0)</f>
        <v/>
      </c>
      <c r="J45" s="42">
        <f>IF(I45=1,SUM($I$15:I45),"")</f>
        <v/>
      </c>
      <c r="K45" s="44">
        <f>IF(I45=1,$C45/(1+$B$99/2)^(J45-1),0)</f>
        <v/>
      </c>
      <c r="L45" s="44">
        <f>IF(I45=1,$C45/(1+($B$99+0.0001)/2)^(J45-1),0)</f>
        <v/>
      </c>
      <c r="M45" s="44">
        <f>IF(I45=1,$C45/(1+($B$99-0.0001)/2)^(J45-1),0)</f>
        <v/>
      </c>
      <c r="N45" s="44">
        <f>IF(I45=1,$C45/(1+$B$104/2)^(J45-1),0)</f>
        <v/>
      </c>
      <c r="O45" s="44">
        <f>IF(I45=1,$C45/(1+($B$104+0.0001)/2)^(J45-1),0)</f>
        <v/>
      </c>
      <c r="P45" s="44">
        <f>IF(I45=1,$C45/(1+($B$104-0.0001)/2)^(J45-1),0)</f>
        <v/>
      </c>
      <c r="Q45" s="44">
        <f>IF(I45=1,$C45/(1+$B$109/2)^(J45-1),0)</f>
        <v/>
      </c>
      <c r="R45" s="44">
        <f>IF(AND($C45&gt;0,B45&gt;$B$6,B45&lt;=$B$7),$C45*(1+$B$9*($B$7-B45)/365),0)</f>
        <v/>
      </c>
      <c r="S45" s="44">
        <f>IF(I45=1,$C45/(1+($B$8+$B$10/10000)/2)^(J45-1),0)</f>
        <v/>
      </c>
      <c r="T45" s="44">
        <f>IF(I45=1,$C45/(1+($B$8+메인!$A$96/10000)/2)^(J45-1),0)</f>
        <v/>
      </c>
      <c r="U45" s="44">
        <f>IF(I45=1,$C45/(1+($B$8+메인!$A$97/10000)/2)^(J45-1),0)</f>
        <v/>
      </c>
      <c r="V45" s="44">
        <f>IF(I45=1,$C45/(1+($B$8+메인!$A$98/10000)/2)^(J45-1),0)</f>
        <v/>
      </c>
      <c r="W45" s="44">
        <f>IF(I45=1,$C45/(1+($B$8+메인!$A$99/10000)/2)^(J45-1),0)</f>
        <v/>
      </c>
      <c r="X45" s="44">
        <f>IF(I45=1,$C45/(1+($B$8+메인!$A$100/10000)/2)^(J45-1),0)</f>
        <v/>
      </c>
      <c r="Y45" s="44">
        <f>IF(I45=1,$C45/(1+($B$8+메인!$A$101/10000)/2)^(J45-1),0)</f>
        <v/>
      </c>
      <c r="Z45" s="44">
        <f>IF(I45=1,$C45/(1+($B$8+메인!$A$102/10000)/2)^(J45-1),0)</f>
        <v/>
      </c>
      <c r="AA45" s="44">
        <f>IF(I45=1,$C45/(1+($B$8+메인!$A$103/10000)/2)^(J45-1),0)</f>
        <v/>
      </c>
      <c r="AB45" s="44">
        <f>IF(I45=1,$C45/(1+($B$8+메인!$A$104/10000)/2)^(J45-1),0)</f>
        <v/>
      </c>
      <c r="AE45" s="42" t="n">
        <v>31</v>
      </c>
      <c r="AF45" s="43">
        <f>EDATE($AF$2,-6*(62-$AE45))</f>
        <v/>
      </c>
      <c r="AG45" s="44">
        <f>IF(AND(AF45&gt;$AF$3,AF45&lt;=$AF$2),IF(AF45=$AF$2,$AF$5+100,$AF$5),0)</f>
        <v/>
      </c>
      <c r="AH45" s="42">
        <f>IF(AND($AG45&gt;0,AF45&gt;$AF$6),1,0)</f>
        <v/>
      </c>
      <c r="AI45" s="42">
        <f>IF(AH45=1,SUM($AH$15:AH45),"")</f>
        <v/>
      </c>
      <c r="AJ45" s="44">
        <f>IF(AH45=1,$AG45/(1+$AF$8/2)^(AI45-1),0)</f>
        <v/>
      </c>
      <c r="AK45" s="44">
        <f>IF(AH45=1,$AG45/(1+($AF$8+0.0001)/2)^(AI45-1),0)</f>
        <v/>
      </c>
      <c r="AL45" s="44">
        <f>IF(AH45=1,$AG45/(1+($AF$8-0.0001)/2)^(AI45-1),0)</f>
        <v/>
      </c>
      <c r="AM45" s="42">
        <f>IF(AND($AG45&gt;0,AF45&gt;$AF$7),1,0)</f>
        <v/>
      </c>
      <c r="AN45" s="42">
        <f>IF(AM45=1,SUM($AM$15:AM45),"")</f>
        <v/>
      </c>
      <c r="AO45" s="44">
        <f>IF(AM45=1,$AG45/(1+$AF$99/2)^(AN45-1),0)</f>
        <v/>
      </c>
      <c r="AP45" s="44">
        <f>IF(AM45=1,$AG45/(1+($AF$99+0.0001)/2)^(AN45-1),0)</f>
        <v/>
      </c>
      <c r="AQ45" s="44">
        <f>IF(AM45=1,$AG45/(1+($AF$99-0.0001)/2)^(AN45-1),0)</f>
        <v/>
      </c>
      <c r="AR45" s="44">
        <f>IF(AM45=1,$AG45/(1+$AF$104/2)^(AN45-1),0)</f>
        <v/>
      </c>
      <c r="AS45" s="44">
        <f>IF(AM45=1,$AG45/(1+($AF$104+0.0001)/2)^(AN45-1),0)</f>
        <v/>
      </c>
      <c r="AT45" s="44">
        <f>IF(AM45=1,$AG45/(1+($AF$104-0.0001)/2)^(AN45-1),0)</f>
        <v/>
      </c>
      <c r="AU45" s="44">
        <f>IF(AM45=1,$AG45/(1+$AF$109/2)^(AN45-1),0)</f>
        <v/>
      </c>
      <c r="AV45" s="44">
        <f>IF(AND($AG45&gt;0,AF45&gt;$AF$6,AF45&lt;=$AF$7),$AG45*(1+$AF$9*($AF$7-AF45)/365),0)</f>
        <v/>
      </c>
      <c r="AW45" s="44">
        <f>IF(AM45=1,$AG45/(1+($AF$8+$AF$10/10000)/2)^(AN45-1),0)</f>
        <v/>
      </c>
      <c r="AX45" s="44">
        <f>IF(AM45=1,$AG45/(1+($AF$8+메인!$A$96/10000)/2)^(AN45-1),0)</f>
        <v/>
      </c>
      <c r="AY45" s="44">
        <f>IF(AM45=1,$AG45/(1+($AF$8+메인!$A$97/10000)/2)^(AN45-1),0)</f>
        <v/>
      </c>
      <c r="AZ45" s="44">
        <f>IF(AM45=1,$AG45/(1+($AF$8+메인!$A$98/10000)/2)^(AN45-1),0)</f>
        <v/>
      </c>
      <c r="BA45" s="44">
        <f>IF(AM45=1,$AG45/(1+($AF$8+메인!$A$99/10000)/2)^(AN45-1),0)</f>
        <v/>
      </c>
      <c r="BB45" s="44">
        <f>IF(AM45=1,$AG45/(1+($AF$8+메인!$A$100/10000)/2)^(AN45-1),0)</f>
        <v/>
      </c>
      <c r="BC45" s="44">
        <f>IF(AM45=1,$AG45/(1+($AF$8+메인!$A$101/10000)/2)^(AN45-1),0)</f>
        <v/>
      </c>
      <c r="BD45" s="44">
        <f>IF(AM45=1,$AG45/(1+($AF$8+메인!$A$102/10000)/2)^(AN45-1),0)</f>
        <v/>
      </c>
      <c r="BE45" s="44">
        <f>IF(AM45=1,$AG45/(1+($AF$8+메인!$A$103/10000)/2)^(AN45-1),0)</f>
        <v/>
      </c>
      <c r="BF45" s="44">
        <f>IF(AM45=1,$AG45/(1+($AF$8+메인!$A$104/10000)/2)^(AN45-1),0)</f>
        <v/>
      </c>
    </row>
    <row r="46">
      <c r="A46" s="42" t="n">
        <v>32</v>
      </c>
      <c r="B46" s="43">
        <f>EDATE($B$2,-6*(62-$A46))</f>
        <v/>
      </c>
      <c r="C46" s="44">
        <f>IF(AND(B46&gt;$B$3,B46&lt;=$B$2),IF(B46=$B$2,$B$5+100,$B$5),0)</f>
        <v/>
      </c>
      <c r="D46" s="42">
        <f>IF(AND($C46&gt;0,B46&gt;$B$6),1,0)</f>
        <v/>
      </c>
      <c r="E46" s="42">
        <f>IF(D46=1,SUM($D$15:D46),"")</f>
        <v/>
      </c>
      <c r="F46" s="44">
        <f>IF(D46=1,$C46/(1+$B$8/2)^(E46-1),0)</f>
        <v/>
      </c>
      <c r="G46" s="44">
        <f>IF(D46=1,$C46/(1+($B$8+0.0001)/2)^(E46-1),0)</f>
        <v/>
      </c>
      <c r="H46" s="44">
        <f>IF(D46=1,$C46/(1+($B$8-0.0001)/2)^(E46-1),0)</f>
        <v/>
      </c>
      <c r="I46" s="42">
        <f>IF(AND($C46&gt;0,B46&gt;$B$7),1,0)</f>
        <v/>
      </c>
      <c r="J46" s="42">
        <f>IF(I46=1,SUM($I$15:I46),"")</f>
        <v/>
      </c>
      <c r="K46" s="44">
        <f>IF(I46=1,$C46/(1+$B$99/2)^(J46-1),0)</f>
        <v/>
      </c>
      <c r="L46" s="44">
        <f>IF(I46=1,$C46/(1+($B$99+0.0001)/2)^(J46-1),0)</f>
        <v/>
      </c>
      <c r="M46" s="44">
        <f>IF(I46=1,$C46/(1+($B$99-0.0001)/2)^(J46-1),0)</f>
        <v/>
      </c>
      <c r="N46" s="44">
        <f>IF(I46=1,$C46/(1+$B$104/2)^(J46-1),0)</f>
        <v/>
      </c>
      <c r="O46" s="44">
        <f>IF(I46=1,$C46/(1+($B$104+0.0001)/2)^(J46-1),0)</f>
        <v/>
      </c>
      <c r="P46" s="44">
        <f>IF(I46=1,$C46/(1+($B$104-0.0001)/2)^(J46-1),0)</f>
        <v/>
      </c>
      <c r="Q46" s="44">
        <f>IF(I46=1,$C46/(1+$B$109/2)^(J46-1),0)</f>
        <v/>
      </c>
      <c r="R46" s="44">
        <f>IF(AND($C46&gt;0,B46&gt;$B$6,B46&lt;=$B$7),$C46*(1+$B$9*($B$7-B46)/365),0)</f>
        <v/>
      </c>
      <c r="S46" s="44">
        <f>IF(I46=1,$C46/(1+($B$8+$B$10/10000)/2)^(J46-1),0)</f>
        <v/>
      </c>
      <c r="T46" s="44">
        <f>IF(I46=1,$C46/(1+($B$8+메인!$A$96/10000)/2)^(J46-1),0)</f>
        <v/>
      </c>
      <c r="U46" s="44">
        <f>IF(I46=1,$C46/(1+($B$8+메인!$A$97/10000)/2)^(J46-1),0)</f>
        <v/>
      </c>
      <c r="V46" s="44">
        <f>IF(I46=1,$C46/(1+($B$8+메인!$A$98/10000)/2)^(J46-1),0)</f>
        <v/>
      </c>
      <c r="W46" s="44">
        <f>IF(I46=1,$C46/(1+($B$8+메인!$A$99/10000)/2)^(J46-1),0)</f>
        <v/>
      </c>
      <c r="X46" s="44">
        <f>IF(I46=1,$C46/(1+($B$8+메인!$A$100/10000)/2)^(J46-1),0)</f>
        <v/>
      </c>
      <c r="Y46" s="44">
        <f>IF(I46=1,$C46/(1+($B$8+메인!$A$101/10000)/2)^(J46-1),0)</f>
        <v/>
      </c>
      <c r="Z46" s="44">
        <f>IF(I46=1,$C46/(1+($B$8+메인!$A$102/10000)/2)^(J46-1),0)</f>
        <v/>
      </c>
      <c r="AA46" s="44">
        <f>IF(I46=1,$C46/(1+($B$8+메인!$A$103/10000)/2)^(J46-1),0)</f>
        <v/>
      </c>
      <c r="AB46" s="44">
        <f>IF(I46=1,$C46/(1+($B$8+메인!$A$104/10000)/2)^(J46-1),0)</f>
        <v/>
      </c>
      <c r="AE46" s="42" t="n">
        <v>32</v>
      </c>
      <c r="AF46" s="43">
        <f>EDATE($AF$2,-6*(62-$AE46))</f>
        <v/>
      </c>
      <c r="AG46" s="44">
        <f>IF(AND(AF46&gt;$AF$3,AF46&lt;=$AF$2),IF(AF46=$AF$2,$AF$5+100,$AF$5),0)</f>
        <v/>
      </c>
      <c r="AH46" s="42">
        <f>IF(AND($AG46&gt;0,AF46&gt;$AF$6),1,0)</f>
        <v/>
      </c>
      <c r="AI46" s="42">
        <f>IF(AH46=1,SUM($AH$15:AH46),"")</f>
        <v/>
      </c>
      <c r="AJ46" s="44">
        <f>IF(AH46=1,$AG46/(1+$AF$8/2)^(AI46-1),0)</f>
        <v/>
      </c>
      <c r="AK46" s="44">
        <f>IF(AH46=1,$AG46/(1+($AF$8+0.0001)/2)^(AI46-1),0)</f>
        <v/>
      </c>
      <c r="AL46" s="44">
        <f>IF(AH46=1,$AG46/(1+($AF$8-0.0001)/2)^(AI46-1),0)</f>
        <v/>
      </c>
      <c r="AM46" s="42">
        <f>IF(AND($AG46&gt;0,AF46&gt;$AF$7),1,0)</f>
        <v/>
      </c>
      <c r="AN46" s="42">
        <f>IF(AM46=1,SUM($AM$15:AM46),"")</f>
        <v/>
      </c>
      <c r="AO46" s="44">
        <f>IF(AM46=1,$AG46/(1+$AF$99/2)^(AN46-1),0)</f>
        <v/>
      </c>
      <c r="AP46" s="44">
        <f>IF(AM46=1,$AG46/(1+($AF$99+0.0001)/2)^(AN46-1),0)</f>
        <v/>
      </c>
      <c r="AQ46" s="44">
        <f>IF(AM46=1,$AG46/(1+($AF$99-0.0001)/2)^(AN46-1),0)</f>
        <v/>
      </c>
      <c r="AR46" s="44">
        <f>IF(AM46=1,$AG46/(1+$AF$104/2)^(AN46-1),0)</f>
        <v/>
      </c>
      <c r="AS46" s="44">
        <f>IF(AM46=1,$AG46/(1+($AF$104+0.0001)/2)^(AN46-1),0)</f>
        <v/>
      </c>
      <c r="AT46" s="44">
        <f>IF(AM46=1,$AG46/(1+($AF$104-0.0001)/2)^(AN46-1),0)</f>
        <v/>
      </c>
      <c r="AU46" s="44">
        <f>IF(AM46=1,$AG46/(1+$AF$109/2)^(AN46-1),0)</f>
        <v/>
      </c>
      <c r="AV46" s="44">
        <f>IF(AND($AG46&gt;0,AF46&gt;$AF$6,AF46&lt;=$AF$7),$AG46*(1+$AF$9*($AF$7-AF46)/365),0)</f>
        <v/>
      </c>
      <c r="AW46" s="44">
        <f>IF(AM46=1,$AG46/(1+($AF$8+$AF$10/10000)/2)^(AN46-1),0)</f>
        <v/>
      </c>
      <c r="AX46" s="44">
        <f>IF(AM46=1,$AG46/(1+($AF$8+메인!$A$96/10000)/2)^(AN46-1),0)</f>
        <v/>
      </c>
      <c r="AY46" s="44">
        <f>IF(AM46=1,$AG46/(1+($AF$8+메인!$A$97/10000)/2)^(AN46-1),0)</f>
        <v/>
      </c>
      <c r="AZ46" s="44">
        <f>IF(AM46=1,$AG46/(1+($AF$8+메인!$A$98/10000)/2)^(AN46-1),0)</f>
        <v/>
      </c>
      <c r="BA46" s="44">
        <f>IF(AM46=1,$AG46/(1+($AF$8+메인!$A$99/10000)/2)^(AN46-1),0)</f>
        <v/>
      </c>
      <c r="BB46" s="44">
        <f>IF(AM46=1,$AG46/(1+($AF$8+메인!$A$100/10000)/2)^(AN46-1),0)</f>
        <v/>
      </c>
      <c r="BC46" s="44">
        <f>IF(AM46=1,$AG46/(1+($AF$8+메인!$A$101/10000)/2)^(AN46-1),0)</f>
        <v/>
      </c>
      <c r="BD46" s="44">
        <f>IF(AM46=1,$AG46/(1+($AF$8+메인!$A$102/10000)/2)^(AN46-1),0)</f>
        <v/>
      </c>
      <c r="BE46" s="44">
        <f>IF(AM46=1,$AG46/(1+($AF$8+메인!$A$103/10000)/2)^(AN46-1),0)</f>
        <v/>
      </c>
      <c r="BF46" s="44">
        <f>IF(AM46=1,$AG46/(1+($AF$8+메인!$A$104/10000)/2)^(AN46-1),0)</f>
        <v/>
      </c>
    </row>
    <row r="47">
      <c r="A47" s="42" t="n">
        <v>33</v>
      </c>
      <c r="B47" s="43">
        <f>EDATE($B$2,-6*(62-$A47))</f>
        <v/>
      </c>
      <c r="C47" s="44">
        <f>IF(AND(B47&gt;$B$3,B47&lt;=$B$2),IF(B47=$B$2,$B$5+100,$B$5),0)</f>
        <v/>
      </c>
      <c r="D47" s="42">
        <f>IF(AND($C47&gt;0,B47&gt;$B$6),1,0)</f>
        <v/>
      </c>
      <c r="E47" s="42">
        <f>IF(D47=1,SUM($D$15:D47),"")</f>
        <v/>
      </c>
      <c r="F47" s="44">
        <f>IF(D47=1,$C47/(1+$B$8/2)^(E47-1),0)</f>
        <v/>
      </c>
      <c r="G47" s="44">
        <f>IF(D47=1,$C47/(1+($B$8+0.0001)/2)^(E47-1),0)</f>
        <v/>
      </c>
      <c r="H47" s="44">
        <f>IF(D47=1,$C47/(1+($B$8-0.0001)/2)^(E47-1),0)</f>
        <v/>
      </c>
      <c r="I47" s="42">
        <f>IF(AND($C47&gt;0,B47&gt;$B$7),1,0)</f>
        <v/>
      </c>
      <c r="J47" s="42">
        <f>IF(I47=1,SUM($I$15:I47),"")</f>
        <v/>
      </c>
      <c r="K47" s="44">
        <f>IF(I47=1,$C47/(1+$B$99/2)^(J47-1),0)</f>
        <v/>
      </c>
      <c r="L47" s="44">
        <f>IF(I47=1,$C47/(1+($B$99+0.0001)/2)^(J47-1),0)</f>
        <v/>
      </c>
      <c r="M47" s="44">
        <f>IF(I47=1,$C47/(1+($B$99-0.0001)/2)^(J47-1),0)</f>
        <v/>
      </c>
      <c r="N47" s="44">
        <f>IF(I47=1,$C47/(1+$B$104/2)^(J47-1),0)</f>
        <v/>
      </c>
      <c r="O47" s="44">
        <f>IF(I47=1,$C47/(1+($B$104+0.0001)/2)^(J47-1),0)</f>
        <v/>
      </c>
      <c r="P47" s="44">
        <f>IF(I47=1,$C47/(1+($B$104-0.0001)/2)^(J47-1),0)</f>
        <v/>
      </c>
      <c r="Q47" s="44">
        <f>IF(I47=1,$C47/(1+$B$109/2)^(J47-1),0)</f>
        <v/>
      </c>
      <c r="R47" s="44">
        <f>IF(AND($C47&gt;0,B47&gt;$B$6,B47&lt;=$B$7),$C47*(1+$B$9*($B$7-B47)/365),0)</f>
        <v/>
      </c>
      <c r="S47" s="44">
        <f>IF(I47=1,$C47/(1+($B$8+$B$10/10000)/2)^(J47-1),0)</f>
        <v/>
      </c>
      <c r="T47" s="44">
        <f>IF(I47=1,$C47/(1+($B$8+메인!$A$96/10000)/2)^(J47-1),0)</f>
        <v/>
      </c>
      <c r="U47" s="44">
        <f>IF(I47=1,$C47/(1+($B$8+메인!$A$97/10000)/2)^(J47-1),0)</f>
        <v/>
      </c>
      <c r="V47" s="44">
        <f>IF(I47=1,$C47/(1+($B$8+메인!$A$98/10000)/2)^(J47-1),0)</f>
        <v/>
      </c>
      <c r="W47" s="44">
        <f>IF(I47=1,$C47/(1+($B$8+메인!$A$99/10000)/2)^(J47-1),0)</f>
        <v/>
      </c>
      <c r="X47" s="44">
        <f>IF(I47=1,$C47/(1+($B$8+메인!$A$100/10000)/2)^(J47-1),0)</f>
        <v/>
      </c>
      <c r="Y47" s="44">
        <f>IF(I47=1,$C47/(1+($B$8+메인!$A$101/10000)/2)^(J47-1),0)</f>
        <v/>
      </c>
      <c r="Z47" s="44">
        <f>IF(I47=1,$C47/(1+($B$8+메인!$A$102/10000)/2)^(J47-1),0)</f>
        <v/>
      </c>
      <c r="AA47" s="44">
        <f>IF(I47=1,$C47/(1+($B$8+메인!$A$103/10000)/2)^(J47-1),0)</f>
        <v/>
      </c>
      <c r="AB47" s="44">
        <f>IF(I47=1,$C47/(1+($B$8+메인!$A$104/10000)/2)^(J47-1),0)</f>
        <v/>
      </c>
      <c r="AE47" s="42" t="n">
        <v>33</v>
      </c>
      <c r="AF47" s="43">
        <f>EDATE($AF$2,-6*(62-$AE47))</f>
        <v/>
      </c>
      <c r="AG47" s="44">
        <f>IF(AND(AF47&gt;$AF$3,AF47&lt;=$AF$2),IF(AF47=$AF$2,$AF$5+100,$AF$5),0)</f>
        <v/>
      </c>
      <c r="AH47" s="42">
        <f>IF(AND($AG47&gt;0,AF47&gt;$AF$6),1,0)</f>
        <v/>
      </c>
      <c r="AI47" s="42">
        <f>IF(AH47=1,SUM($AH$15:AH47),"")</f>
        <v/>
      </c>
      <c r="AJ47" s="44">
        <f>IF(AH47=1,$AG47/(1+$AF$8/2)^(AI47-1),0)</f>
        <v/>
      </c>
      <c r="AK47" s="44">
        <f>IF(AH47=1,$AG47/(1+($AF$8+0.0001)/2)^(AI47-1),0)</f>
        <v/>
      </c>
      <c r="AL47" s="44">
        <f>IF(AH47=1,$AG47/(1+($AF$8-0.0001)/2)^(AI47-1),0)</f>
        <v/>
      </c>
      <c r="AM47" s="42">
        <f>IF(AND($AG47&gt;0,AF47&gt;$AF$7),1,0)</f>
        <v/>
      </c>
      <c r="AN47" s="42">
        <f>IF(AM47=1,SUM($AM$15:AM47),"")</f>
        <v/>
      </c>
      <c r="AO47" s="44">
        <f>IF(AM47=1,$AG47/(1+$AF$99/2)^(AN47-1),0)</f>
        <v/>
      </c>
      <c r="AP47" s="44">
        <f>IF(AM47=1,$AG47/(1+($AF$99+0.0001)/2)^(AN47-1),0)</f>
        <v/>
      </c>
      <c r="AQ47" s="44">
        <f>IF(AM47=1,$AG47/(1+($AF$99-0.0001)/2)^(AN47-1),0)</f>
        <v/>
      </c>
      <c r="AR47" s="44">
        <f>IF(AM47=1,$AG47/(1+$AF$104/2)^(AN47-1),0)</f>
        <v/>
      </c>
      <c r="AS47" s="44">
        <f>IF(AM47=1,$AG47/(1+($AF$104+0.0001)/2)^(AN47-1),0)</f>
        <v/>
      </c>
      <c r="AT47" s="44">
        <f>IF(AM47=1,$AG47/(1+($AF$104-0.0001)/2)^(AN47-1),0)</f>
        <v/>
      </c>
      <c r="AU47" s="44">
        <f>IF(AM47=1,$AG47/(1+$AF$109/2)^(AN47-1),0)</f>
        <v/>
      </c>
      <c r="AV47" s="44">
        <f>IF(AND($AG47&gt;0,AF47&gt;$AF$6,AF47&lt;=$AF$7),$AG47*(1+$AF$9*($AF$7-AF47)/365),0)</f>
        <v/>
      </c>
      <c r="AW47" s="44">
        <f>IF(AM47=1,$AG47/(1+($AF$8+$AF$10/10000)/2)^(AN47-1),0)</f>
        <v/>
      </c>
      <c r="AX47" s="44">
        <f>IF(AM47=1,$AG47/(1+($AF$8+메인!$A$96/10000)/2)^(AN47-1),0)</f>
        <v/>
      </c>
      <c r="AY47" s="44">
        <f>IF(AM47=1,$AG47/(1+($AF$8+메인!$A$97/10000)/2)^(AN47-1),0)</f>
        <v/>
      </c>
      <c r="AZ47" s="44">
        <f>IF(AM47=1,$AG47/(1+($AF$8+메인!$A$98/10000)/2)^(AN47-1),0)</f>
        <v/>
      </c>
      <c r="BA47" s="44">
        <f>IF(AM47=1,$AG47/(1+($AF$8+메인!$A$99/10000)/2)^(AN47-1),0)</f>
        <v/>
      </c>
      <c r="BB47" s="44">
        <f>IF(AM47=1,$AG47/(1+($AF$8+메인!$A$100/10000)/2)^(AN47-1),0)</f>
        <v/>
      </c>
      <c r="BC47" s="44">
        <f>IF(AM47=1,$AG47/(1+($AF$8+메인!$A$101/10000)/2)^(AN47-1),0)</f>
        <v/>
      </c>
      <c r="BD47" s="44">
        <f>IF(AM47=1,$AG47/(1+($AF$8+메인!$A$102/10000)/2)^(AN47-1),0)</f>
        <v/>
      </c>
      <c r="BE47" s="44">
        <f>IF(AM47=1,$AG47/(1+($AF$8+메인!$A$103/10000)/2)^(AN47-1),0)</f>
        <v/>
      </c>
      <c r="BF47" s="44">
        <f>IF(AM47=1,$AG47/(1+($AF$8+메인!$A$104/10000)/2)^(AN47-1),0)</f>
        <v/>
      </c>
    </row>
    <row r="48">
      <c r="A48" s="42" t="n">
        <v>34</v>
      </c>
      <c r="B48" s="43">
        <f>EDATE($B$2,-6*(62-$A48))</f>
        <v/>
      </c>
      <c r="C48" s="44">
        <f>IF(AND(B48&gt;$B$3,B48&lt;=$B$2),IF(B48=$B$2,$B$5+100,$B$5),0)</f>
        <v/>
      </c>
      <c r="D48" s="42">
        <f>IF(AND($C48&gt;0,B48&gt;$B$6),1,0)</f>
        <v/>
      </c>
      <c r="E48" s="42">
        <f>IF(D48=1,SUM($D$15:D48),"")</f>
        <v/>
      </c>
      <c r="F48" s="44">
        <f>IF(D48=1,$C48/(1+$B$8/2)^(E48-1),0)</f>
        <v/>
      </c>
      <c r="G48" s="44">
        <f>IF(D48=1,$C48/(1+($B$8+0.0001)/2)^(E48-1),0)</f>
        <v/>
      </c>
      <c r="H48" s="44">
        <f>IF(D48=1,$C48/(1+($B$8-0.0001)/2)^(E48-1),0)</f>
        <v/>
      </c>
      <c r="I48" s="42">
        <f>IF(AND($C48&gt;0,B48&gt;$B$7),1,0)</f>
        <v/>
      </c>
      <c r="J48" s="42">
        <f>IF(I48=1,SUM($I$15:I48),"")</f>
        <v/>
      </c>
      <c r="K48" s="44">
        <f>IF(I48=1,$C48/(1+$B$99/2)^(J48-1),0)</f>
        <v/>
      </c>
      <c r="L48" s="44">
        <f>IF(I48=1,$C48/(1+($B$99+0.0001)/2)^(J48-1),0)</f>
        <v/>
      </c>
      <c r="M48" s="44">
        <f>IF(I48=1,$C48/(1+($B$99-0.0001)/2)^(J48-1),0)</f>
        <v/>
      </c>
      <c r="N48" s="44">
        <f>IF(I48=1,$C48/(1+$B$104/2)^(J48-1),0)</f>
        <v/>
      </c>
      <c r="O48" s="44">
        <f>IF(I48=1,$C48/(1+($B$104+0.0001)/2)^(J48-1),0)</f>
        <v/>
      </c>
      <c r="P48" s="44">
        <f>IF(I48=1,$C48/(1+($B$104-0.0001)/2)^(J48-1),0)</f>
        <v/>
      </c>
      <c r="Q48" s="44">
        <f>IF(I48=1,$C48/(1+$B$109/2)^(J48-1),0)</f>
        <v/>
      </c>
      <c r="R48" s="44">
        <f>IF(AND($C48&gt;0,B48&gt;$B$6,B48&lt;=$B$7),$C48*(1+$B$9*($B$7-B48)/365),0)</f>
        <v/>
      </c>
      <c r="S48" s="44">
        <f>IF(I48=1,$C48/(1+($B$8+$B$10/10000)/2)^(J48-1),0)</f>
        <v/>
      </c>
      <c r="T48" s="44">
        <f>IF(I48=1,$C48/(1+($B$8+메인!$A$96/10000)/2)^(J48-1),0)</f>
        <v/>
      </c>
      <c r="U48" s="44">
        <f>IF(I48=1,$C48/(1+($B$8+메인!$A$97/10000)/2)^(J48-1),0)</f>
        <v/>
      </c>
      <c r="V48" s="44">
        <f>IF(I48=1,$C48/(1+($B$8+메인!$A$98/10000)/2)^(J48-1),0)</f>
        <v/>
      </c>
      <c r="W48" s="44">
        <f>IF(I48=1,$C48/(1+($B$8+메인!$A$99/10000)/2)^(J48-1),0)</f>
        <v/>
      </c>
      <c r="X48" s="44">
        <f>IF(I48=1,$C48/(1+($B$8+메인!$A$100/10000)/2)^(J48-1),0)</f>
        <v/>
      </c>
      <c r="Y48" s="44">
        <f>IF(I48=1,$C48/(1+($B$8+메인!$A$101/10000)/2)^(J48-1),0)</f>
        <v/>
      </c>
      <c r="Z48" s="44">
        <f>IF(I48=1,$C48/(1+($B$8+메인!$A$102/10000)/2)^(J48-1),0)</f>
        <v/>
      </c>
      <c r="AA48" s="44">
        <f>IF(I48=1,$C48/(1+($B$8+메인!$A$103/10000)/2)^(J48-1),0)</f>
        <v/>
      </c>
      <c r="AB48" s="44">
        <f>IF(I48=1,$C48/(1+($B$8+메인!$A$104/10000)/2)^(J48-1),0)</f>
        <v/>
      </c>
      <c r="AE48" s="42" t="n">
        <v>34</v>
      </c>
      <c r="AF48" s="43">
        <f>EDATE($AF$2,-6*(62-$AE48))</f>
        <v/>
      </c>
      <c r="AG48" s="44">
        <f>IF(AND(AF48&gt;$AF$3,AF48&lt;=$AF$2),IF(AF48=$AF$2,$AF$5+100,$AF$5),0)</f>
        <v/>
      </c>
      <c r="AH48" s="42">
        <f>IF(AND($AG48&gt;0,AF48&gt;$AF$6),1,0)</f>
        <v/>
      </c>
      <c r="AI48" s="42">
        <f>IF(AH48=1,SUM($AH$15:AH48),"")</f>
        <v/>
      </c>
      <c r="AJ48" s="44">
        <f>IF(AH48=1,$AG48/(1+$AF$8/2)^(AI48-1),0)</f>
        <v/>
      </c>
      <c r="AK48" s="44">
        <f>IF(AH48=1,$AG48/(1+($AF$8+0.0001)/2)^(AI48-1),0)</f>
        <v/>
      </c>
      <c r="AL48" s="44">
        <f>IF(AH48=1,$AG48/(1+($AF$8-0.0001)/2)^(AI48-1),0)</f>
        <v/>
      </c>
      <c r="AM48" s="42">
        <f>IF(AND($AG48&gt;0,AF48&gt;$AF$7),1,0)</f>
        <v/>
      </c>
      <c r="AN48" s="42">
        <f>IF(AM48=1,SUM($AM$15:AM48),"")</f>
        <v/>
      </c>
      <c r="AO48" s="44">
        <f>IF(AM48=1,$AG48/(1+$AF$99/2)^(AN48-1),0)</f>
        <v/>
      </c>
      <c r="AP48" s="44">
        <f>IF(AM48=1,$AG48/(1+($AF$99+0.0001)/2)^(AN48-1),0)</f>
        <v/>
      </c>
      <c r="AQ48" s="44">
        <f>IF(AM48=1,$AG48/(1+($AF$99-0.0001)/2)^(AN48-1),0)</f>
        <v/>
      </c>
      <c r="AR48" s="44">
        <f>IF(AM48=1,$AG48/(1+$AF$104/2)^(AN48-1),0)</f>
        <v/>
      </c>
      <c r="AS48" s="44">
        <f>IF(AM48=1,$AG48/(1+($AF$104+0.0001)/2)^(AN48-1),0)</f>
        <v/>
      </c>
      <c r="AT48" s="44">
        <f>IF(AM48=1,$AG48/(1+($AF$104-0.0001)/2)^(AN48-1),0)</f>
        <v/>
      </c>
      <c r="AU48" s="44">
        <f>IF(AM48=1,$AG48/(1+$AF$109/2)^(AN48-1),0)</f>
        <v/>
      </c>
      <c r="AV48" s="44">
        <f>IF(AND($AG48&gt;0,AF48&gt;$AF$6,AF48&lt;=$AF$7),$AG48*(1+$AF$9*($AF$7-AF48)/365),0)</f>
        <v/>
      </c>
      <c r="AW48" s="44">
        <f>IF(AM48=1,$AG48/(1+($AF$8+$AF$10/10000)/2)^(AN48-1),0)</f>
        <v/>
      </c>
      <c r="AX48" s="44">
        <f>IF(AM48=1,$AG48/(1+($AF$8+메인!$A$96/10000)/2)^(AN48-1),0)</f>
        <v/>
      </c>
      <c r="AY48" s="44">
        <f>IF(AM48=1,$AG48/(1+($AF$8+메인!$A$97/10000)/2)^(AN48-1),0)</f>
        <v/>
      </c>
      <c r="AZ48" s="44">
        <f>IF(AM48=1,$AG48/(1+($AF$8+메인!$A$98/10000)/2)^(AN48-1),0)</f>
        <v/>
      </c>
      <c r="BA48" s="44">
        <f>IF(AM48=1,$AG48/(1+($AF$8+메인!$A$99/10000)/2)^(AN48-1),0)</f>
        <v/>
      </c>
      <c r="BB48" s="44">
        <f>IF(AM48=1,$AG48/(1+($AF$8+메인!$A$100/10000)/2)^(AN48-1),0)</f>
        <v/>
      </c>
      <c r="BC48" s="44">
        <f>IF(AM48=1,$AG48/(1+($AF$8+메인!$A$101/10000)/2)^(AN48-1),0)</f>
        <v/>
      </c>
      <c r="BD48" s="44">
        <f>IF(AM48=1,$AG48/(1+($AF$8+메인!$A$102/10000)/2)^(AN48-1),0)</f>
        <v/>
      </c>
      <c r="BE48" s="44">
        <f>IF(AM48=1,$AG48/(1+($AF$8+메인!$A$103/10000)/2)^(AN48-1),0)</f>
        <v/>
      </c>
      <c r="BF48" s="44">
        <f>IF(AM48=1,$AG48/(1+($AF$8+메인!$A$104/10000)/2)^(AN48-1),0)</f>
        <v/>
      </c>
    </row>
    <row r="49">
      <c r="A49" s="42" t="n">
        <v>35</v>
      </c>
      <c r="B49" s="43">
        <f>EDATE($B$2,-6*(62-$A49))</f>
        <v/>
      </c>
      <c r="C49" s="44">
        <f>IF(AND(B49&gt;$B$3,B49&lt;=$B$2),IF(B49=$B$2,$B$5+100,$B$5),0)</f>
        <v/>
      </c>
      <c r="D49" s="42">
        <f>IF(AND($C49&gt;0,B49&gt;$B$6),1,0)</f>
        <v/>
      </c>
      <c r="E49" s="42">
        <f>IF(D49=1,SUM($D$15:D49),"")</f>
        <v/>
      </c>
      <c r="F49" s="44">
        <f>IF(D49=1,$C49/(1+$B$8/2)^(E49-1),0)</f>
        <v/>
      </c>
      <c r="G49" s="44">
        <f>IF(D49=1,$C49/(1+($B$8+0.0001)/2)^(E49-1),0)</f>
        <v/>
      </c>
      <c r="H49" s="44">
        <f>IF(D49=1,$C49/(1+($B$8-0.0001)/2)^(E49-1),0)</f>
        <v/>
      </c>
      <c r="I49" s="42">
        <f>IF(AND($C49&gt;0,B49&gt;$B$7),1,0)</f>
        <v/>
      </c>
      <c r="J49" s="42">
        <f>IF(I49=1,SUM($I$15:I49),"")</f>
        <v/>
      </c>
      <c r="K49" s="44">
        <f>IF(I49=1,$C49/(1+$B$99/2)^(J49-1),0)</f>
        <v/>
      </c>
      <c r="L49" s="44">
        <f>IF(I49=1,$C49/(1+($B$99+0.0001)/2)^(J49-1),0)</f>
        <v/>
      </c>
      <c r="M49" s="44">
        <f>IF(I49=1,$C49/(1+($B$99-0.0001)/2)^(J49-1),0)</f>
        <v/>
      </c>
      <c r="N49" s="44">
        <f>IF(I49=1,$C49/(1+$B$104/2)^(J49-1),0)</f>
        <v/>
      </c>
      <c r="O49" s="44">
        <f>IF(I49=1,$C49/(1+($B$104+0.0001)/2)^(J49-1),0)</f>
        <v/>
      </c>
      <c r="P49" s="44">
        <f>IF(I49=1,$C49/(1+($B$104-0.0001)/2)^(J49-1),0)</f>
        <v/>
      </c>
      <c r="Q49" s="44">
        <f>IF(I49=1,$C49/(1+$B$109/2)^(J49-1),0)</f>
        <v/>
      </c>
      <c r="R49" s="44">
        <f>IF(AND($C49&gt;0,B49&gt;$B$6,B49&lt;=$B$7),$C49*(1+$B$9*($B$7-B49)/365),0)</f>
        <v/>
      </c>
      <c r="S49" s="44">
        <f>IF(I49=1,$C49/(1+($B$8+$B$10/10000)/2)^(J49-1),0)</f>
        <v/>
      </c>
      <c r="T49" s="44">
        <f>IF(I49=1,$C49/(1+($B$8+메인!$A$96/10000)/2)^(J49-1),0)</f>
        <v/>
      </c>
      <c r="U49" s="44">
        <f>IF(I49=1,$C49/(1+($B$8+메인!$A$97/10000)/2)^(J49-1),0)</f>
        <v/>
      </c>
      <c r="V49" s="44">
        <f>IF(I49=1,$C49/(1+($B$8+메인!$A$98/10000)/2)^(J49-1),0)</f>
        <v/>
      </c>
      <c r="W49" s="44">
        <f>IF(I49=1,$C49/(1+($B$8+메인!$A$99/10000)/2)^(J49-1),0)</f>
        <v/>
      </c>
      <c r="X49" s="44">
        <f>IF(I49=1,$C49/(1+($B$8+메인!$A$100/10000)/2)^(J49-1),0)</f>
        <v/>
      </c>
      <c r="Y49" s="44">
        <f>IF(I49=1,$C49/(1+($B$8+메인!$A$101/10000)/2)^(J49-1),0)</f>
        <v/>
      </c>
      <c r="Z49" s="44">
        <f>IF(I49=1,$C49/(1+($B$8+메인!$A$102/10000)/2)^(J49-1),0)</f>
        <v/>
      </c>
      <c r="AA49" s="44">
        <f>IF(I49=1,$C49/(1+($B$8+메인!$A$103/10000)/2)^(J49-1),0)</f>
        <v/>
      </c>
      <c r="AB49" s="44">
        <f>IF(I49=1,$C49/(1+($B$8+메인!$A$104/10000)/2)^(J49-1),0)</f>
        <v/>
      </c>
      <c r="AE49" s="42" t="n">
        <v>35</v>
      </c>
      <c r="AF49" s="43">
        <f>EDATE($AF$2,-6*(62-$AE49))</f>
        <v/>
      </c>
      <c r="AG49" s="44">
        <f>IF(AND(AF49&gt;$AF$3,AF49&lt;=$AF$2),IF(AF49=$AF$2,$AF$5+100,$AF$5),0)</f>
        <v/>
      </c>
      <c r="AH49" s="42">
        <f>IF(AND($AG49&gt;0,AF49&gt;$AF$6),1,0)</f>
        <v/>
      </c>
      <c r="AI49" s="42">
        <f>IF(AH49=1,SUM($AH$15:AH49),"")</f>
        <v/>
      </c>
      <c r="AJ49" s="44">
        <f>IF(AH49=1,$AG49/(1+$AF$8/2)^(AI49-1),0)</f>
        <v/>
      </c>
      <c r="AK49" s="44">
        <f>IF(AH49=1,$AG49/(1+($AF$8+0.0001)/2)^(AI49-1),0)</f>
        <v/>
      </c>
      <c r="AL49" s="44">
        <f>IF(AH49=1,$AG49/(1+($AF$8-0.0001)/2)^(AI49-1),0)</f>
        <v/>
      </c>
      <c r="AM49" s="42">
        <f>IF(AND($AG49&gt;0,AF49&gt;$AF$7),1,0)</f>
        <v/>
      </c>
      <c r="AN49" s="42">
        <f>IF(AM49=1,SUM($AM$15:AM49),"")</f>
        <v/>
      </c>
      <c r="AO49" s="44">
        <f>IF(AM49=1,$AG49/(1+$AF$99/2)^(AN49-1),0)</f>
        <v/>
      </c>
      <c r="AP49" s="44">
        <f>IF(AM49=1,$AG49/(1+($AF$99+0.0001)/2)^(AN49-1),0)</f>
        <v/>
      </c>
      <c r="AQ49" s="44">
        <f>IF(AM49=1,$AG49/(1+($AF$99-0.0001)/2)^(AN49-1),0)</f>
        <v/>
      </c>
      <c r="AR49" s="44">
        <f>IF(AM49=1,$AG49/(1+$AF$104/2)^(AN49-1),0)</f>
        <v/>
      </c>
      <c r="AS49" s="44">
        <f>IF(AM49=1,$AG49/(1+($AF$104+0.0001)/2)^(AN49-1),0)</f>
        <v/>
      </c>
      <c r="AT49" s="44">
        <f>IF(AM49=1,$AG49/(1+($AF$104-0.0001)/2)^(AN49-1),0)</f>
        <v/>
      </c>
      <c r="AU49" s="44">
        <f>IF(AM49=1,$AG49/(1+$AF$109/2)^(AN49-1),0)</f>
        <v/>
      </c>
      <c r="AV49" s="44">
        <f>IF(AND($AG49&gt;0,AF49&gt;$AF$6,AF49&lt;=$AF$7),$AG49*(1+$AF$9*($AF$7-AF49)/365),0)</f>
        <v/>
      </c>
      <c r="AW49" s="44">
        <f>IF(AM49=1,$AG49/(1+($AF$8+$AF$10/10000)/2)^(AN49-1),0)</f>
        <v/>
      </c>
      <c r="AX49" s="44">
        <f>IF(AM49=1,$AG49/(1+($AF$8+메인!$A$96/10000)/2)^(AN49-1),0)</f>
        <v/>
      </c>
      <c r="AY49" s="44">
        <f>IF(AM49=1,$AG49/(1+($AF$8+메인!$A$97/10000)/2)^(AN49-1),0)</f>
        <v/>
      </c>
      <c r="AZ49" s="44">
        <f>IF(AM49=1,$AG49/(1+($AF$8+메인!$A$98/10000)/2)^(AN49-1),0)</f>
        <v/>
      </c>
      <c r="BA49" s="44">
        <f>IF(AM49=1,$AG49/(1+($AF$8+메인!$A$99/10000)/2)^(AN49-1),0)</f>
        <v/>
      </c>
      <c r="BB49" s="44">
        <f>IF(AM49=1,$AG49/(1+($AF$8+메인!$A$100/10000)/2)^(AN49-1),0)</f>
        <v/>
      </c>
      <c r="BC49" s="44">
        <f>IF(AM49=1,$AG49/(1+($AF$8+메인!$A$101/10000)/2)^(AN49-1),0)</f>
        <v/>
      </c>
      <c r="BD49" s="44">
        <f>IF(AM49=1,$AG49/(1+($AF$8+메인!$A$102/10000)/2)^(AN49-1),0)</f>
        <v/>
      </c>
      <c r="BE49" s="44">
        <f>IF(AM49=1,$AG49/(1+($AF$8+메인!$A$103/10000)/2)^(AN49-1),0)</f>
        <v/>
      </c>
      <c r="BF49" s="44">
        <f>IF(AM49=1,$AG49/(1+($AF$8+메인!$A$104/10000)/2)^(AN49-1),0)</f>
        <v/>
      </c>
    </row>
    <row r="50">
      <c r="A50" s="42" t="n">
        <v>36</v>
      </c>
      <c r="B50" s="43">
        <f>EDATE($B$2,-6*(62-$A50))</f>
        <v/>
      </c>
      <c r="C50" s="44">
        <f>IF(AND(B50&gt;$B$3,B50&lt;=$B$2),IF(B50=$B$2,$B$5+100,$B$5),0)</f>
        <v/>
      </c>
      <c r="D50" s="42">
        <f>IF(AND($C50&gt;0,B50&gt;$B$6),1,0)</f>
        <v/>
      </c>
      <c r="E50" s="42">
        <f>IF(D50=1,SUM($D$15:D50),"")</f>
        <v/>
      </c>
      <c r="F50" s="44">
        <f>IF(D50=1,$C50/(1+$B$8/2)^(E50-1),0)</f>
        <v/>
      </c>
      <c r="G50" s="44">
        <f>IF(D50=1,$C50/(1+($B$8+0.0001)/2)^(E50-1),0)</f>
        <v/>
      </c>
      <c r="H50" s="44">
        <f>IF(D50=1,$C50/(1+($B$8-0.0001)/2)^(E50-1),0)</f>
        <v/>
      </c>
      <c r="I50" s="42">
        <f>IF(AND($C50&gt;0,B50&gt;$B$7),1,0)</f>
        <v/>
      </c>
      <c r="J50" s="42">
        <f>IF(I50=1,SUM($I$15:I50),"")</f>
        <v/>
      </c>
      <c r="K50" s="44">
        <f>IF(I50=1,$C50/(1+$B$99/2)^(J50-1),0)</f>
        <v/>
      </c>
      <c r="L50" s="44">
        <f>IF(I50=1,$C50/(1+($B$99+0.0001)/2)^(J50-1),0)</f>
        <v/>
      </c>
      <c r="M50" s="44">
        <f>IF(I50=1,$C50/(1+($B$99-0.0001)/2)^(J50-1),0)</f>
        <v/>
      </c>
      <c r="N50" s="44">
        <f>IF(I50=1,$C50/(1+$B$104/2)^(J50-1),0)</f>
        <v/>
      </c>
      <c r="O50" s="44">
        <f>IF(I50=1,$C50/(1+($B$104+0.0001)/2)^(J50-1),0)</f>
        <v/>
      </c>
      <c r="P50" s="44">
        <f>IF(I50=1,$C50/(1+($B$104-0.0001)/2)^(J50-1),0)</f>
        <v/>
      </c>
      <c r="Q50" s="44">
        <f>IF(I50=1,$C50/(1+$B$109/2)^(J50-1),0)</f>
        <v/>
      </c>
      <c r="R50" s="44">
        <f>IF(AND($C50&gt;0,B50&gt;$B$6,B50&lt;=$B$7),$C50*(1+$B$9*($B$7-B50)/365),0)</f>
        <v/>
      </c>
      <c r="S50" s="44">
        <f>IF(I50=1,$C50/(1+($B$8+$B$10/10000)/2)^(J50-1),0)</f>
        <v/>
      </c>
      <c r="T50" s="44">
        <f>IF(I50=1,$C50/(1+($B$8+메인!$A$96/10000)/2)^(J50-1),0)</f>
        <v/>
      </c>
      <c r="U50" s="44">
        <f>IF(I50=1,$C50/(1+($B$8+메인!$A$97/10000)/2)^(J50-1),0)</f>
        <v/>
      </c>
      <c r="V50" s="44">
        <f>IF(I50=1,$C50/(1+($B$8+메인!$A$98/10000)/2)^(J50-1),0)</f>
        <v/>
      </c>
      <c r="W50" s="44">
        <f>IF(I50=1,$C50/(1+($B$8+메인!$A$99/10000)/2)^(J50-1),0)</f>
        <v/>
      </c>
      <c r="X50" s="44">
        <f>IF(I50=1,$C50/(1+($B$8+메인!$A$100/10000)/2)^(J50-1),0)</f>
        <v/>
      </c>
      <c r="Y50" s="44">
        <f>IF(I50=1,$C50/(1+($B$8+메인!$A$101/10000)/2)^(J50-1),0)</f>
        <v/>
      </c>
      <c r="Z50" s="44">
        <f>IF(I50=1,$C50/(1+($B$8+메인!$A$102/10000)/2)^(J50-1),0)</f>
        <v/>
      </c>
      <c r="AA50" s="44">
        <f>IF(I50=1,$C50/(1+($B$8+메인!$A$103/10000)/2)^(J50-1),0)</f>
        <v/>
      </c>
      <c r="AB50" s="44">
        <f>IF(I50=1,$C50/(1+($B$8+메인!$A$104/10000)/2)^(J50-1),0)</f>
        <v/>
      </c>
      <c r="AE50" s="42" t="n">
        <v>36</v>
      </c>
      <c r="AF50" s="43">
        <f>EDATE($AF$2,-6*(62-$AE50))</f>
        <v/>
      </c>
      <c r="AG50" s="44">
        <f>IF(AND(AF50&gt;$AF$3,AF50&lt;=$AF$2),IF(AF50=$AF$2,$AF$5+100,$AF$5),0)</f>
        <v/>
      </c>
      <c r="AH50" s="42">
        <f>IF(AND($AG50&gt;0,AF50&gt;$AF$6),1,0)</f>
        <v/>
      </c>
      <c r="AI50" s="42">
        <f>IF(AH50=1,SUM($AH$15:AH50),"")</f>
        <v/>
      </c>
      <c r="AJ50" s="44">
        <f>IF(AH50=1,$AG50/(1+$AF$8/2)^(AI50-1),0)</f>
        <v/>
      </c>
      <c r="AK50" s="44">
        <f>IF(AH50=1,$AG50/(1+($AF$8+0.0001)/2)^(AI50-1),0)</f>
        <v/>
      </c>
      <c r="AL50" s="44">
        <f>IF(AH50=1,$AG50/(1+($AF$8-0.0001)/2)^(AI50-1),0)</f>
        <v/>
      </c>
      <c r="AM50" s="42">
        <f>IF(AND($AG50&gt;0,AF50&gt;$AF$7),1,0)</f>
        <v/>
      </c>
      <c r="AN50" s="42">
        <f>IF(AM50=1,SUM($AM$15:AM50),"")</f>
        <v/>
      </c>
      <c r="AO50" s="44">
        <f>IF(AM50=1,$AG50/(1+$AF$99/2)^(AN50-1),0)</f>
        <v/>
      </c>
      <c r="AP50" s="44">
        <f>IF(AM50=1,$AG50/(1+($AF$99+0.0001)/2)^(AN50-1),0)</f>
        <v/>
      </c>
      <c r="AQ50" s="44">
        <f>IF(AM50=1,$AG50/(1+($AF$99-0.0001)/2)^(AN50-1),0)</f>
        <v/>
      </c>
      <c r="AR50" s="44">
        <f>IF(AM50=1,$AG50/(1+$AF$104/2)^(AN50-1),0)</f>
        <v/>
      </c>
      <c r="AS50" s="44">
        <f>IF(AM50=1,$AG50/(1+($AF$104+0.0001)/2)^(AN50-1),0)</f>
        <v/>
      </c>
      <c r="AT50" s="44">
        <f>IF(AM50=1,$AG50/(1+($AF$104-0.0001)/2)^(AN50-1),0)</f>
        <v/>
      </c>
      <c r="AU50" s="44">
        <f>IF(AM50=1,$AG50/(1+$AF$109/2)^(AN50-1),0)</f>
        <v/>
      </c>
      <c r="AV50" s="44">
        <f>IF(AND($AG50&gt;0,AF50&gt;$AF$6,AF50&lt;=$AF$7),$AG50*(1+$AF$9*($AF$7-AF50)/365),0)</f>
        <v/>
      </c>
      <c r="AW50" s="44">
        <f>IF(AM50=1,$AG50/(1+($AF$8+$AF$10/10000)/2)^(AN50-1),0)</f>
        <v/>
      </c>
      <c r="AX50" s="44">
        <f>IF(AM50=1,$AG50/(1+($AF$8+메인!$A$96/10000)/2)^(AN50-1),0)</f>
        <v/>
      </c>
      <c r="AY50" s="44">
        <f>IF(AM50=1,$AG50/(1+($AF$8+메인!$A$97/10000)/2)^(AN50-1),0)</f>
        <v/>
      </c>
      <c r="AZ50" s="44">
        <f>IF(AM50=1,$AG50/(1+($AF$8+메인!$A$98/10000)/2)^(AN50-1),0)</f>
        <v/>
      </c>
      <c r="BA50" s="44">
        <f>IF(AM50=1,$AG50/(1+($AF$8+메인!$A$99/10000)/2)^(AN50-1),0)</f>
        <v/>
      </c>
      <c r="BB50" s="44">
        <f>IF(AM50=1,$AG50/(1+($AF$8+메인!$A$100/10000)/2)^(AN50-1),0)</f>
        <v/>
      </c>
      <c r="BC50" s="44">
        <f>IF(AM50=1,$AG50/(1+($AF$8+메인!$A$101/10000)/2)^(AN50-1),0)</f>
        <v/>
      </c>
      <c r="BD50" s="44">
        <f>IF(AM50=1,$AG50/(1+($AF$8+메인!$A$102/10000)/2)^(AN50-1),0)</f>
        <v/>
      </c>
      <c r="BE50" s="44">
        <f>IF(AM50=1,$AG50/(1+($AF$8+메인!$A$103/10000)/2)^(AN50-1),0)</f>
        <v/>
      </c>
      <c r="BF50" s="44">
        <f>IF(AM50=1,$AG50/(1+($AF$8+메인!$A$104/10000)/2)^(AN50-1),0)</f>
        <v/>
      </c>
    </row>
    <row r="51">
      <c r="A51" s="42" t="n">
        <v>37</v>
      </c>
      <c r="B51" s="43">
        <f>EDATE($B$2,-6*(62-$A51))</f>
        <v/>
      </c>
      <c r="C51" s="44">
        <f>IF(AND(B51&gt;$B$3,B51&lt;=$B$2),IF(B51=$B$2,$B$5+100,$B$5),0)</f>
        <v/>
      </c>
      <c r="D51" s="42">
        <f>IF(AND($C51&gt;0,B51&gt;$B$6),1,0)</f>
        <v/>
      </c>
      <c r="E51" s="42">
        <f>IF(D51=1,SUM($D$15:D51),"")</f>
        <v/>
      </c>
      <c r="F51" s="44">
        <f>IF(D51=1,$C51/(1+$B$8/2)^(E51-1),0)</f>
        <v/>
      </c>
      <c r="G51" s="44">
        <f>IF(D51=1,$C51/(1+($B$8+0.0001)/2)^(E51-1),0)</f>
        <v/>
      </c>
      <c r="H51" s="44">
        <f>IF(D51=1,$C51/(1+($B$8-0.0001)/2)^(E51-1),0)</f>
        <v/>
      </c>
      <c r="I51" s="42">
        <f>IF(AND($C51&gt;0,B51&gt;$B$7),1,0)</f>
        <v/>
      </c>
      <c r="J51" s="42">
        <f>IF(I51=1,SUM($I$15:I51),"")</f>
        <v/>
      </c>
      <c r="K51" s="44">
        <f>IF(I51=1,$C51/(1+$B$99/2)^(J51-1),0)</f>
        <v/>
      </c>
      <c r="L51" s="44">
        <f>IF(I51=1,$C51/(1+($B$99+0.0001)/2)^(J51-1),0)</f>
        <v/>
      </c>
      <c r="M51" s="44">
        <f>IF(I51=1,$C51/(1+($B$99-0.0001)/2)^(J51-1),0)</f>
        <v/>
      </c>
      <c r="N51" s="44">
        <f>IF(I51=1,$C51/(1+$B$104/2)^(J51-1),0)</f>
        <v/>
      </c>
      <c r="O51" s="44">
        <f>IF(I51=1,$C51/(1+($B$104+0.0001)/2)^(J51-1),0)</f>
        <v/>
      </c>
      <c r="P51" s="44">
        <f>IF(I51=1,$C51/(1+($B$104-0.0001)/2)^(J51-1),0)</f>
        <v/>
      </c>
      <c r="Q51" s="44">
        <f>IF(I51=1,$C51/(1+$B$109/2)^(J51-1),0)</f>
        <v/>
      </c>
      <c r="R51" s="44">
        <f>IF(AND($C51&gt;0,B51&gt;$B$6,B51&lt;=$B$7),$C51*(1+$B$9*($B$7-B51)/365),0)</f>
        <v/>
      </c>
      <c r="S51" s="44">
        <f>IF(I51=1,$C51/(1+($B$8+$B$10/10000)/2)^(J51-1),0)</f>
        <v/>
      </c>
      <c r="T51" s="44">
        <f>IF(I51=1,$C51/(1+($B$8+메인!$A$96/10000)/2)^(J51-1),0)</f>
        <v/>
      </c>
      <c r="U51" s="44">
        <f>IF(I51=1,$C51/(1+($B$8+메인!$A$97/10000)/2)^(J51-1),0)</f>
        <v/>
      </c>
      <c r="V51" s="44">
        <f>IF(I51=1,$C51/(1+($B$8+메인!$A$98/10000)/2)^(J51-1),0)</f>
        <v/>
      </c>
      <c r="W51" s="44">
        <f>IF(I51=1,$C51/(1+($B$8+메인!$A$99/10000)/2)^(J51-1),0)</f>
        <v/>
      </c>
      <c r="X51" s="44">
        <f>IF(I51=1,$C51/(1+($B$8+메인!$A$100/10000)/2)^(J51-1),0)</f>
        <v/>
      </c>
      <c r="Y51" s="44">
        <f>IF(I51=1,$C51/(1+($B$8+메인!$A$101/10000)/2)^(J51-1),0)</f>
        <v/>
      </c>
      <c r="Z51" s="44">
        <f>IF(I51=1,$C51/(1+($B$8+메인!$A$102/10000)/2)^(J51-1),0)</f>
        <v/>
      </c>
      <c r="AA51" s="44">
        <f>IF(I51=1,$C51/(1+($B$8+메인!$A$103/10000)/2)^(J51-1),0)</f>
        <v/>
      </c>
      <c r="AB51" s="44">
        <f>IF(I51=1,$C51/(1+($B$8+메인!$A$104/10000)/2)^(J51-1),0)</f>
        <v/>
      </c>
      <c r="AE51" s="42" t="n">
        <v>37</v>
      </c>
      <c r="AF51" s="43">
        <f>EDATE($AF$2,-6*(62-$AE51))</f>
        <v/>
      </c>
      <c r="AG51" s="44">
        <f>IF(AND(AF51&gt;$AF$3,AF51&lt;=$AF$2),IF(AF51=$AF$2,$AF$5+100,$AF$5),0)</f>
        <v/>
      </c>
      <c r="AH51" s="42">
        <f>IF(AND($AG51&gt;0,AF51&gt;$AF$6),1,0)</f>
        <v/>
      </c>
      <c r="AI51" s="42">
        <f>IF(AH51=1,SUM($AH$15:AH51),"")</f>
        <v/>
      </c>
      <c r="AJ51" s="44">
        <f>IF(AH51=1,$AG51/(1+$AF$8/2)^(AI51-1),0)</f>
        <v/>
      </c>
      <c r="AK51" s="44">
        <f>IF(AH51=1,$AG51/(1+($AF$8+0.0001)/2)^(AI51-1),0)</f>
        <v/>
      </c>
      <c r="AL51" s="44">
        <f>IF(AH51=1,$AG51/(1+($AF$8-0.0001)/2)^(AI51-1),0)</f>
        <v/>
      </c>
      <c r="AM51" s="42">
        <f>IF(AND($AG51&gt;0,AF51&gt;$AF$7),1,0)</f>
        <v/>
      </c>
      <c r="AN51" s="42">
        <f>IF(AM51=1,SUM($AM$15:AM51),"")</f>
        <v/>
      </c>
      <c r="AO51" s="44">
        <f>IF(AM51=1,$AG51/(1+$AF$99/2)^(AN51-1),0)</f>
        <v/>
      </c>
      <c r="AP51" s="44">
        <f>IF(AM51=1,$AG51/(1+($AF$99+0.0001)/2)^(AN51-1),0)</f>
        <v/>
      </c>
      <c r="AQ51" s="44">
        <f>IF(AM51=1,$AG51/(1+($AF$99-0.0001)/2)^(AN51-1),0)</f>
        <v/>
      </c>
      <c r="AR51" s="44">
        <f>IF(AM51=1,$AG51/(1+$AF$104/2)^(AN51-1),0)</f>
        <v/>
      </c>
      <c r="AS51" s="44">
        <f>IF(AM51=1,$AG51/(1+($AF$104+0.0001)/2)^(AN51-1),0)</f>
        <v/>
      </c>
      <c r="AT51" s="44">
        <f>IF(AM51=1,$AG51/(1+($AF$104-0.0001)/2)^(AN51-1),0)</f>
        <v/>
      </c>
      <c r="AU51" s="44">
        <f>IF(AM51=1,$AG51/(1+$AF$109/2)^(AN51-1),0)</f>
        <v/>
      </c>
      <c r="AV51" s="44">
        <f>IF(AND($AG51&gt;0,AF51&gt;$AF$6,AF51&lt;=$AF$7),$AG51*(1+$AF$9*($AF$7-AF51)/365),0)</f>
        <v/>
      </c>
      <c r="AW51" s="44">
        <f>IF(AM51=1,$AG51/(1+($AF$8+$AF$10/10000)/2)^(AN51-1),0)</f>
        <v/>
      </c>
      <c r="AX51" s="44">
        <f>IF(AM51=1,$AG51/(1+($AF$8+메인!$A$96/10000)/2)^(AN51-1),0)</f>
        <v/>
      </c>
      <c r="AY51" s="44">
        <f>IF(AM51=1,$AG51/(1+($AF$8+메인!$A$97/10000)/2)^(AN51-1),0)</f>
        <v/>
      </c>
      <c r="AZ51" s="44">
        <f>IF(AM51=1,$AG51/(1+($AF$8+메인!$A$98/10000)/2)^(AN51-1),0)</f>
        <v/>
      </c>
      <c r="BA51" s="44">
        <f>IF(AM51=1,$AG51/(1+($AF$8+메인!$A$99/10000)/2)^(AN51-1),0)</f>
        <v/>
      </c>
      <c r="BB51" s="44">
        <f>IF(AM51=1,$AG51/(1+($AF$8+메인!$A$100/10000)/2)^(AN51-1),0)</f>
        <v/>
      </c>
      <c r="BC51" s="44">
        <f>IF(AM51=1,$AG51/(1+($AF$8+메인!$A$101/10000)/2)^(AN51-1),0)</f>
        <v/>
      </c>
      <c r="BD51" s="44">
        <f>IF(AM51=1,$AG51/(1+($AF$8+메인!$A$102/10000)/2)^(AN51-1),0)</f>
        <v/>
      </c>
      <c r="BE51" s="44">
        <f>IF(AM51=1,$AG51/(1+($AF$8+메인!$A$103/10000)/2)^(AN51-1),0)</f>
        <v/>
      </c>
      <c r="BF51" s="44">
        <f>IF(AM51=1,$AG51/(1+($AF$8+메인!$A$104/10000)/2)^(AN51-1),0)</f>
        <v/>
      </c>
    </row>
    <row r="52">
      <c r="A52" s="42" t="n">
        <v>38</v>
      </c>
      <c r="B52" s="43">
        <f>EDATE($B$2,-6*(62-$A52))</f>
        <v/>
      </c>
      <c r="C52" s="44">
        <f>IF(AND(B52&gt;$B$3,B52&lt;=$B$2),IF(B52=$B$2,$B$5+100,$B$5),0)</f>
        <v/>
      </c>
      <c r="D52" s="42">
        <f>IF(AND($C52&gt;0,B52&gt;$B$6),1,0)</f>
        <v/>
      </c>
      <c r="E52" s="42">
        <f>IF(D52=1,SUM($D$15:D52),"")</f>
        <v/>
      </c>
      <c r="F52" s="44">
        <f>IF(D52=1,$C52/(1+$B$8/2)^(E52-1),0)</f>
        <v/>
      </c>
      <c r="G52" s="44">
        <f>IF(D52=1,$C52/(1+($B$8+0.0001)/2)^(E52-1),0)</f>
        <v/>
      </c>
      <c r="H52" s="44">
        <f>IF(D52=1,$C52/(1+($B$8-0.0001)/2)^(E52-1),0)</f>
        <v/>
      </c>
      <c r="I52" s="42">
        <f>IF(AND($C52&gt;0,B52&gt;$B$7),1,0)</f>
        <v/>
      </c>
      <c r="J52" s="42">
        <f>IF(I52=1,SUM($I$15:I52),"")</f>
        <v/>
      </c>
      <c r="K52" s="44">
        <f>IF(I52=1,$C52/(1+$B$99/2)^(J52-1),0)</f>
        <v/>
      </c>
      <c r="L52" s="44">
        <f>IF(I52=1,$C52/(1+($B$99+0.0001)/2)^(J52-1),0)</f>
        <v/>
      </c>
      <c r="M52" s="44">
        <f>IF(I52=1,$C52/(1+($B$99-0.0001)/2)^(J52-1),0)</f>
        <v/>
      </c>
      <c r="N52" s="44">
        <f>IF(I52=1,$C52/(1+$B$104/2)^(J52-1),0)</f>
        <v/>
      </c>
      <c r="O52" s="44">
        <f>IF(I52=1,$C52/(1+($B$104+0.0001)/2)^(J52-1),0)</f>
        <v/>
      </c>
      <c r="P52" s="44">
        <f>IF(I52=1,$C52/(1+($B$104-0.0001)/2)^(J52-1),0)</f>
        <v/>
      </c>
      <c r="Q52" s="44">
        <f>IF(I52=1,$C52/(1+$B$109/2)^(J52-1),0)</f>
        <v/>
      </c>
      <c r="R52" s="44">
        <f>IF(AND($C52&gt;0,B52&gt;$B$6,B52&lt;=$B$7),$C52*(1+$B$9*($B$7-B52)/365),0)</f>
        <v/>
      </c>
      <c r="S52" s="44">
        <f>IF(I52=1,$C52/(1+($B$8+$B$10/10000)/2)^(J52-1),0)</f>
        <v/>
      </c>
      <c r="T52" s="44">
        <f>IF(I52=1,$C52/(1+($B$8+메인!$A$96/10000)/2)^(J52-1),0)</f>
        <v/>
      </c>
      <c r="U52" s="44">
        <f>IF(I52=1,$C52/(1+($B$8+메인!$A$97/10000)/2)^(J52-1),0)</f>
        <v/>
      </c>
      <c r="V52" s="44">
        <f>IF(I52=1,$C52/(1+($B$8+메인!$A$98/10000)/2)^(J52-1),0)</f>
        <v/>
      </c>
      <c r="W52" s="44">
        <f>IF(I52=1,$C52/(1+($B$8+메인!$A$99/10000)/2)^(J52-1),0)</f>
        <v/>
      </c>
      <c r="X52" s="44">
        <f>IF(I52=1,$C52/(1+($B$8+메인!$A$100/10000)/2)^(J52-1),0)</f>
        <v/>
      </c>
      <c r="Y52" s="44">
        <f>IF(I52=1,$C52/(1+($B$8+메인!$A$101/10000)/2)^(J52-1),0)</f>
        <v/>
      </c>
      <c r="Z52" s="44">
        <f>IF(I52=1,$C52/(1+($B$8+메인!$A$102/10000)/2)^(J52-1),0)</f>
        <v/>
      </c>
      <c r="AA52" s="44">
        <f>IF(I52=1,$C52/(1+($B$8+메인!$A$103/10000)/2)^(J52-1),0)</f>
        <v/>
      </c>
      <c r="AB52" s="44">
        <f>IF(I52=1,$C52/(1+($B$8+메인!$A$104/10000)/2)^(J52-1),0)</f>
        <v/>
      </c>
      <c r="AE52" s="42" t="n">
        <v>38</v>
      </c>
      <c r="AF52" s="43">
        <f>EDATE($AF$2,-6*(62-$AE52))</f>
        <v/>
      </c>
      <c r="AG52" s="44">
        <f>IF(AND(AF52&gt;$AF$3,AF52&lt;=$AF$2),IF(AF52=$AF$2,$AF$5+100,$AF$5),0)</f>
        <v/>
      </c>
      <c r="AH52" s="42">
        <f>IF(AND($AG52&gt;0,AF52&gt;$AF$6),1,0)</f>
        <v/>
      </c>
      <c r="AI52" s="42">
        <f>IF(AH52=1,SUM($AH$15:AH52),"")</f>
        <v/>
      </c>
      <c r="AJ52" s="44">
        <f>IF(AH52=1,$AG52/(1+$AF$8/2)^(AI52-1),0)</f>
        <v/>
      </c>
      <c r="AK52" s="44">
        <f>IF(AH52=1,$AG52/(1+($AF$8+0.0001)/2)^(AI52-1),0)</f>
        <v/>
      </c>
      <c r="AL52" s="44">
        <f>IF(AH52=1,$AG52/(1+($AF$8-0.0001)/2)^(AI52-1),0)</f>
        <v/>
      </c>
      <c r="AM52" s="42">
        <f>IF(AND($AG52&gt;0,AF52&gt;$AF$7),1,0)</f>
        <v/>
      </c>
      <c r="AN52" s="42">
        <f>IF(AM52=1,SUM($AM$15:AM52),"")</f>
        <v/>
      </c>
      <c r="AO52" s="44">
        <f>IF(AM52=1,$AG52/(1+$AF$99/2)^(AN52-1),0)</f>
        <v/>
      </c>
      <c r="AP52" s="44">
        <f>IF(AM52=1,$AG52/(1+($AF$99+0.0001)/2)^(AN52-1),0)</f>
        <v/>
      </c>
      <c r="AQ52" s="44">
        <f>IF(AM52=1,$AG52/(1+($AF$99-0.0001)/2)^(AN52-1),0)</f>
        <v/>
      </c>
      <c r="AR52" s="44">
        <f>IF(AM52=1,$AG52/(1+$AF$104/2)^(AN52-1),0)</f>
        <v/>
      </c>
      <c r="AS52" s="44">
        <f>IF(AM52=1,$AG52/(1+($AF$104+0.0001)/2)^(AN52-1),0)</f>
        <v/>
      </c>
      <c r="AT52" s="44">
        <f>IF(AM52=1,$AG52/(1+($AF$104-0.0001)/2)^(AN52-1),0)</f>
        <v/>
      </c>
      <c r="AU52" s="44">
        <f>IF(AM52=1,$AG52/(1+$AF$109/2)^(AN52-1),0)</f>
        <v/>
      </c>
      <c r="AV52" s="44">
        <f>IF(AND($AG52&gt;0,AF52&gt;$AF$6,AF52&lt;=$AF$7),$AG52*(1+$AF$9*($AF$7-AF52)/365),0)</f>
        <v/>
      </c>
      <c r="AW52" s="44">
        <f>IF(AM52=1,$AG52/(1+($AF$8+$AF$10/10000)/2)^(AN52-1),0)</f>
        <v/>
      </c>
      <c r="AX52" s="44">
        <f>IF(AM52=1,$AG52/(1+($AF$8+메인!$A$96/10000)/2)^(AN52-1),0)</f>
        <v/>
      </c>
      <c r="AY52" s="44">
        <f>IF(AM52=1,$AG52/(1+($AF$8+메인!$A$97/10000)/2)^(AN52-1),0)</f>
        <v/>
      </c>
      <c r="AZ52" s="44">
        <f>IF(AM52=1,$AG52/(1+($AF$8+메인!$A$98/10000)/2)^(AN52-1),0)</f>
        <v/>
      </c>
      <c r="BA52" s="44">
        <f>IF(AM52=1,$AG52/(1+($AF$8+메인!$A$99/10000)/2)^(AN52-1),0)</f>
        <v/>
      </c>
      <c r="BB52" s="44">
        <f>IF(AM52=1,$AG52/(1+($AF$8+메인!$A$100/10000)/2)^(AN52-1),0)</f>
        <v/>
      </c>
      <c r="BC52" s="44">
        <f>IF(AM52=1,$AG52/(1+($AF$8+메인!$A$101/10000)/2)^(AN52-1),0)</f>
        <v/>
      </c>
      <c r="BD52" s="44">
        <f>IF(AM52=1,$AG52/(1+($AF$8+메인!$A$102/10000)/2)^(AN52-1),0)</f>
        <v/>
      </c>
      <c r="BE52" s="44">
        <f>IF(AM52=1,$AG52/(1+($AF$8+메인!$A$103/10000)/2)^(AN52-1),0)</f>
        <v/>
      </c>
      <c r="BF52" s="44">
        <f>IF(AM52=1,$AG52/(1+($AF$8+메인!$A$104/10000)/2)^(AN52-1),0)</f>
        <v/>
      </c>
    </row>
    <row r="53">
      <c r="A53" s="42" t="n">
        <v>39</v>
      </c>
      <c r="B53" s="43">
        <f>EDATE($B$2,-6*(62-$A53))</f>
        <v/>
      </c>
      <c r="C53" s="44">
        <f>IF(AND(B53&gt;$B$3,B53&lt;=$B$2),IF(B53=$B$2,$B$5+100,$B$5),0)</f>
        <v/>
      </c>
      <c r="D53" s="42">
        <f>IF(AND($C53&gt;0,B53&gt;$B$6),1,0)</f>
        <v/>
      </c>
      <c r="E53" s="42">
        <f>IF(D53=1,SUM($D$15:D53),"")</f>
        <v/>
      </c>
      <c r="F53" s="44">
        <f>IF(D53=1,$C53/(1+$B$8/2)^(E53-1),0)</f>
        <v/>
      </c>
      <c r="G53" s="44">
        <f>IF(D53=1,$C53/(1+($B$8+0.0001)/2)^(E53-1),0)</f>
        <v/>
      </c>
      <c r="H53" s="44">
        <f>IF(D53=1,$C53/(1+($B$8-0.0001)/2)^(E53-1),0)</f>
        <v/>
      </c>
      <c r="I53" s="42">
        <f>IF(AND($C53&gt;0,B53&gt;$B$7),1,0)</f>
        <v/>
      </c>
      <c r="J53" s="42">
        <f>IF(I53=1,SUM($I$15:I53),"")</f>
        <v/>
      </c>
      <c r="K53" s="44">
        <f>IF(I53=1,$C53/(1+$B$99/2)^(J53-1),0)</f>
        <v/>
      </c>
      <c r="L53" s="44">
        <f>IF(I53=1,$C53/(1+($B$99+0.0001)/2)^(J53-1),0)</f>
        <v/>
      </c>
      <c r="M53" s="44">
        <f>IF(I53=1,$C53/(1+($B$99-0.0001)/2)^(J53-1),0)</f>
        <v/>
      </c>
      <c r="N53" s="44">
        <f>IF(I53=1,$C53/(1+$B$104/2)^(J53-1),0)</f>
        <v/>
      </c>
      <c r="O53" s="44">
        <f>IF(I53=1,$C53/(1+($B$104+0.0001)/2)^(J53-1),0)</f>
        <v/>
      </c>
      <c r="P53" s="44">
        <f>IF(I53=1,$C53/(1+($B$104-0.0001)/2)^(J53-1),0)</f>
        <v/>
      </c>
      <c r="Q53" s="44">
        <f>IF(I53=1,$C53/(1+$B$109/2)^(J53-1),0)</f>
        <v/>
      </c>
      <c r="R53" s="44">
        <f>IF(AND($C53&gt;0,B53&gt;$B$6,B53&lt;=$B$7),$C53*(1+$B$9*($B$7-B53)/365),0)</f>
        <v/>
      </c>
      <c r="S53" s="44">
        <f>IF(I53=1,$C53/(1+($B$8+$B$10/10000)/2)^(J53-1),0)</f>
        <v/>
      </c>
      <c r="T53" s="44">
        <f>IF(I53=1,$C53/(1+($B$8+메인!$A$96/10000)/2)^(J53-1),0)</f>
        <v/>
      </c>
      <c r="U53" s="44">
        <f>IF(I53=1,$C53/(1+($B$8+메인!$A$97/10000)/2)^(J53-1),0)</f>
        <v/>
      </c>
      <c r="V53" s="44">
        <f>IF(I53=1,$C53/(1+($B$8+메인!$A$98/10000)/2)^(J53-1),0)</f>
        <v/>
      </c>
      <c r="W53" s="44">
        <f>IF(I53=1,$C53/(1+($B$8+메인!$A$99/10000)/2)^(J53-1),0)</f>
        <v/>
      </c>
      <c r="X53" s="44">
        <f>IF(I53=1,$C53/(1+($B$8+메인!$A$100/10000)/2)^(J53-1),0)</f>
        <v/>
      </c>
      <c r="Y53" s="44">
        <f>IF(I53=1,$C53/(1+($B$8+메인!$A$101/10000)/2)^(J53-1),0)</f>
        <v/>
      </c>
      <c r="Z53" s="44">
        <f>IF(I53=1,$C53/(1+($B$8+메인!$A$102/10000)/2)^(J53-1),0)</f>
        <v/>
      </c>
      <c r="AA53" s="44">
        <f>IF(I53=1,$C53/(1+($B$8+메인!$A$103/10000)/2)^(J53-1),0)</f>
        <v/>
      </c>
      <c r="AB53" s="44">
        <f>IF(I53=1,$C53/(1+($B$8+메인!$A$104/10000)/2)^(J53-1),0)</f>
        <v/>
      </c>
      <c r="AE53" s="42" t="n">
        <v>39</v>
      </c>
      <c r="AF53" s="43">
        <f>EDATE($AF$2,-6*(62-$AE53))</f>
        <v/>
      </c>
      <c r="AG53" s="44">
        <f>IF(AND(AF53&gt;$AF$3,AF53&lt;=$AF$2),IF(AF53=$AF$2,$AF$5+100,$AF$5),0)</f>
        <v/>
      </c>
      <c r="AH53" s="42">
        <f>IF(AND($AG53&gt;0,AF53&gt;$AF$6),1,0)</f>
        <v/>
      </c>
      <c r="AI53" s="42">
        <f>IF(AH53=1,SUM($AH$15:AH53),"")</f>
        <v/>
      </c>
      <c r="AJ53" s="44">
        <f>IF(AH53=1,$AG53/(1+$AF$8/2)^(AI53-1),0)</f>
        <v/>
      </c>
      <c r="AK53" s="44">
        <f>IF(AH53=1,$AG53/(1+($AF$8+0.0001)/2)^(AI53-1),0)</f>
        <v/>
      </c>
      <c r="AL53" s="44">
        <f>IF(AH53=1,$AG53/(1+($AF$8-0.0001)/2)^(AI53-1),0)</f>
        <v/>
      </c>
      <c r="AM53" s="42">
        <f>IF(AND($AG53&gt;0,AF53&gt;$AF$7),1,0)</f>
        <v/>
      </c>
      <c r="AN53" s="42">
        <f>IF(AM53=1,SUM($AM$15:AM53),"")</f>
        <v/>
      </c>
      <c r="AO53" s="44">
        <f>IF(AM53=1,$AG53/(1+$AF$99/2)^(AN53-1),0)</f>
        <v/>
      </c>
      <c r="AP53" s="44">
        <f>IF(AM53=1,$AG53/(1+($AF$99+0.0001)/2)^(AN53-1),0)</f>
        <v/>
      </c>
      <c r="AQ53" s="44">
        <f>IF(AM53=1,$AG53/(1+($AF$99-0.0001)/2)^(AN53-1),0)</f>
        <v/>
      </c>
      <c r="AR53" s="44">
        <f>IF(AM53=1,$AG53/(1+$AF$104/2)^(AN53-1),0)</f>
        <v/>
      </c>
      <c r="AS53" s="44">
        <f>IF(AM53=1,$AG53/(1+($AF$104+0.0001)/2)^(AN53-1),0)</f>
        <v/>
      </c>
      <c r="AT53" s="44">
        <f>IF(AM53=1,$AG53/(1+($AF$104-0.0001)/2)^(AN53-1),0)</f>
        <v/>
      </c>
      <c r="AU53" s="44">
        <f>IF(AM53=1,$AG53/(1+$AF$109/2)^(AN53-1),0)</f>
        <v/>
      </c>
      <c r="AV53" s="44">
        <f>IF(AND($AG53&gt;0,AF53&gt;$AF$6,AF53&lt;=$AF$7),$AG53*(1+$AF$9*($AF$7-AF53)/365),0)</f>
        <v/>
      </c>
      <c r="AW53" s="44">
        <f>IF(AM53=1,$AG53/(1+($AF$8+$AF$10/10000)/2)^(AN53-1),0)</f>
        <v/>
      </c>
      <c r="AX53" s="44">
        <f>IF(AM53=1,$AG53/(1+($AF$8+메인!$A$96/10000)/2)^(AN53-1),0)</f>
        <v/>
      </c>
      <c r="AY53" s="44">
        <f>IF(AM53=1,$AG53/(1+($AF$8+메인!$A$97/10000)/2)^(AN53-1),0)</f>
        <v/>
      </c>
      <c r="AZ53" s="44">
        <f>IF(AM53=1,$AG53/(1+($AF$8+메인!$A$98/10000)/2)^(AN53-1),0)</f>
        <v/>
      </c>
      <c r="BA53" s="44">
        <f>IF(AM53=1,$AG53/(1+($AF$8+메인!$A$99/10000)/2)^(AN53-1),0)</f>
        <v/>
      </c>
      <c r="BB53" s="44">
        <f>IF(AM53=1,$AG53/(1+($AF$8+메인!$A$100/10000)/2)^(AN53-1),0)</f>
        <v/>
      </c>
      <c r="BC53" s="44">
        <f>IF(AM53=1,$AG53/(1+($AF$8+메인!$A$101/10000)/2)^(AN53-1),0)</f>
        <v/>
      </c>
      <c r="BD53" s="44">
        <f>IF(AM53=1,$AG53/(1+($AF$8+메인!$A$102/10000)/2)^(AN53-1),0)</f>
        <v/>
      </c>
      <c r="BE53" s="44">
        <f>IF(AM53=1,$AG53/(1+($AF$8+메인!$A$103/10000)/2)^(AN53-1),0)</f>
        <v/>
      </c>
      <c r="BF53" s="44">
        <f>IF(AM53=1,$AG53/(1+($AF$8+메인!$A$104/10000)/2)^(AN53-1),0)</f>
        <v/>
      </c>
    </row>
    <row r="54">
      <c r="A54" s="42" t="n">
        <v>40</v>
      </c>
      <c r="B54" s="43">
        <f>EDATE($B$2,-6*(62-$A54))</f>
        <v/>
      </c>
      <c r="C54" s="44">
        <f>IF(AND(B54&gt;$B$3,B54&lt;=$B$2),IF(B54=$B$2,$B$5+100,$B$5),0)</f>
        <v/>
      </c>
      <c r="D54" s="42">
        <f>IF(AND($C54&gt;0,B54&gt;$B$6),1,0)</f>
        <v/>
      </c>
      <c r="E54" s="42">
        <f>IF(D54=1,SUM($D$15:D54),"")</f>
        <v/>
      </c>
      <c r="F54" s="44">
        <f>IF(D54=1,$C54/(1+$B$8/2)^(E54-1),0)</f>
        <v/>
      </c>
      <c r="G54" s="44">
        <f>IF(D54=1,$C54/(1+($B$8+0.0001)/2)^(E54-1),0)</f>
        <v/>
      </c>
      <c r="H54" s="44">
        <f>IF(D54=1,$C54/(1+($B$8-0.0001)/2)^(E54-1),0)</f>
        <v/>
      </c>
      <c r="I54" s="42">
        <f>IF(AND($C54&gt;0,B54&gt;$B$7),1,0)</f>
        <v/>
      </c>
      <c r="J54" s="42">
        <f>IF(I54=1,SUM($I$15:I54),"")</f>
        <v/>
      </c>
      <c r="K54" s="44">
        <f>IF(I54=1,$C54/(1+$B$99/2)^(J54-1),0)</f>
        <v/>
      </c>
      <c r="L54" s="44">
        <f>IF(I54=1,$C54/(1+($B$99+0.0001)/2)^(J54-1),0)</f>
        <v/>
      </c>
      <c r="M54" s="44">
        <f>IF(I54=1,$C54/(1+($B$99-0.0001)/2)^(J54-1),0)</f>
        <v/>
      </c>
      <c r="N54" s="44">
        <f>IF(I54=1,$C54/(1+$B$104/2)^(J54-1),0)</f>
        <v/>
      </c>
      <c r="O54" s="44">
        <f>IF(I54=1,$C54/(1+($B$104+0.0001)/2)^(J54-1),0)</f>
        <v/>
      </c>
      <c r="P54" s="44">
        <f>IF(I54=1,$C54/(1+($B$104-0.0001)/2)^(J54-1),0)</f>
        <v/>
      </c>
      <c r="Q54" s="44">
        <f>IF(I54=1,$C54/(1+$B$109/2)^(J54-1),0)</f>
        <v/>
      </c>
      <c r="R54" s="44">
        <f>IF(AND($C54&gt;0,B54&gt;$B$6,B54&lt;=$B$7),$C54*(1+$B$9*($B$7-B54)/365),0)</f>
        <v/>
      </c>
      <c r="S54" s="44">
        <f>IF(I54=1,$C54/(1+($B$8+$B$10/10000)/2)^(J54-1),0)</f>
        <v/>
      </c>
      <c r="T54" s="44">
        <f>IF(I54=1,$C54/(1+($B$8+메인!$A$96/10000)/2)^(J54-1),0)</f>
        <v/>
      </c>
      <c r="U54" s="44">
        <f>IF(I54=1,$C54/(1+($B$8+메인!$A$97/10000)/2)^(J54-1),0)</f>
        <v/>
      </c>
      <c r="V54" s="44">
        <f>IF(I54=1,$C54/(1+($B$8+메인!$A$98/10000)/2)^(J54-1),0)</f>
        <v/>
      </c>
      <c r="W54" s="44">
        <f>IF(I54=1,$C54/(1+($B$8+메인!$A$99/10000)/2)^(J54-1),0)</f>
        <v/>
      </c>
      <c r="X54" s="44">
        <f>IF(I54=1,$C54/(1+($B$8+메인!$A$100/10000)/2)^(J54-1),0)</f>
        <v/>
      </c>
      <c r="Y54" s="44">
        <f>IF(I54=1,$C54/(1+($B$8+메인!$A$101/10000)/2)^(J54-1),0)</f>
        <v/>
      </c>
      <c r="Z54" s="44">
        <f>IF(I54=1,$C54/(1+($B$8+메인!$A$102/10000)/2)^(J54-1),0)</f>
        <v/>
      </c>
      <c r="AA54" s="44">
        <f>IF(I54=1,$C54/(1+($B$8+메인!$A$103/10000)/2)^(J54-1),0)</f>
        <v/>
      </c>
      <c r="AB54" s="44">
        <f>IF(I54=1,$C54/(1+($B$8+메인!$A$104/10000)/2)^(J54-1),0)</f>
        <v/>
      </c>
      <c r="AE54" s="42" t="n">
        <v>40</v>
      </c>
      <c r="AF54" s="43">
        <f>EDATE($AF$2,-6*(62-$AE54))</f>
        <v/>
      </c>
      <c r="AG54" s="44">
        <f>IF(AND(AF54&gt;$AF$3,AF54&lt;=$AF$2),IF(AF54=$AF$2,$AF$5+100,$AF$5),0)</f>
        <v/>
      </c>
      <c r="AH54" s="42">
        <f>IF(AND($AG54&gt;0,AF54&gt;$AF$6),1,0)</f>
        <v/>
      </c>
      <c r="AI54" s="42">
        <f>IF(AH54=1,SUM($AH$15:AH54),"")</f>
        <v/>
      </c>
      <c r="AJ54" s="44">
        <f>IF(AH54=1,$AG54/(1+$AF$8/2)^(AI54-1),0)</f>
        <v/>
      </c>
      <c r="AK54" s="44">
        <f>IF(AH54=1,$AG54/(1+($AF$8+0.0001)/2)^(AI54-1),0)</f>
        <v/>
      </c>
      <c r="AL54" s="44">
        <f>IF(AH54=1,$AG54/(1+($AF$8-0.0001)/2)^(AI54-1),0)</f>
        <v/>
      </c>
      <c r="AM54" s="42">
        <f>IF(AND($AG54&gt;0,AF54&gt;$AF$7),1,0)</f>
        <v/>
      </c>
      <c r="AN54" s="42">
        <f>IF(AM54=1,SUM($AM$15:AM54),"")</f>
        <v/>
      </c>
      <c r="AO54" s="44">
        <f>IF(AM54=1,$AG54/(1+$AF$99/2)^(AN54-1),0)</f>
        <v/>
      </c>
      <c r="AP54" s="44">
        <f>IF(AM54=1,$AG54/(1+($AF$99+0.0001)/2)^(AN54-1),0)</f>
        <v/>
      </c>
      <c r="AQ54" s="44">
        <f>IF(AM54=1,$AG54/(1+($AF$99-0.0001)/2)^(AN54-1),0)</f>
        <v/>
      </c>
      <c r="AR54" s="44">
        <f>IF(AM54=1,$AG54/(1+$AF$104/2)^(AN54-1),0)</f>
        <v/>
      </c>
      <c r="AS54" s="44">
        <f>IF(AM54=1,$AG54/(1+($AF$104+0.0001)/2)^(AN54-1),0)</f>
        <v/>
      </c>
      <c r="AT54" s="44">
        <f>IF(AM54=1,$AG54/(1+($AF$104-0.0001)/2)^(AN54-1),0)</f>
        <v/>
      </c>
      <c r="AU54" s="44">
        <f>IF(AM54=1,$AG54/(1+$AF$109/2)^(AN54-1),0)</f>
        <v/>
      </c>
      <c r="AV54" s="44">
        <f>IF(AND($AG54&gt;0,AF54&gt;$AF$6,AF54&lt;=$AF$7),$AG54*(1+$AF$9*($AF$7-AF54)/365),0)</f>
        <v/>
      </c>
      <c r="AW54" s="44">
        <f>IF(AM54=1,$AG54/(1+($AF$8+$AF$10/10000)/2)^(AN54-1),0)</f>
        <v/>
      </c>
      <c r="AX54" s="44">
        <f>IF(AM54=1,$AG54/(1+($AF$8+메인!$A$96/10000)/2)^(AN54-1),0)</f>
        <v/>
      </c>
      <c r="AY54" s="44">
        <f>IF(AM54=1,$AG54/(1+($AF$8+메인!$A$97/10000)/2)^(AN54-1),0)</f>
        <v/>
      </c>
      <c r="AZ54" s="44">
        <f>IF(AM54=1,$AG54/(1+($AF$8+메인!$A$98/10000)/2)^(AN54-1),0)</f>
        <v/>
      </c>
      <c r="BA54" s="44">
        <f>IF(AM54=1,$AG54/(1+($AF$8+메인!$A$99/10000)/2)^(AN54-1),0)</f>
        <v/>
      </c>
      <c r="BB54" s="44">
        <f>IF(AM54=1,$AG54/(1+($AF$8+메인!$A$100/10000)/2)^(AN54-1),0)</f>
        <v/>
      </c>
      <c r="BC54" s="44">
        <f>IF(AM54=1,$AG54/(1+($AF$8+메인!$A$101/10000)/2)^(AN54-1),0)</f>
        <v/>
      </c>
      <c r="BD54" s="44">
        <f>IF(AM54=1,$AG54/(1+($AF$8+메인!$A$102/10000)/2)^(AN54-1),0)</f>
        <v/>
      </c>
      <c r="BE54" s="44">
        <f>IF(AM54=1,$AG54/(1+($AF$8+메인!$A$103/10000)/2)^(AN54-1),0)</f>
        <v/>
      </c>
      <c r="BF54" s="44">
        <f>IF(AM54=1,$AG54/(1+($AF$8+메인!$A$104/10000)/2)^(AN54-1),0)</f>
        <v/>
      </c>
    </row>
    <row r="55">
      <c r="A55" s="42" t="n">
        <v>41</v>
      </c>
      <c r="B55" s="43">
        <f>EDATE($B$2,-6*(62-$A55))</f>
        <v/>
      </c>
      <c r="C55" s="44">
        <f>IF(AND(B55&gt;$B$3,B55&lt;=$B$2),IF(B55=$B$2,$B$5+100,$B$5),0)</f>
        <v/>
      </c>
      <c r="D55" s="42">
        <f>IF(AND($C55&gt;0,B55&gt;$B$6),1,0)</f>
        <v/>
      </c>
      <c r="E55" s="42">
        <f>IF(D55=1,SUM($D$15:D55),"")</f>
        <v/>
      </c>
      <c r="F55" s="44">
        <f>IF(D55=1,$C55/(1+$B$8/2)^(E55-1),0)</f>
        <v/>
      </c>
      <c r="G55" s="44">
        <f>IF(D55=1,$C55/(1+($B$8+0.0001)/2)^(E55-1),0)</f>
        <v/>
      </c>
      <c r="H55" s="44">
        <f>IF(D55=1,$C55/(1+($B$8-0.0001)/2)^(E55-1),0)</f>
        <v/>
      </c>
      <c r="I55" s="42">
        <f>IF(AND($C55&gt;0,B55&gt;$B$7),1,0)</f>
        <v/>
      </c>
      <c r="J55" s="42">
        <f>IF(I55=1,SUM($I$15:I55),"")</f>
        <v/>
      </c>
      <c r="K55" s="44">
        <f>IF(I55=1,$C55/(1+$B$99/2)^(J55-1),0)</f>
        <v/>
      </c>
      <c r="L55" s="44">
        <f>IF(I55=1,$C55/(1+($B$99+0.0001)/2)^(J55-1),0)</f>
        <v/>
      </c>
      <c r="M55" s="44">
        <f>IF(I55=1,$C55/(1+($B$99-0.0001)/2)^(J55-1),0)</f>
        <v/>
      </c>
      <c r="N55" s="44">
        <f>IF(I55=1,$C55/(1+$B$104/2)^(J55-1),0)</f>
        <v/>
      </c>
      <c r="O55" s="44">
        <f>IF(I55=1,$C55/(1+($B$104+0.0001)/2)^(J55-1),0)</f>
        <v/>
      </c>
      <c r="P55" s="44">
        <f>IF(I55=1,$C55/(1+($B$104-0.0001)/2)^(J55-1),0)</f>
        <v/>
      </c>
      <c r="Q55" s="44">
        <f>IF(I55=1,$C55/(1+$B$109/2)^(J55-1),0)</f>
        <v/>
      </c>
      <c r="R55" s="44">
        <f>IF(AND($C55&gt;0,B55&gt;$B$6,B55&lt;=$B$7),$C55*(1+$B$9*($B$7-B55)/365),0)</f>
        <v/>
      </c>
      <c r="S55" s="44">
        <f>IF(I55=1,$C55/(1+($B$8+$B$10/10000)/2)^(J55-1),0)</f>
        <v/>
      </c>
      <c r="T55" s="44">
        <f>IF(I55=1,$C55/(1+($B$8+메인!$A$96/10000)/2)^(J55-1),0)</f>
        <v/>
      </c>
      <c r="U55" s="44">
        <f>IF(I55=1,$C55/(1+($B$8+메인!$A$97/10000)/2)^(J55-1),0)</f>
        <v/>
      </c>
      <c r="V55" s="44">
        <f>IF(I55=1,$C55/(1+($B$8+메인!$A$98/10000)/2)^(J55-1),0)</f>
        <v/>
      </c>
      <c r="W55" s="44">
        <f>IF(I55=1,$C55/(1+($B$8+메인!$A$99/10000)/2)^(J55-1),0)</f>
        <v/>
      </c>
      <c r="X55" s="44">
        <f>IF(I55=1,$C55/(1+($B$8+메인!$A$100/10000)/2)^(J55-1),0)</f>
        <v/>
      </c>
      <c r="Y55" s="44">
        <f>IF(I55=1,$C55/(1+($B$8+메인!$A$101/10000)/2)^(J55-1),0)</f>
        <v/>
      </c>
      <c r="Z55" s="44">
        <f>IF(I55=1,$C55/(1+($B$8+메인!$A$102/10000)/2)^(J55-1),0)</f>
        <v/>
      </c>
      <c r="AA55" s="44">
        <f>IF(I55=1,$C55/(1+($B$8+메인!$A$103/10000)/2)^(J55-1),0)</f>
        <v/>
      </c>
      <c r="AB55" s="44">
        <f>IF(I55=1,$C55/(1+($B$8+메인!$A$104/10000)/2)^(J55-1),0)</f>
        <v/>
      </c>
      <c r="AE55" s="42" t="n">
        <v>41</v>
      </c>
      <c r="AF55" s="43">
        <f>EDATE($AF$2,-6*(62-$AE55))</f>
        <v/>
      </c>
      <c r="AG55" s="44">
        <f>IF(AND(AF55&gt;$AF$3,AF55&lt;=$AF$2),IF(AF55=$AF$2,$AF$5+100,$AF$5),0)</f>
        <v/>
      </c>
      <c r="AH55" s="42">
        <f>IF(AND($AG55&gt;0,AF55&gt;$AF$6),1,0)</f>
        <v/>
      </c>
      <c r="AI55" s="42">
        <f>IF(AH55=1,SUM($AH$15:AH55),"")</f>
        <v/>
      </c>
      <c r="AJ55" s="44">
        <f>IF(AH55=1,$AG55/(1+$AF$8/2)^(AI55-1),0)</f>
        <v/>
      </c>
      <c r="AK55" s="44">
        <f>IF(AH55=1,$AG55/(1+($AF$8+0.0001)/2)^(AI55-1),0)</f>
        <v/>
      </c>
      <c r="AL55" s="44">
        <f>IF(AH55=1,$AG55/(1+($AF$8-0.0001)/2)^(AI55-1),0)</f>
        <v/>
      </c>
      <c r="AM55" s="42">
        <f>IF(AND($AG55&gt;0,AF55&gt;$AF$7),1,0)</f>
        <v/>
      </c>
      <c r="AN55" s="42">
        <f>IF(AM55=1,SUM($AM$15:AM55),"")</f>
        <v/>
      </c>
      <c r="AO55" s="44">
        <f>IF(AM55=1,$AG55/(1+$AF$99/2)^(AN55-1),0)</f>
        <v/>
      </c>
      <c r="AP55" s="44">
        <f>IF(AM55=1,$AG55/(1+($AF$99+0.0001)/2)^(AN55-1),0)</f>
        <v/>
      </c>
      <c r="AQ55" s="44">
        <f>IF(AM55=1,$AG55/(1+($AF$99-0.0001)/2)^(AN55-1),0)</f>
        <v/>
      </c>
      <c r="AR55" s="44">
        <f>IF(AM55=1,$AG55/(1+$AF$104/2)^(AN55-1),0)</f>
        <v/>
      </c>
      <c r="AS55" s="44">
        <f>IF(AM55=1,$AG55/(1+($AF$104+0.0001)/2)^(AN55-1),0)</f>
        <v/>
      </c>
      <c r="AT55" s="44">
        <f>IF(AM55=1,$AG55/(1+($AF$104-0.0001)/2)^(AN55-1),0)</f>
        <v/>
      </c>
      <c r="AU55" s="44">
        <f>IF(AM55=1,$AG55/(1+$AF$109/2)^(AN55-1),0)</f>
        <v/>
      </c>
      <c r="AV55" s="44">
        <f>IF(AND($AG55&gt;0,AF55&gt;$AF$6,AF55&lt;=$AF$7),$AG55*(1+$AF$9*($AF$7-AF55)/365),0)</f>
        <v/>
      </c>
      <c r="AW55" s="44">
        <f>IF(AM55=1,$AG55/(1+($AF$8+$AF$10/10000)/2)^(AN55-1),0)</f>
        <v/>
      </c>
      <c r="AX55" s="44">
        <f>IF(AM55=1,$AG55/(1+($AF$8+메인!$A$96/10000)/2)^(AN55-1),0)</f>
        <v/>
      </c>
      <c r="AY55" s="44">
        <f>IF(AM55=1,$AG55/(1+($AF$8+메인!$A$97/10000)/2)^(AN55-1),0)</f>
        <v/>
      </c>
      <c r="AZ55" s="44">
        <f>IF(AM55=1,$AG55/(1+($AF$8+메인!$A$98/10000)/2)^(AN55-1),0)</f>
        <v/>
      </c>
      <c r="BA55" s="44">
        <f>IF(AM55=1,$AG55/(1+($AF$8+메인!$A$99/10000)/2)^(AN55-1),0)</f>
        <v/>
      </c>
      <c r="BB55" s="44">
        <f>IF(AM55=1,$AG55/(1+($AF$8+메인!$A$100/10000)/2)^(AN55-1),0)</f>
        <v/>
      </c>
      <c r="BC55" s="44">
        <f>IF(AM55=1,$AG55/(1+($AF$8+메인!$A$101/10000)/2)^(AN55-1),0)</f>
        <v/>
      </c>
      <c r="BD55" s="44">
        <f>IF(AM55=1,$AG55/(1+($AF$8+메인!$A$102/10000)/2)^(AN55-1),0)</f>
        <v/>
      </c>
      <c r="BE55" s="44">
        <f>IF(AM55=1,$AG55/(1+($AF$8+메인!$A$103/10000)/2)^(AN55-1),0)</f>
        <v/>
      </c>
      <c r="BF55" s="44">
        <f>IF(AM55=1,$AG55/(1+($AF$8+메인!$A$104/10000)/2)^(AN55-1),0)</f>
        <v/>
      </c>
    </row>
    <row r="56">
      <c r="A56" s="42" t="n">
        <v>42</v>
      </c>
      <c r="B56" s="43">
        <f>EDATE($B$2,-6*(62-$A56))</f>
        <v/>
      </c>
      <c r="C56" s="44">
        <f>IF(AND(B56&gt;$B$3,B56&lt;=$B$2),IF(B56=$B$2,$B$5+100,$B$5),0)</f>
        <v/>
      </c>
      <c r="D56" s="42">
        <f>IF(AND($C56&gt;0,B56&gt;$B$6),1,0)</f>
        <v/>
      </c>
      <c r="E56" s="42">
        <f>IF(D56=1,SUM($D$15:D56),"")</f>
        <v/>
      </c>
      <c r="F56" s="44">
        <f>IF(D56=1,$C56/(1+$B$8/2)^(E56-1),0)</f>
        <v/>
      </c>
      <c r="G56" s="44">
        <f>IF(D56=1,$C56/(1+($B$8+0.0001)/2)^(E56-1),0)</f>
        <v/>
      </c>
      <c r="H56" s="44">
        <f>IF(D56=1,$C56/(1+($B$8-0.0001)/2)^(E56-1),0)</f>
        <v/>
      </c>
      <c r="I56" s="42">
        <f>IF(AND($C56&gt;0,B56&gt;$B$7),1,0)</f>
        <v/>
      </c>
      <c r="J56" s="42">
        <f>IF(I56=1,SUM($I$15:I56),"")</f>
        <v/>
      </c>
      <c r="K56" s="44">
        <f>IF(I56=1,$C56/(1+$B$99/2)^(J56-1),0)</f>
        <v/>
      </c>
      <c r="L56" s="44">
        <f>IF(I56=1,$C56/(1+($B$99+0.0001)/2)^(J56-1),0)</f>
        <v/>
      </c>
      <c r="M56" s="44">
        <f>IF(I56=1,$C56/(1+($B$99-0.0001)/2)^(J56-1),0)</f>
        <v/>
      </c>
      <c r="N56" s="44">
        <f>IF(I56=1,$C56/(1+$B$104/2)^(J56-1),0)</f>
        <v/>
      </c>
      <c r="O56" s="44">
        <f>IF(I56=1,$C56/(1+($B$104+0.0001)/2)^(J56-1),0)</f>
        <v/>
      </c>
      <c r="P56" s="44">
        <f>IF(I56=1,$C56/(1+($B$104-0.0001)/2)^(J56-1),0)</f>
        <v/>
      </c>
      <c r="Q56" s="44">
        <f>IF(I56=1,$C56/(1+$B$109/2)^(J56-1),0)</f>
        <v/>
      </c>
      <c r="R56" s="44">
        <f>IF(AND($C56&gt;0,B56&gt;$B$6,B56&lt;=$B$7),$C56*(1+$B$9*($B$7-B56)/365),0)</f>
        <v/>
      </c>
      <c r="S56" s="44">
        <f>IF(I56=1,$C56/(1+($B$8+$B$10/10000)/2)^(J56-1),0)</f>
        <v/>
      </c>
      <c r="T56" s="44">
        <f>IF(I56=1,$C56/(1+($B$8+메인!$A$96/10000)/2)^(J56-1),0)</f>
        <v/>
      </c>
      <c r="U56" s="44">
        <f>IF(I56=1,$C56/(1+($B$8+메인!$A$97/10000)/2)^(J56-1),0)</f>
        <v/>
      </c>
      <c r="V56" s="44">
        <f>IF(I56=1,$C56/(1+($B$8+메인!$A$98/10000)/2)^(J56-1),0)</f>
        <v/>
      </c>
      <c r="W56" s="44">
        <f>IF(I56=1,$C56/(1+($B$8+메인!$A$99/10000)/2)^(J56-1),0)</f>
        <v/>
      </c>
      <c r="X56" s="44">
        <f>IF(I56=1,$C56/(1+($B$8+메인!$A$100/10000)/2)^(J56-1),0)</f>
        <v/>
      </c>
      <c r="Y56" s="44">
        <f>IF(I56=1,$C56/(1+($B$8+메인!$A$101/10000)/2)^(J56-1),0)</f>
        <v/>
      </c>
      <c r="Z56" s="44">
        <f>IF(I56=1,$C56/(1+($B$8+메인!$A$102/10000)/2)^(J56-1),0)</f>
        <v/>
      </c>
      <c r="AA56" s="44">
        <f>IF(I56=1,$C56/(1+($B$8+메인!$A$103/10000)/2)^(J56-1),0)</f>
        <v/>
      </c>
      <c r="AB56" s="44">
        <f>IF(I56=1,$C56/(1+($B$8+메인!$A$104/10000)/2)^(J56-1),0)</f>
        <v/>
      </c>
      <c r="AE56" s="42" t="n">
        <v>42</v>
      </c>
      <c r="AF56" s="43">
        <f>EDATE($AF$2,-6*(62-$AE56))</f>
        <v/>
      </c>
      <c r="AG56" s="44">
        <f>IF(AND(AF56&gt;$AF$3,AF56&lt;=$AF$2),IF(AF56=$AF$2,$AF$5+100,$AF$5),0)</f>
        <v/>
      </c>
      <c r="AH56" s="42">
        <f>IF(AND($AG56&gt;0,AF56&gt;$AF$6),1,0)</f>
        <v/>
      </c>
      <c r="AI56" s="42">
        <f>IF(AH56=1,SUM($AH$15:AH56),"")</f>
        <v/>
      </c>
      <c r="AJ56" s="44">
        <f>IF(AH56=1,$AG56/(1+$AF$8/2)^(AI56-1),0)</f>
        <v/>
      </c>
      <c r="AK56" s="44">
        <f>IF(AH56=1,$AG56/(1+($AF$8+0.0001)/2)^(AI56-1),0)</f>
        <v/>
      </c>
      <c r="AL56" s="44">
        <f>IF(AH56=1,$AG56/(1+($AF$8-0.0001)/2)^(AI56-1),0)</f>
        <v/>
      </c>
      <c r="AM56" s="42">
        <f>IF(AND($AG56&gt;0,AF56&gt;$AF$7),1,0)</f>
        <v/>
      </c>
      <c r="AN56" s="42">
        <f>IF(AM56=1,SUM($AM$15:AM56),"")</f>
        <v/>
      </c>
      <c r="AO56" s="44">
        <f>IF(AM56=1,$AG56/(1+$AF$99/2)^(AN56-1),0)</f>
        <v/>
      </c>
      <c r="AP56" s="44">
        <f>IF(AM56=1,$AG56/(1+($AF$99+0.0001)/2)^(AN56-1),0)</f>
        <v/>
      </c>
      <c r="AQ56" s="44">
        <f>IF(AM56=1,$AG56/(1+($AF$99-0.0001)/2)^(AN56-1),0)</f>
        <v/>
      </c>
      <c r="AR56" s="44">
        <f>IF(AM56=1,$AG56/(1+$AF$104/2)^(AN56-1),0)</f>
        <v/>
      </c>
      <c r="AS56" s="44">
        <f>IF(AM56=1,$AG56/(1+($AF$104+0.0001)/2)^(AN56-1),0)</f>
        <v/>
      </c>
      <c r="AT56" s="44">
        <f>IF(AM56=1,$AG56/(1+($AF$104-0.0001)/2)^(AN56-1),0)</f>
        <v/>
      </c>
      <c r="AU56" s="44">
        <f>IF(AM56=1,$AG56/(1+$AF$109/2)^(AN56-1),0)</f>
        <v/>
      </c>
      <c r="AV56" s="44">
        <f>IF(AND($AG56&gt;0,AF56&gt;$AF$6,AF56&lt;=$AF$7),$AG56*(1+$AF$9*($AF$7-AF56)/365),0)</f>
        <v/>
      </c>
      <c r="AW56" s="44">
        <f>IF(AM56=1,$AG56/(1+($AF$8+$AF$10/10000)/2)^(AN56-1),0)</f>
        <v/>
      </c>
      <c r="AX56" s="44">
        <f>IF(AM56=1,$AG56/(1+($AF$8+메인!$A$96/10000)/2)^(AN56-1),0)</f>
        <v/>
      </c>
      <c r="AY56" s="44">
        <f>IF(AM56=1,$AG56/(1+($AF$8+메인!$A$97/10000)/2)^(AN56-1),0)</f>
        <v/>
      </c>
      <c r="AZ56" s="44">
        <f>IF(AM56=1,$AG56/(1+($AF$8+메인!$A$98/10000)/2)^(AN56-1),0)</f>
        <v/>
      </c>
      <c r="BA56" s="44">
        <f>IF(AM56=1,$AG56/(1+($AF$8+메인!$A$99/10000)/2)^(AN56-1),0)</f>
        <v/>
      </c>
      <c r="BB56" s="44">
        <f>IF(AM56=1,$AG56/(1+($AF$8+메인!$A$100/10000)/2)^(AN56-1),0)</f>
        <v/>
      </c>
      <c r="BC56" s="44">
        <f>IF(AM56=1,$AG56/(1+($AF$8+메인!$A$101/10000)/2)^(AN56-1),0)</f>
        <v/>
      </c>
      <c r="BD56" s="44">
        <f>IF(AM56=1,$AG56/(1+($AF$8+메인!$A$102/10000)/2)^(AN56-1),0)</f>
        <v/>
      </c>
      <c r="BE56" s="44">
        <f>IF(AM56=1,$AG56/(1+($AF$8+메인!$A$103/10000)/2)^(AN56-1),0)</f>
        <v/>
      </c>
      <c r="BF56" s="44">
        <f>IF(AM56=1,$AG56/(1+($AF$8+메인!$A$104/10000)/2)^(AN56-1),0)</f>
        <v/>
      </c>
    </row>
    <row r="57">
      <c r="A57" s="42" t="n">
        <v>43</v>
      </c>
      <c r="B57" s="43">
        <f>EDATE($B$2,-6*(62-$A57))</f>
        <v/>
      </c>
      <c r="C57" s="44">
        <f>IF(AND(B57&gt;$B$3,B57&lt;=$B$2),IF(B57=$B$2,$B$5+100,$B$5),0)</f>
        <v/>
      </c>
      <c r="D57" s="42">
        <f>IF(AND($C57&gt;0,B57&gt;$B$6),1,0)</f>
        <v/>
      </c>
      <c r="E57" s="42">
        <f>IF(D57=1,SUM($D$15:D57),"")</f>
        <v/>
      </c>
      <c r="F57" s="44">
        <f>IF(D57=1,$C57/(1+$B$8/2)^(E57-1),0)</f>
        <v/>
      </c>
      <c r="G57" s="44">
        <f>IF(D57=1,$C57/(1+($B$8+0.0001)/2)^(E57-1),0)</f>
        <v/>
      </c>
      <c r="H57" s="44">
        <f>IF(D57=1,$C57/(1+($B$8-0.0001)/2)^(E57-1),0)</f>
        <v/>
      </c>
      <c r="I57" s="42">
        <f>IF(AND($C57&gt;0,B57&gt;$B$7),1,0)</f>
        <v/>
      </c>
      <c r="J57" s="42">
        <f>IF(I57=1,SUM($I$15:I57),"")</f>
        <v/>
      </c>
      <c r="K57" s="44">
        <f>IF(I57=1,$C57/(1+$B$99/2)^(J57-1),0)</f>
        <v/>
      </c>
      <c r="L57" s="44">
        <f>IF(I57=1,$C57/(1+($B$99+0.0001)/2)^(J57-1),0)</f>
        <v/>
      </c>
      <c r="M57" s="44">
        <f>IF(I57=1,$C57/(1+($B$99-0.0001)/2)^(J57-1),0)</f>
        <v/>
      </c>
      <c r="N57" s="44">
        <f>IF(I57=1,$C57/(1+$B$104/2)^(J57-1),0)</f>
        <v/>
      </c>
      <c r="O57" s="44">
        <f>IF(I57=1,$C57/(1+($B$104+0.0001)/2)^(J57-1),0)</f>
        <v/>
      </c>
      <c r="P57" s="44">
        <f>IF(I57=1,$C57/(1+($B$104-0.0001)/2)^(J57-1),0)</f>
        <v/>
      </c>
      <c r="Q57" s="44">
        <f>IF(I57=1,$C57/(1+$B$109/2)^(J57-1),0)</f>
        <v/>
      </c>
      <c r="R57" s="44">
        <f>IF(AND($C57&gt;0,B57&gt;$B$6,B57&lt;=$B$7),$C57*(1+$B$9*($B$7-B57)/365),0)</f>
        <v/>
      </c>
      <c r="S57" s="44">
        <f>IF(I57=1,$C57/(1+($B$8+$B$10/10000)/2)^(J57-1),0)</f>
        <v/>
      </c>
      <c r="T57" s="44">
        <f>IF(I57=1,$C57/(1+($B$8+메인!$A$96/10000)/2)^(J57-1),0)</f>
        <v/>
      </c>
      <c r="U57" s="44">
        <f>IF(I57=1,$C57/(1+($B$8+메인!$A$97/10000)/2)^(J57-1),0)</f>
        <v/>
      </c>
      <c r="V57" s="44">
        <f>IF(I57=1,$C57/(1+($B$8+메인!$A$98/10000)/2)^(J57-1),0)</f>
        <v/>
      </c>
      <c r="W57" s="44">
        <f>IF(I57=1,$C57/(1+($B$8+메인!$A$99/10000)/2)^(J57-1),0)</f>
        <v/>
      </c>
      <c r="X57" s="44">
        <f>IF(I57=1,$C57/(1+($B$8+메인!$A$100/10000)/2)^(J57-1),0)</f>
        <v/>
      </c>
      <c r="Y57" s="44">
        <f>IF(I57=1,$C57/(1+($B$8+메인!$A$101/10000)/2)^(J57-1),0)</f>
        <v/>
      </c>
      <c r="Z57" s="44">
        <f>IF(I57=1,$C57/(1+($B$8+메인!$A$102/10000)/2)^(J57-1),0)</f>
        <v/>
      </c>
      <c r="AA57" s="44">
        <f>IF(I57=1,$C57/(1+($B$8+메인!$A$103/10000)/2)^(J57-1),0)</f>
        <v/>
      </c>
      <c r="AB57" s="44">
        <f>IF(I57=1,$C57/(1+($B$8+메인!$A$104/10000)/2)^(J57-1),0)</f>
        <v/>
      </c>
      <c r="AE57" s="42" t="n">
        <v>43</v>
      </c>
      <c r="AF57" s="43">
        <f>EDATE($AF$2,-6*(62-$AE57))</f>
        <v/>
      </c>
      <c r="AG57" s="44">
        <f>IF(AND(AF57&gt;$AF$3,AF57&lt;=$AF$2),IF(AF57=$AF$2,$AF$5+100,$AF$5),0)</f>
        <v/>
      </c>
      <c r="AH57" s="42">
        <f>IF(AND($AG57&gt;0,AF57&gt;$AF$6),1,0)</f>
        <v/>
      </c>
      <c r="AI57" s="42">
        <f>IF(AH57=1,SUM($AH$15:AH57),"")</f>
        <v/>
      </c>
      <c r="AJ57" s="44">
        <f>IF(AH57=1,$AG57/(1+$AF$8/2)^(AI57-1),0)</f>
        <v/>
      </c>
      <c r="AK57" s="44">
        <f>IF(AH57=1,$AG57/(1+($AF$8+0.0001)/2)^(AI57-1),0)</f>
        <v/>
      </c>
      <c r="AL57" s="44">
        <f>IF(AH57=1,$AG57/(1+($AF$8-0.0001)/2)^(AI57-1),0)</f>
        <v/>
      </c>
      <c r="AM57" s="42">
        <f>IF(AND($AG57&gt;0,AF57&gt;$AF$7),1,0)</f>
        <v/>
      </c>
      <c r="AN57" s="42">
        <f>IF(AM57=1,SUM($AM$15:AM57),"")</f>
        <v/>
      </c>
      <c r="AO57" s="44">
        <f>IF(AM57=1,$AG57/(1+$AF$99/2)^(AN57-1),0)</f>
        <v/>
      </c>
      <c r="AP57" s="44">
        <f>IF(AM57=1,$AG57/(1+($AF$99+0.0001)/2)^(AN57-1),0)</f>
        <v/>
      </c>
      <c r="AQ57" s="44">
        <f>IF(AM57=1,$AG57/(1+($AF$99-0.0001)/2)^(AN57-1),0)</f>
        <v/>
      </c>
      <c r="AR57" s="44">
        <f>IF(AM57=1,$AG57/(1+$AF$104/2)^(AN57-1),0)</f>
        <v/>
      </c>
      <c r="AS57" s="44">
        <f>IF(AM57=1,$AG57/(1+($AF$104+0.0001)/2)^(AN57-1),0)</f>
        <v/>
      </c>
      <c r="AT57" s="44">
        <f>IF(AM57=1,$AG57/(1+($AF$104-0.0001)/2)^(AN57-1),0)</f>
        <v/>
      </c>
      <c r="AU57" s="44">
        <f>IF(AM57=1,$AG57/(1+$AF$109/2)^(AN57-1),0)</f>
        <v/>
      </c>
      <c r="AV57" s="44">
        <f>IF(AND($AG57&gt;0,AF57&gt;$AF$6,AF57&lt;=$AF$7),$AG57*(1+$AF$9*($AF$7-AF57)/365),0)</f>
        <v/>
      </c>
      <c r="AW57" s="44">
        <f>IF(AM57=1,$AG57/(1+($AF$8+$AF$10/10000)/2)^(AN57-1),0)</f>
        <v/>
      </c>
      <c r="AX57" s="44">
        <f>IF(AM57=1,$AG57/(1+($AF$8+메인!$A$96/10000)/2)^(AN57-1),0)</f>
        <v/>
      </c>
      <c r="AY57" s="44">
        <f>IF(AM57=1,$AG57/(1+($AF$8+메인!$A$97/10000)/2)^(AN57-1),0)</f>
        <v/>
      </c>
      <c r="AZ57" s="44">
        <f>IF(AM57=1,$AG57/(1+($AF$8+메인!$A$98/10000)/2)^(AN57-1),0)</f>
        <v/>
      </c>
      <c r="BA57" s="44">
        <f>IF(AM57=1,$AG57/(1+($AF$8+메인!$A$99/10000)/2)^(AN57-1),0)</f>
        <v/>
      </c>
      <c r="BB57" s="44">
        <f>IF(AM57=1,$AG57/(1+($AF$8+메인!$A$100/10000)/2)^(AN57-1),0)</f>
        <v/>
      </c>
      <c r="BC57" s="44">
        <f>IF(AM57=1,$AG57/(1+($AF$8+메인!$A$101/10000)/2)^(AN57-1),0)</f>
        <v/>
      </c>
      <c r="BD57" s="44">
        <f>IF(AM57=1,$AG57/(1+($AF$8+메인!$A$102/10000)/2)^(AN57-1),0)</f>
        <v/>
      </c>
      <c r="BE57" s="44">
        <f>IF(AM57=1,$AG57/(1+($AF$8+메인!$A$103/10000)/2)^(AN57-1),0)</f>
        <v/>
      </c>
      <c r="BF57" s="44">
        <f>IF(AM57=1,$AG57/(1+($AF$8+메인!$A$104/10000)/2)^(AN57-1),0)</f>
        <v/>
      </c>
    </row>
    <row r="58">
      <c r="A58" s="42" t="n">
        <v>44</v>
      </c>
      <c r="B58" s="43">
        <f>EDATE($B$2,-6*(62-$A58))</f>
        <v/>
      </c>
      <c r="C58" s="44">
        <f>IF(AND(B58&gt;$B$3,B58&lt;=$B$2),IF(B58=$B$2,$B$5+100,$B$5),0)</f>
        <v/>
      </c>
      <c r="D58" s="42">
        <f>IF(AND($C58&gt;0,B58&gt;$B$6),1,0)</f>
        <v/>
      </c>
      <c r="E58" s="42">
        <f>IF(D58=1,SUM($D$15:D58),"")</f>
        <v/>
      </c>
      <c r="F58" s="44">
        <f>IF(D58=1,$C58/(1+$B$8/2)^(E58-1),0)</f>
        <v/>
      </c>
      <c r="G58" s="44">
        <f>IF(D58=1,$C58/(1+($B$8+0.0001)/2)^(E58-1),0)</f>
        <v/>
      </c>
      <c r="H58" s="44">
        <f>IF(D58=1,$C58/(1+($B$8-0.0001)/2)^(E58-1),0)</f>
        <v/>
      </c>
      <c r="I58" s="42">
        <f>IF(AND($C58&gt;0,B58&gt;$B$7),1,0)</f>
        <v/>
      </c>
      <c r="J58" s="42">
        <f>IF(I58=1,SUM($I$15:I58),"")</f>
        <v/>
      </c>
      <c r="K58" s="44">
        <f>IF(I58=1,$C58/(1+$B$99/2)^(J58-1),0)</f>
        <v/>
      </c>
      <c r="L58" s="44">
        <f>IF(I58=1,$C58/(1+($B$99+0.0001)/2)^(J58-1),0)</f>
        <v/>
      </c>
      <c r="M58" s="44">
        <f>IF(I58=1,$C58/(1+($B$99-0.0001)/2)^(J58-1),0)</f>
        <v/>
      </c>
      <c r="N58" s="44">
        <f>IF(I58=1,$C58/(1+$B$104/2)^(J58-1),0)</f>
        <v/>
      </c>
      <c r="O58" s="44">
        <f>IF(I58=1,$C58/(1+($B$104+0.0001)/2)^(J58-1),0)</f>
        <v/>
      </c>
      <c r="P58" s="44">
        <f>IF(I58=1,$C58/(1+($B$104-0.0001)/2)^(J58-1),0)</f>
        <v/>
      </c>
      <c r="Q58" s="44">
        <f>IF(I58=1,$C58/(1+$B$109/2)^(J58-1),0)</f>
        <v/>
      </c>
      <c r="R58" s="44">
        <f>IF(AND($C58&gt;0,B58&gt;$B$6,B58&lt;=$B$7),$C58*(1+$B$9*($B$7-B58)/365),0)</f>
        <v/>
      </c>
      <c r="S58" s="44">
        <f>IF(I58=1,$C58/(1+($B$8+$B$10/10000)/2)^(J58-1),0)</f>
        <v/>
      </c>
      <c r="T58" s="44">
        <f>IF(I58=1,$C58/(1+($B$8+메인!$A$96/10000)/2)^(J58-1),0)</f>
        <v/>
      </c>
      <c r="U58" s="44">
        <f>IF(I58=1,$C58/(1+($B$8+메인!$A$97/10000)/2)^(J58-1),0)</f>
        <v/>
      </c>
      <c r="V58" s="44">
        <f>IF(I58=1,$C58/(1+($B$8+메인!$A$98/10000)/2)^(J58-1),0)</f>
        <v/>
      </c>
      <c r="W58" s="44">
        <f>IF(I58=1,$C58/(1+($B$8+메인!$A$99/10000)/2)^(J58-1),0)</f>
        <v/>
      </c>
      <c r="X58" s="44">
        <f>IF(I58=1,$C58/(1+($B$8+메인!$A$100/10000)/2)^(J58-1),0)</f>
        <v/>
      </c>
      <c r="Y58" s="44">
        <f>IF(I58=1,$C58/(1+($B$8+메인!$A$101/10000)/2)^(J58-1),0)</f>
        <v/>
      </c>
      <c r="Z58" s="44">
        <f>IF(I58=1,$C58/(1+($B$8+메인!$A$102/10000)/2)^(J58-1),0)</f>
        <v/>
      </c>
      <c r="AA58" s="44">
        <f>IF(I58=1,$C58/(1+($B$8+메인!$A$103/10000)/2)^(J58-1),0)</f>
        <v/>
      </c>
      <c r="AB58" s="44">
        <f>IF(I58=1,$C58/(1+($B$8+메인!$A$104/10000)/2)^(J58-1),0)</f>
        <v/>
      </c>
      <c r="AE58" s="42" t="n">
        <v>44</v>
      </c>
      <c r="AF58" s="43">
        <f>EDATE($AF$2,-6*(62-$AE58))</f>
        <v/>
      </c>
      <c r="AG58" s="44">
        <f>IF(AND(AF58&gt;$AF$3,AF58&lt;=$AF$2),IF(AF58=$AF$2,$AF$5+100,$AF$5),0)</f>
        <v/>
      </c>
      <c r="AH58" s="42">
        <f>IF(AND($AG58&gt;0,AF58&gt;$AF$6),1,0)</f>
        <v/>
      </c>
      <c r="AI58" s="42">
        <f>IF(AH58=1,SUM($AH$15:AH58),"")</f>
        <v/>
      </c>
      <c r="AJ58" s="44">
        <f>IF(AH58=1,$AG58/(1+$AF$8/2)^(AI58-1),0)</f>
        <v/>
      </c>
      <c r="AK58" s="44">
        <f>IF(AH58=1,$AG58/(1+($AF$8+0.0001)/2)^(AI58-1),0)</f>
        <v/>
      </c>
      <c r="AL58" s="44">
        <f>IF(AH58=1,$AG58/(1+($AF$8-0.0001)/2)^(AI58-1),0)</f>
        <v/>
      </c>
      <c r="AM58" s="42">
        <f>IF(AND($AG58&gt;0,AF58&gt;$AF$7),1,0)</f>
        <v/>
      </c>
      <c r="AN58" s="42">
        <f>IF(AM58=1,SUM($AM$15:AM58),"")</f>
        <v/>
      </c>
      <c r="AO58" s="44">
        <f>IF(AM58=1,$AG58/(1+$AF$99/2)^(AN58-1),0)</f>
        <v/>
      </c>
      <c r="AP58" s="44">
        <f>IF(AM58=1,$AG58/(1+($AF$99+0.0001)/2)^(AN58-1),0)</f>
        <v/>
      </c>
      <c r="AQ58" s="44">
        <f>IF(AM58=1,$AG58/(1+($AF$99-0.0001)/2)^(AN58-1),0)</f>
        <v/>
      </c>
      <c r="AR58" s="44">
        <f>IF(AM58=1,$AG58/(1+$AF$104/2)^(AN58-1),0)</f>
        <v/>
      </c>
      <c r="AS58" s="44">
        <f>IF(AM58=1,$AG58/(1+($AF$104+0.0001)/2)^(AN58-1),0)</f>
        <v/>
      </c>
      <c r="AT58" s="44">
        <f>IF(AM58=1,$AG58/(1+($AF$104-0.0001)/2)^(AN58-1),0)</f>
        <v/>
      </c>
      <c r="AU58" s="44">
        <f>IF(AM58=1,$AG58/(1+$AF$109/2)^(AN58-1),0)</f>
        <v/>
      </c>
      <c r="AV58" s="44">
        <f>IF(AND($AG58&gt;0,AF58&gt;$AF$6,AF58&lt;=$AF$7),$AG58*(1+$AF$9*($AF$7-AF58)/365),0)</f>
        <v/>
      </c>
      <c r="AW58" s="44">
        <f>IF(AM58=1,$AG58/(1+($AF$8+$AF$10/10000)/2)^(AN58-1),0)</f>
        <v/>
      </c>
      <c r="AX58" s="44">
        <f>IF(AM58=1,$AG58/(1+($AF$8+메인!$A$96/10000)/2)^(AN58-1),0)</f>
        <v/>
      </c>
      <c r="AY58" s="44">
        <f>IF(AM58=1,$AG58/(1+($AF$8+메인!$A$97/10000)/2)^(AN58-1),0)</f>
        <v/>
      </c>
      <c r="AZ58" s="44">
        <f>IF(AM58=1,$AG58/(1+($AF$8+메인!$A$98/10000)/2)^(AN58-1),0)</f>
        <v/>
      </c>
      <c r="BA58" s="44">
        <f>IF(AM58=1,$AG58/(1+($AF$8+메인!$A$99/10000)/2)^(AN58-1),0)</f>
        <v/>
      </c>
      <c r="BB58" s="44">
        <f>IF(AM58=1,$AG58/(1+($AF$8+메인!$A$100/10000)/2)^(AN58-1),0)</f>
        <v/>
      </c>
      <c r="BC58" s="44">
        <f>IF(AM58=1,$AG58/(1+($AF$8+메인!$A$101/10000)/2)^(AN58-1),0)</f>
        <v/>
      </c>
      <c r="BD58" s="44">
        <f>IF(AM58=1,$AG58/(1+($AF$8+메인!$A$102/10000)/2)^(AN58-1),0)</f>
        <v/>
      </c>
      <c r="BE58" s="44">
        <f>IF(AM58=1,$AG58/(1+($AF$8+메인!$A$103/10000)/2)^(AN58-1),0)</f>
        <v/>
      </c>
      <c r="BF58" s="44">
        <f>IF(AM58=1,$AG58/(1+($AF$8+메인!$A$104/10000)/2)^(AN58-1),0)</f>
        <v/>
      </c>
    </row>
    <row r="59">
      <c r="A59" s="42" t="n">
        <v>45</v>
      </c>
      <c r="B59" s="43">
        <f>EDATE($B$2,-6*(62-$A59))</f>
        <v/>
      </c>
      <c r="C59" s="44">
        <f>IF(AND(B59&gt;$B$3,B59&lt;=$B$2),IF(B59=$B$2,$B$5+100,$B$5),0)</f>
        <v/>
      </c>
      <c r="D59" s="42">
        <f>IF(AND($C59&gt;0,B59&gt;$B$6),1,0)</f>
        <v/>
      </c>
      <c r="E59" s="42">
        <f>IF(D59=1,SUM($D$15:D59),"")</f>
        <v/>
      </c>
      <c r="F59" s="44">
        <f>IF(D59=1,$C59/(1+$B$8/2)^(E59-1),0)</f>
        <v/>
      </c>
      <c r="G59" s="44">
        <f>IF(D59=1,$C59/(1+($B$8+0.0001)/2)^(E59-1),0)</f>
        <v/>
      </c>
      <c r="H59" s="44">
        <f>IF(D59=1,$C59/(1+($B$8-0.0001)/2)^(E59-1),0)</f>
        <v/>
      </c>
      <c r="I59" s="42">
        <f>IF(AND($C59&gt;0,B59&gt;$B$7),1,0)</f>
        <v/>
      </c>
      <c r="J59" s="42">
        <f>IF(I59=1,SUM($I$15:I59),"")</f>
        <v/>
      </c>
      <c r="K59" s="44">
        <f>IF(I59=1,$C59/(1+$B$99/2)^(J59-1),0)</f>
        <v/>
      </c>
      <c r="L59" s="44">
        <f>IF(I59=1,$C59/(1+($B$99+0.0001)/2)^(J59-1),0)</f>
        <v/>
      </c>
      <c r="M59" s="44">
        <f>IF(I59=1,$C59/(1+($B$99-0.0001)/2)^(J59-1),0)</f>
        <v/>
      </c>
      <c r="N59" s="44">
        <f>IF(I59=1,$C59/(1+$B$104/2)^(J59-1),0)</f>
        <v/>
      </c>
      <c r="O59" s="44">
        <f>IF(I59=1,$C59/(1+($B$104+0.0001)/2)^(J59-1),0)</f>
        <v/>
      </c>
      <c r="P59" s="44">
        <f>IF(I59=1,$C59/(1+($B$104-0.0001)/2)^(J59-1),0)</f>
        <v/>
      </c>
      <c r="Q59" s="44">
        <f>IF(I59=1,$C59/(1+$B$109/2)^(J59-1),0)</f>
        <v/>
      </c>
      <c r="R59" s="44">
        <f>IF(AND($C59&gt;0,B59&gt;$B$6,B59&lt;=$B$7),$C59*(1+$B$9*($B$7-B59)/365),0)</f>
        <v/>
      </c>
      <c r="S59" s="44">
        <f>IF(I59=1,$C59/(1+($B$8+$B$10/10000)/2)^(J59-1),0)</f>
        <v/>
      </c>
      <c r="T59" s="44">
        <f>IF(I59=1,$C59/(1+($B$8+메인!$A$96/10000)/2)^(J59-1),0)</f>
        <v/>
      </c>
      <c r="U59" s="44">
        <f>IF(I59=1,$C59/(1+($B$8+메인!$A$97/10000)/2)^(J59-1),0)</f>
        <v/>
      </c>
      <c r="V59" s="44">
        <f>IF(I59=1,$C59/(1+($B$8+메인!$A$98/10000)/2)^(J59-1),0)</f>
        <v/>
      </c>
      <c r="W59" s="44">
        <f>IF(I59=1,$C59/(1+($B$8+메인!$A$99/10000)/2)^(J59-1),0)</f>
        <v/>
      </c>
      <c r="X59" s="44">
        <f>IF(I59=1,$C59/(1+($B$8+메인!$A$100/10000)/2)^(J59-1),0)</f>
        <v/>
      </c>
      <c r="Y59" s="44">
        <f>IF(I59=1,$C59/(1+($B$8+메인!$A$101/10000)/2)^(J59-1),0)</f>
        <v/>
      </c>
      <c r="Z59" s="44">
        <f>IF(I59=1,$C59/(1+($B$8+메인!$A$102/10000)/2)^(J59-1),0)</f>
        <v/>
      </c>
      <c r="AA59" s="44">
        <f>IF(I59=1,$C59/(1+($B$8+메인!$A$103/10000)/2)^(J59-1),0)</f>
        <v/>
      </c>
      <c r="AB59" s="44">
        <f>IF(I59=1,$C59/(1+($B$8+메인!$A$104/10000)/2)^(J59-1),0)</f>
        <v/>
      </c>
      <c r="AE59" s="42" t="n">
        <v>45</v>
      </c>
      <c r="AF59" s="43">
        <f>EDATE($AF$2,-6*(62-$AE59))</f>
        <v/>
      </c>
      <c r="AG59" s="44">
        <f>IF(AND(AF59&gt;$AF$3,AF59&lt;=$AF$2),IF(AF59=$AF$2,$AF$5+100,$AF$5),0)</f>
        <v/>
      </c>
      <c r="AH59" s="42">
        <f>IF(AND($AG59&gt;0,AF59&gt;$AF$6),1,0)</f>
        <v/>
      </c>
      <c r="AI59" s="42">
        <f>IF(AH59=1,SUM($AH$15:AH59),"")</f>
        <v/>
      </c>
      <c r="AJ59" s="44">
        <f>IF(AH59=1,$AG59/(1+$AF$8/2)^(AI59-1),0)</f>
        <v/>
      </c>
      <c r="AK59" s="44">
        <f>IF(AH59=1,$AG59/(1+($AF$8+0.0001)/2)^(AI59-1),0)</f>
        <v/>
      </c>
      <c r="AL59" s="44">
        <f>IF(AH59=1,$AG59/(1+($AF$8-0.0001)/2)^(AI59-1),0)</f>
        <v/>
      </c>
      <c r="AM59" s="42">
        <f>IF(AND($AG59&gt;0,AF59&gt;$AF$7),1,0)</f>
        <v/>
      </c>
      <c r="AN59" s="42">
        <f>IF(AM59=1,SUM($AM$15:AM59),"")</f>
        <v/>
      </c>
      <c r="AO59" s="44">
        <f>IF(AM59=1,$AG59/(1+$AF$99/2)^(AN59-1),0)</f>
        <v/>
      </c>
      <c r="AP59" s="44">
        <f>IF(AM59=1,$AG59/(1+($AF$99+0.0001)/2)^(AN59-1),0)</f>
        <v/>
      </c>
      <c r="AQ59" s="44">
        <f>IF(AM59=1,$AG59/(1+($AF$99-0.0001)/2)^(AN59-1),0)</f>
        <v/>
      </c>
      <c r="AR59" s="44">
        <f>IF(AM59=1,$AG59/(1+$AF$104/2)^(AN59-1),0)</f>
        <v/>
      </c>
      <c r="AS59" s="44">
        <f>IF(AM59=1,$AG59/(1+($AF$104+0.0001)/2)^(AN59-1),0)</f>
        <v/>
      </c>
      <c r="AT59" s="44">
        <f>IF(AM59=1,$AG59/(1+($AF$104-0.0001)/2)^(AN59-1),0)</f>
        <v/>
      </c>
      <c r="AU59" s="44">
        <f>IF(AM59=1,$AG59/(1+$AF$109/2)^(AN59-1),0)</f>
        <v/>
      </c>
      <c r="AV59" s="44">
        <f>IF(AND($AG59&gt;0,AF59&gt;$AF$6,AF59&lt;=$AF$7),$AG59*(1+$AF$9*($AF$7-AF59)/365),0)</f>
        <v/>
      </c>
      <c r="AW59" s="44">
        <f>IF(AM59=1,$AG59/(1+($AF$8+$AF$10/10000)/2)^(AN59-1),0)</f>
        <v/>
      </c>
      <c r="AX59" s="44">
        <f>IF(AM59=1,$AG59/(1+($AF$8+메인!$A$96/10000)/2)^(AN59-1),0)</f>
        <v/>
      </c>
      <c r="AY59" s="44">
        <f>IF(AM59=1,$AG59/(1+($AF$8+메인!$A$97/10000)/2)^(AN59-1),0)</f>
        <v/>
      </c>
      <c r="AZ59" s="44">
        <f>IF(AM59=1,$AG59/(1+($AF$8+메인!$A$98/10000)/2)^(AN59-1),0)</f>
        <v/>
      </c>
      <c r="BA59" s="44">
        <f>IF(AM59=1,$AG59/(1+($AF$8+메인!$A$99/10000)/2)^(AN59-1),0)</f>
        <v/>
      </c>
      <c r="BB59" s="44">
        <f>IF(AM59=1,$AG59/(1+($AF$8+메인!$A$100/10000)/2)^(AN59-1),0)</f>
        <v/>
      </c>
      <c r="BC59" s="44">
        <f>IF(AM59=1,$AG59/(1+($AF$8+메인!$A$101/10000)/2)^(AN59-1),0)</f>
        <v/>
      </c>
      <c r="BD59" s="44">
        <f>IF(AM59=1,$AG59/(1+($AF$8+메인!$A$102/10000)/2)^(AN59-1),0)</f>
        <v/>
      </c>
      <c r="BE59" s="44">
        <f>IF(AM59=1,$AG59/(1+($AF$8+메인!$A$103/10000)/2)^(AN59-1),0)</f>
        <v/>
      </c>
      <c r="BF59" s="44">
        <f>IF(AM59=1,$AG59/(1+($AF$8+메인!$A$104/10000)/2)^(AN59-1),0)</f>
        <v/>
      </c>
    </row>
    <row r="60">
      <c r="A60" s="42" t="n">
        <v>46</v>
      </c>
      <c r="B60" s="43">
        <f>EDATE($B$2,-6*(62-$A60))</f>
        <v/>
      </c>
      <c r="C60" s="44">
        <f>IF(AND(B60&gt;$B$3,B60&lt;=$B$2),IF(B60=$B$2,$B$5+100,$B$5),0)</f>
        <v/>
      </c>
      <c r="D60" s="42">
        <f>IF(AND($C60&gt;0,B60&gt;$B$6),1,0)</f>
        <v/>
      </c>
      <c r="E60" s="42">
        <f>IF(D60=1,SUM($D$15:D60),"")</f>
        <v/>
      </c>
      <c r="F60" s="44">
        <f>IF(D60=1,$C60/(1+$B$8/2)^(E60-1),0)</f>
        <v/>
      </c>
      <c r="G60" s="44">
        <f>IF(D60=1,$C60/(1+($B$8+0.0001)/2)^(E60-1),0)</f>
        <v/>
      </c>
      <c r="H60" s="44">
        <f>IF(D60=1,$C60/(1+($B$8-0.0001)/2)^(E60-1),0)</f>
        <v/>
      </c>
      <c r="I60" s="42">
        <f>IF(AND($C60&gt;0,B60&gt;$B$7),1,0)</f>
        <v/>
      </c>
      <c r="J60" s="42">
        <f>IF(I60=1,SUM($I$15:I60),"")</f>
        <v/>
      </c>
      <c r="K60" s="44">
        <f>IF(I60=1,$C60/(1+$B$99/2)^(J60-1),0)</f>
        <v/>
      </c>
      <c r="L60" s="44">
        <f>IF(I60=1,$C60/(1+($B$99+0.0001)/2)^(J60-1),0)</f>
        <v/>
      </c>
      <c r="M60" s="44">
        <f>IF(I60=1,$C60/(1+($B$99-0.0001)/2)^(J60-1),0)</f>
        <v/>
      </c>
      <c r="N60" s="44">
        <f>IF(I60=1,$C60/(1+$B$104/2)^(J60-1),0)</f>
        <v/>
      </c>
      <c r="O60" s="44">
        <f>IF(I60=1,$C60/(1+($B$104+0.0001)/2)^(J60-1),0)</f>
        <v/>
      </c>
      <c r="P60" s="44">
        <f>IF(I60=1,$C60/(1+($B$104-0.0001)/2)^(J60-1),0)</f>
        <v/>
      </c>
      <c r="Q60" s="44">
        <f>IF(I60=1,$C60/(1+$B$109/2)^(J60-1),0)</f>
        <v/>
      </c>
      <c r="R60" s="44">
        <f>IF(AND($C60&gt;0,B60&gt;$B$6,B60&lt;=$B$7),$C60*(1+$B$9*($B$7-B60)/365),0)</f>
        <v/>
      </c>
      <c r="S60" s="44">
        <f>IF(I60=1,$C60/(1+($B$8+$B$10/10000)/2)^(J60-1),0)</f>
        <v/>
      </c>
      <c r="T60" s="44">
        <f>IF(I60=1,$C60/(1+($B$8+메인!$A$96/10000)/2)^(J60-1),0)</f>
        <v/>
      </c>
      <c r="U60" s="44">
        <f>IF(I60=1,$C60/(1+($B$8+메인!$A$97/10000)/2)^(J60-1),0)</f>
        <v/>
      </c>
      <c r="V60" s="44">
        <f>IF(I60=1,$C60/(1+($B$8+메인!$A$98/10000)/2)^(J60-1),0)</f>
        <v/>
      </c>
      <c r="W60" s="44">
        <f>IF(I60=1,$C60/(1+($B$8+메인!$A$99/10000)/2)^(J60-1),0)</f>
        <v/>
      </c>
      <c r="X60" s="44">
        <f>IF(I60=1,$C60/(1+($B$8+메인!$A$100/10000)/2)^(J60-1),0)</f>
        <v/>
      </c>
      <c r="Y60" s="44">
        <f>IF(I60=1,$C60/(1+($B$8+메인!$A$101/10000)/2)^(J60-1),0)</f>
        <v/>
      </c>
      <c r="Z60" s="44">
        <f>IF(I60=1,$C60/(1+($B$8+메인!$A$102/10000)/2)^(J60-1),0)</f>
        <v/>
      </c>
      <c r="AA60" s="44">
        <f>IF(I60=1,$C60/(1+($B$8+메인!$A$103/10000)/2)^(J60-1),0)</f>
        <v/>
      </c>
      <c r="AB60" s="44">
        <f>IF(I60=1,$C60/(1+($B$8+메인!$A$104/10000)/2)^(J60-1),0)</f>
        <v/>
      </c>
      <c r="AE60" s="42" t="n">
        <v>46</v>
      </c>
      <c r="AF60" s="43">
        <f>EDATE($AF$2,-6*(62-$AE60))</f>
        <v/>
      </c>
      <c r="AG60" s="44">
        <f>IF(AND(AF60&gt;$AF$3,AF60&lt;=$AF$2),IF(AF60=$AF$2,$AF$5+100,$AF$5),0)</f>
        <v/>
      </c>
      <c r="AH60" s="42">
        <f>IF(AND($AG60&gt;0,AF60&gt;$AF$6),1,0)</f>
        <v/>
      </c>
      <c r="AI60" s="42">
        <f>IF(AH60=1,SUM($AH$15:AH60),"")</f>
        <v/>
      </c>
      <c r="AJ60" s="44">
        <f>IF(AH60=1,$AG60/(1+$AF$8/2)^(AI60-1),0)</f>
        <v/>
      </c>
      <c r="AK60" s="44">
        <f>IF(AH60=1,$AG60/(1+($AF$8+0.0001)/2)^(AI60-1),0)</f>
        <v/>
      </c>
      <c r="AL60" s="44">
        <f>IF(AH60=1,$AG60/(1+($AF$8-0.0001)/2)^(AI60-1),0)</f>
        <v/>
      </c>
      <c r="AM60" s="42">
        <f>IF(AND($AG60&gt;0,AF60&gt;$AF$7),1,0)</f>
        <v/>
      </c>
      <c r="AN60" s="42">
        <f>IF(AM60=1,SUM($AM$15:AM60),"")</f>
        <v/>
      </c>
      <c r="AO60" s="44">
        <f>IF(AM60=1,$AG60/(1+$AF$99/2)^(AN60-1),0)</f>
        <v/>
      </c>
      <c r="AP60" s="44">
        <f>IF(AM60=1,$AG60/(1+($AF$99+0.0001)/2)^(AN60-1),0)</f>
        <v/>
      </c>
      <c r="AQ60" s="44">
        <f>IF(AM60=1,$AG60/(1+($AF$99-0.0001)/2)^(AN60-1),0)</f>
        <v/>
      </c>
      <c r="AR60" s="44">
        <f>IF(AM60=1,$AG60/(1+$AF$104/2)^(AN60-1),0)</f>
        <v/>
      </c>
      <c r="AS60" s="44">
        <f>IF(AM60=1,$AG60/(1+($AF$104+0.0001)/2)^(AN60-1),0)</f>
        <v/>
      </c>
      <c r="AT60" s="44">
        <f>IF(AM60=1,$AG60/(1+($AF$104-0.0001)/2)^(AN60-1),0)</f>
        <v/>
      </c>
      <c r="AU60" s="44">
        <f>IF(AM60=1,$AG60/(1+$AF$109/2)^(AN60-1),0)</f>
        <v/>
      </c>
      <c r="AV60" s="44">
        <f>IF(AND($AG60&gt;0,AF60&gt;$AF$6,AF60&lt;=$AF$7),$AG60*(1+$AF$9*($AF$7-AF60)/365),0)</f>
        <v/>
      </c>
      <c r="AW60" s="44">
        <f>IF(AM60=1,$AG60/(1+($AF$8+$AF$10/10000)/2)^(AN60-1),0)</f>
        <v/>
      </c>
      <c r="AX60" s="44">
        <f>IF(AM60=1,$AG60/(1+($AF$8+메인!$A$96/10000)/2)^(AN60-1),0)</f>
        <v/>
      </c>
      <c r="AY60" s="44">
        <f>IF(AM60=1,$AG60/(1+($AF$8+메인!$A$97/10000)/2)^(AN60-1),0)</f>
        <v/>
      </c>
      <c r="AZ60" s="44">
        <f>IF(AM60=1,$AG60/(1+($AF$8+메인!$A$98/10000)/2)^(AN60-1),0)</f>
        <v/>
      </c>
      <c r="BA60" s="44">
        <f>IF(AM60=1,$AG60/(1+($AF$8+메인!$A$99/10000)/2)^(AN60-1),0)</f>
        <v/>
      </c>
      <c r="BB60" s="44">
        <f>IF(AM60=1,$AG60/(1+($AF$8+메인!$A$100/10000)/2)^(AN60-1),0)</f>
        <v/>
      </c>
      <c r="BC60" s="44">
        <f>IF(AM60=1,$AG60/(1+($AF$8+메인!$A$101/10000)/2)^(AN60-1),0)</f>
        <v/>
      </c>
      <c r="BD60" s="44">
        <f>IF(AM60=1,$AG60/(1+($AF$8+메인!$A$102/10000)/2)^(AN60-1),0)</f>
        <v/>
      </c>
      <c r="BE60" s="44">
        <f>IF(AM60=1,$AG60/(1+($AF$8+메인!$A$103/10000)/2)^(AN60-1),0)</f>
        <v/>
      </c>
      <c r="BF60" s="44">
        <f>IF(AM60=1,$AG60/(1+($AF$8+메인!$A$104/10000)/2)^(AN60-1),0)</f>
        <v/>
      </c>
    </row>
    <row r="61">
      <c r="A61" s="42" t="n">
        <v>47</v>
      </c>
      <c r="B61" s="43">
        <f>EDATE($B$2,-6*(62-$A61))</f>
        <v/>
      </c>
      <c r="C61" s="44">
        <f>IF(AND(B61&gt;$B$3,B61&lt;=$B$2),IF(B61=$B$2,$B$5+100,$B$5),0)</f>
        <v/>
      </c>
      <c r="D61" s="42">
        <f>IF(AND($C61&gt;0,B61&gt;$B$6),1,0)</f>
        <v/>
      </c>
      <c r="E61" s="42">
        <f>IF(D61=1,SUM($D$15:D61),"")</f>
        <v/>
      </c>
      <c r="F61" s="44">
        <f>IF(D61=1,$C61/(1+$B$8/2)^(E61-1),0)</f>
        <v/>
      </c>
      <c r="G61" s="44">
        <f>IF(D61=1,$C61/(1+($B$8+0.0001)/2)^(E61-1),0)</f>
        <v/>
      </c>
      <c r="H61" s="44">
        <f>IF(D61=1,$C61/(1+($B$8-0.0001)/2)^(E61-1),0)</f>
        <v/>
      </c>
      <c r="I61" s="42">
        <f>IF(AND($C61&gt;0,B61&gt;$B$7),1,0)</f>
        <v/>
      </c>
      <c r="J61" s="42">
        <f>IF(I61=1,SUM($I$15:I61),"")</f>
        <v/>
      </c>
      <c r="K61" s="44">
        <f>IF(I61=1,$C61/(1+$B$99/2)^(J61-1),0)</f>
        <v/>
      </c>
      <c r="L61" s="44">
        <f>IF(I61=1,$C61/(1+($B$99+0.0001)/2)^(J61-1),0)</f>
        <v/>
      </c>
      <c r="M61" s="44">
        <f>IF(I61=1,$C61/(1+($B$99-0.0001)/2)^(J61-1),0)</f>
        <v/>
      </c>
      <c r="N61" s="44">
        <f>IF(I61=1,$C61/(1+$B$104/2)^(J61-1),0)</f>
        <v/>
      </c>
      <c r="O61" s="44">
        <f>IF(I61=1,$C61/(1+($B$104+0.0001)/2)^(J61-1),0)</f>
        <v/>
      </c>
      <c r="P61" s="44">
        <f>IF(I61=1,$C61/(1+($B$104-0.0001)/2)^(J61-1),0)</f>
        <v/>
      </c>
      <c r="Q61" s="44">
        <f>IF(I61=1,$C61/(1+$B$109/2)^(J61-1),0)</f>
        <v/>
      </c>
      <c r="R61" s="44">
        <f>IF(AND($C61&gt;0,B61&gt;$B$6,B61&lt;=$B$7),$C61*(1+$B$9*($B$7-B61)/365),0)</f>
        <v/>
      </c>
      <c r="S61" s="44">
        <f>IF(I61=1,$C61/(1+($B$8+$B$10/10000)/2)^(J61-1),0)</f>
        <v/>
      </c>
      <c r="T61" s="44">
        <f>IF(I61=1,$C61/(1+($B$8+메인!$A$96/10000)/2)^(J61-1),0)</f>
        <v/>
      </c>
      <c r="U61" s="44">
        <f>IF(I61=1,$C61/(1+($B$8+메인!$A$97/10000)/2)^(J61-1),0)</f>
        <v/>
      </c>
      <c r="V61" s="44">
        <f>IF(I61=1,$C61/(1+($B$8+메인!$A$98/10000)/2)^(J61-1),0)</f>
        <v/>
      </c>
      <c r="W61" s="44">
        <f>IF(I61=1,$C61/(1+($B$8+메인!$A$99/10000)/2)^(J61-1),0)</f>
        <v/>
      </c>
      <c r="X61" s="44">
        <f>IF(I61=1,$C61/(1+($B$8+메인!$A$100/10000)/2)^(J61-1),0)</f>
        <v/>
      </c>
      <c r="Y61" s="44">
        <f>IF(I61=1,$C61/(1+($B$8+메인!$A$101/10000)/2)^(J61-1),0)</f>
        <v/>
      </c>
      <c r="Z61" s="44">
        <f>IF(I61=1,$C61/(1+($B$8+메인!$A$102/10000)/2)^(J61-1),0)</f>
        <v/>
      </c>
      <c r="AA61" s="44">
        <f>IF(I61=1,$C61/(1+($B$8+메인!$A$103/10000)/2)^(J61-1),0)</f>
        <v/>
      </c>
      <c r="AB61" s="44">
        <f>IF(I61=1,$C61/(1+($B$8+메인!$A$104/10000)/2)^(J61-1),0)</f>
        <v/>
      </c>
      <c r="AE61" s="42" t="n">
        <v>47</v>
      </c>
      <c r="AF61" s="43">
        <f>EDATE($AF$2,-6*(62-$AE61))</f>
        <v/>
      </c>
      <c r="AG61" s="44">
        <f>IF(AND(AF61&gt;$AF$3,AF61&lt;=$AF$2),IF(AF61=$AF$2,$AF$5+100,$AF$5),0)</f>
        <v/>
      </c>
      <c r="AH61" s="42">
        <f>IF(AND($AG61&gt;0,AF61&gt;$AF$6),1,0)</f>
        <v/>
      </c>
      <c r="AI61" s="42">
        <f>IF(AH61=1,SUM($AH$15:AH61),"")</f>
        <v/>
      </c>
      <c r="AJ61" s="44">
        <f>IF(AH61=1,$AG61/(1+$AF$8/2)^(AI61-1),0)</f>
        <v/>
      </c>
      <c r="AK61" s="44">
        <f>IF(AH61=1,$AG61/(1+($AF$8+0.0001)/2)^(AI61-1),0)</f>
        <v/>
      </c>
      <c r="AL61" s="44">
        <f>IF(AH61=1,$AG61/(1+($AF$8-0.0001)/2)^(AI61-1),0)</f>
        <v/>
      </c>
      <c r="AM61" s="42">
        <f>IF(AND($AG61&gt;0,AF61&gt;$AF$7),1,0)</f>
        <v/>
      </c>
      <c r="AN61" s="42">
        <f>IF(AM61=1,SUM($AM$15:AM61),"")</f>
        <v/>
      </c>
      <c r="AO61" s="44">
        <f>IF(AM61=1,$AG61/(1+$AF$99/2)^(AN61-1),0)</f>
        <v/>
      </c>
      <c r="AP61" s="44">
        <f>IF(AM61=1,$AG61/(1+($AF$99+0.0001)/2)^(AN61-1),0)</f>
        <v/>
      </c>
      <c r="AQ61" s="44">
        <f>IF(AM61=1,$AG61/(1+($AF$99-0.0001)/2)^(AN61-1),0)</f>
        <v/>
      </c>
      <c r="AR61" s="44">
        <f>IF(AM61=1,$AG61/(1+$AF$104/2)^(AN61-1),0)</f>
        <v/>
      </c>
      <c r="AS61" s="44">
        <f>IF(AM61=1,$AG61/(1+($AF$104+0.0001)/2)^(AN61-1),0)</f>
        <v/>
      </c>
      <c r="AT61" s="44">
        <f>IF(AM61=1,$AG61/(1+($AF$104-0.0001)/2)^(AN61-1),0)</f>
        <v/>
      </c>
      <c r="AU61" s="44">
        <f>IF(AM61=1,$AG61/(1+$AF$109/2)^(AN61-1),0)</f>
        <v/>
      </c>
      <c r="AV61" s="44">
        <f>IF(AND($AG61&gt;0,AF61&gt;$AF$6,AF61&lt;=$AF$7),$AG61*(1+$AF$9*($AF$7-AF61)/365),0)</f>
        <v/>
      </c>
      <c r="AW61" s="44">
        <f>IF(AM61=1,$AG61/(1+($AF$8+$AF$10/10000)/2)^(AN61-1),0)</f>
        <v/>
      </c>
      <c r="AX61" s="44">
        <f>IF(AM61=1,$AG61/(1+($AF$8+메인!$A$96/10000)/2)^(AN61-1),0)</f>
        <v/>
      </c>
      <c r="AY61" s="44">
        <f>IF(AM61=1,$AG61/(1+($AF$8+메인!$A$97/10000)/2)^(AN61-1),0)</f>
        <v/>
      </c>
      <c r="AZ61" s="44">
        <f>IF(AM61=1,$AG61/(1+($AF$8+메인!$A$98/10000)/2)^(AN61-1),0)</f>
        <v/>
      </c>
      <c r="BA61" s="44">
        <f>IF(AM61=1,$AG61/(1+($AF$8+메인!$A$99/10000)/2)^(AN61-1),0)</f>
        <v/>
      </c>
      <c r="BB61" s="44">
        <f>IF(AM61=1,$AG61/(1+($AF$8+메인!$A$100/10000)/2)^(AN61-1),0)</f>
        <v/>
      </c>
      <c r="BC61" s="44">
        <f>IF(AM61=1,$AG61/(1+($AF$8+메인!$A$101/10000)/2)^(AN61-1),0)</f>
        <v/>
      </c>
      <c r="BD61" s="44">
        <f>IF(AM61=1,$AG61/(1+($AF$8+메인!$A$102/10000)/2)^(AN61-1),0)</f>
        <v/>
      </c>
      <c r="BE61" s="44">
        <f>IF(AM61=1,$AG61/(1+($AF$8+메인!$A$103/10000)/2)^(AN61-1),0)</f>
        <v/>
      </c>
      <c r="BF61" s="44">
        <f>IF(AM61=1,$AG61/(1+($AF$8+메인!$A$104/10000)/2)^(AN61-1),0)</f>
        <v/>
      </c>
    </row>
    <row r="62">
      <c r="A62" s="42" t="n">
        <v>48</v>
      </c>
      <c r="B62" s="43">
        <f>EDATE($B$2,-6*(62-$A62))</f>
        <v/>
      </c>
      <c r="C62" s="44">
        <f>IF(AND(B62&gt;$B$3,B62&lt;=$B$2),IF(B62=$B$2,$B$5+100,$B$5),0)</f>
        <v/>
      </c>
      <c r="D62" s="42">
        <f>IF(AND($C62&gt;0,B62&gt;$B$6),1,0)</f>
        <v/>
      </c>
      <c r="E62" s="42">
        <f>IF(D62=1,SUM($D$15:D62),"")</f>
        <v/>
      </c>
      <c r="F62" s="44">
        <f>IF(D62=1,$C62/(1+$B$8/2)^(E62-1),0)</f>
        <v/>
      </c>
      <c r="G62" s="44">
        <f>IF(D62=1,$C62/(1+($B$8+0.0001)/2)^(E62-1),0)</f>
        <v/>
      </c>
      <c r="H62" s="44">
        <f>IF(D62=1,$C62/(1+($B$8-0.0001)/2)^(E62-1),0)</f>
        <v/>
      </c>
      <c r="I62" s="42">
        <f>IF(AND($C62&gt;0,B62&gt;$B$7),1,0)</f>
        <v/>
      </c>
      <c r="J62" s="42">
        <f>IF(I62=1,SUM($I$15:I62),"")</f>
        <v/>
      </c>
      <c r="K62" s="44">
        <f>IF(I62=1,$C62/(1+$B$99/2)^(J62-1),0)</f>
        <v/>
      </c>
      <c r="L62" s="44">
        <f>IF(I62=1,$C62/(1+($B$99+0.0001)/2)^(J62-1),0)</f>
        <v/>
      </c>
      <c r="M62" s="44">
        <f>IF(I62=1,$C62/(1+($B$99-0.0001)/2)^(J62-1),0)</f>
        <v/>
      </c>
      <c r="N62" s="44">
        <f>IF(I62=1,$C62/(1+$B$104/2)^(J62-1),0)</f>
        <v/>
      </c>
      <c r="O62" s="44">
        <f>IF(I62=1,$C62/(1+($B$104+0.0001)/2)^(J62-1),0)</f>
        <v/>
      </c>
      <c r="P62" s="44">
        <f>IF(I62=1,$C62/(1+($B$104-0.0001)/2)^(J62-1),0)</f>
        <v/>
      </c>
      <c r="Q62" s="44">
        <f>IF(I62=1,$C62/(1+$B$109/2)^(J62-1),0)</f>
        <v/>
      </c>
      <c r="R62" s="44">
        <f>IF(AND($C62&gt;0,B62&gt;$B$6,B62&lt;=$B$7),$C62*(1+$B$9*($B$7-B62)/365),0)</f>
        <v/>
      </c>
      <c r="S62" s="44">
        <f>IF(I62=1,$C62/(1+($B$8+$B$10/10000)/2)^(J62-1),0)</f>
        <v/>
      </c>
      <c r="T62" s="44">
        <f>IF(I62=1,$C62/(1+($B$8+메인!$A$96/10000)/2)^(J62-1),0)</f>
        <v/>
      </c>
      <c r="U62" s="44">
        <f>IF(I62=1,$C62/(1+($B$8+메인!$A$97/10000)/2)^(J62-1),0)</f>
        <v/>
      </c>
      <c r="V62" s="44">
        <f>IF(I62=1,$C62/(1+($B$8+메인!$A$98/10000)/2)^(J62-1),0)</f>
        <v/>
      </c>
      <c r="W62" s="44">
        <f>IF(I62=1,$C62/(1+($B$8+메인!$A$99/10000)/2)^(J62-1),0)</f>
        <v/>
      </c>
      <c r="X62" s="44">
        <f>IF(I62=1,$C62/(1+($B$8+메인!$A$100/10000)/2)^(J62-1),0)</f>
        <v/>
      </c>
      <c r="Y62" s="44">
        <f>IF(I62=1,$C62/(1+($B$8+메인!$A$101/10000)/2)^(J62-1),0)</f>
        <v/>
      </c>
      <c r="Z62" s="44">
        <f>IF(I62=1,$C62/(1+($B$8+메인!$A$102/10000)/2)^(J62-1),0)</f>
        <v/>
      </c>
      <c r="AA62" s="44">
        <f>IF(I62=1,$C62/(1+($B$8+메인!$A$103/10000)/2)^(J62-1),0)</f>
        <v/>
      </c>
      <c r="AB62" s="44">
        <f>IF(I62=1,$C62/(1+($B$8+메인!$A$104/10000)/2)^(J62-1),0)</f>
        <v/>
      </c>
      <c r="AE62" s="42" t="n">
        <v>48</v>
      </c>
      <c r="AF62" s="43">
        <f>EDATE($AF$2,-6*(62-$AE62))</f>
        <v/>
      </c>
      <c r="AG62" s="44">
        <f>IF(AND(AF62&gt;$AF$3,AF62&lt;=$AF$2),IF(AF62=$AF$2,$AF$5+100,$AF$5),0)</f>
        <v/>
      </c>
      <c r="AH62" s="42">
        <f>IF(AND($AG62&gt;0,AF62&gt;$AF$6),1,0)</f>
        <v/>
      </c>
      <c r="AI62" s="42">
        <f>IF(AH62=1,SUM($AH$15:AH62),"")</f>
        <v/>
      </c>
      <c r="AJ62" s="44">
        <f>IF(AH62=1,$AG62/(1+$AF$8/2)^(AI62-1),0)</f>
        <v/>
      </c>
      <c r="AK62" s="44">
        <f>IF(AH62=1,$AG62/(1+($AF$8+0.0001)/2)^(AI62-1),0)</f>
        <v/>
      </c>
      <c r="AL62" s="44">
        <f>IF(AH62=1,$AG62/(1+($AF$8-0.0001)/2)^(AI62-1),0)</f>
        <v/>
      </c>
      <c r="AM62" s="42">
        <f>IF(AND($AG62&gt;0,AF62&gt;$AF$7),1,0)</f>
        <v/>
      </c>
      <c r="AN62" s="42">
        <f>IF(AM62=1,SUM($AM$15:AM62),"")</f>
        <v/>
      </c>
      <c r="AO62" s="44">
        <f>IF(AM62=1,$AG62/(1+$AF$99/2)^(AN62-1),0)</f>
        <v/>
      </c>
      <c r="AP62" s="44">
        <f>IF(AM62=1,$AG62/(1+($AF$99+0.0001)/2)^(AN62-1),0)</f>
        <v/>
      </c>
      <c r="AQ62" s="44">
        <f>IF(AM62=1,$AG62/(1+($AF$99-0.0001)/2)^(AN62-1),0)</f>
        <v/>
      </c>
      <c r="AR62" s="44">
        <f>IF(AM62=1,$AG62/(1+$AF$104/2)^(AN62-1),0)</f>
        <v/>
      </c>
      <c r="AS62" s="44">
        <f>IF(AM62=1,$AG62/(1+($AF$104+0.0001)/2)^(AN62-1),0)</f>
        <v/>
      </c>
      <c r="AT62" s="44">
        <f>IF(AM62=1,$AG62/(1+($AF$104-0.0001)/2)^(AN62-1),0)</f>
        <v/>
      </c>
      <c r="AU62" s="44">
        <f>IF(AM62=1,$AG62/(1+$AF$109/2)^(AN62-1),0)</f>
        <v/>
      </c>
      <c r="AV62" s="44">
        <f>IF(AND($AG62&gt;0,AF62&gt;$AF$6,AF62&lt;=$AF$7),$AG62*(1+$AF$9*($AF$7-AF62)/365),0)</f>
        <v/>
      </c>
      <c r="AW62" s="44">
        <f>IF(AM62=1,$AG62/(1+($AF$8+$AF$10/10000)/2)^(AN62-1),0)</f>
        <v/>
      </c>
      <c r="AX62" s="44">
        <f>IF(AM62=1,$AG62/(1+($AF$8+메인!$A$96/10000)/2)^(AN62-1),0)</f>
        <v/>
      </c>
      <c r="AY62" s="44">
        <f>IF(AM62=1,$AG62/(1+($AF$8+메인!$A$97/10000)/2)^(AN62-1),0)</f>
        <v/>
      </c>
      <c r="AZ62" s="44">
        <f>IF(AM62=1,$AG62/(1+($AF$8+메인!$A$98/10000)/2)^(AN62-1),0)</f>
        <v/>
      </c>
      <c r="BA62" s="44">
        <f>IF(AM62=1,$AG62/(1+($AF$8+메인!$A$99/10000)/2)^(AN62-1),0)</f>
        <v/>
      </c>
      <c r="BB62" s="44">
        <f>IF(AM62=1,$AG62/(1+($AF$8+메인!$A$100/10000)/2)^(AN62-1),0)</f>
        <v/>
      </c>
      <c r="BC62" s="44">
        <f>IF(AM62=1,$AG62/(1+($AF$8+메인!$A$101/10000)/2)^(AN62-1),0)</f>
        <v/>
      </c>
      <c r="BD62" s="44">
        <f>IF(AM62=1,$AG62/(1+($AF$8+메인!$A$102/10000)/2)^(AN62-1),0)</f>
        <v/>
      </c>
      <c r="BE62" s="44">
        <f>IF(AM62=1,$AG62/(1+($AF$8+메인!$A$103/10000)/2)^(AN62-1),0)</f>
        <v/>
      </c>
      <c r="BF62" s="44">
        <f>IF(AM62=1,$AG62/(1+($AF$8+메인!$A$104/10000)/2)^(AN62-1),0)</f>
        <v/>
      </c>
    </row>
    <row r="63">
      <c r="A63" s="42" t="n">
        <v>49</v>
      </c>
      <c r="B63" s="43">
        <f>EDATE($B$2,-6*(62-$A63))</f>
        <v/>
      </c>
      <c r="C63" s="44">
        <f>IF(AND(B63&gt;$B$3,B63&lt;=$B$2),IF(B63=$B$2,$B$5+100,$B$5),0)</f>
        <v/>
      </c>
      <c r="D63" s="42">
        <f>IF(AND($C63&gt;0,B63&gt;$B$6),1,0)</f>
        <v/>
      </c>
      <c r="E63" s="42">
        <f>IF(D63=1,SUM($D$15:D63),"")</f>
        <v/>
      </c>
      <c r="F63" s="44">
        <f>IF(D63=1,$C63/(1+$B$8/2)^(E63-1),0)</f>
        <v/>
      </c>
      <c r="G63" s="44">
        <f>IF(D63=1,$C63/(1+($B$8+0.0001)/2)^(E63-1),0)</f>
        <v/>
      </c>
      <c r="H63" s="44">
        <f>IF(D63=1,$C63/(1+($B$8-0.0001)/2)^(E63-1),0)</f>
        <v/>
      </c>
      <c r="I63" s="42">
        <f>IF(AND($C63&gt;0,B63&gt;$B$7),1,0)</f>
        <v/>
      </c>
      <c r="J63" s="42">
        <f>IF(I63=1,SUM($I$15:I63),"")</f>
        <v/>
      </c>
      <c r="K63" s="44">
        <f>IF(I63=1,$C63/(1+$B$99/2)^(J63-1),0)</f>
        <v/>
      </c>
      <c r="L63" s="44">
        <f>IF(I63=1,$C63/(1+($B$99+0.0001)/2)^(J63-1),0)</f>
        <v/>
      </c>
      <c r="M63" s="44">
        <f>IF(I63=1,$C63/(1+($B$99-0.0001)/2)^(J63-1),0)</f>
        <v/>
      </c>
      <c r="N63" s="44">
        <f>IF(I63=1,$C63/(1+$B$104/2)^(J63-1),0)</f>
        <v/>
      </c>
      <c r="O63" s="44">
        <f>IF(I63=1,$C63/(1+($B$104+0.0001)/2)^(J63-1),0)</f>
        <v/>
      </c>
      <c r="P63" s="44">
        <f>IF(I63=1,$C63/(1+($B$104-0.0001)/2)^(J63-1),0)</f>
        <v/>
      </c>
      <c r="Q63" s="44">
        <f>IF(I63=1,$C63/(1+$B$109/2)^(J63-1),0)</f>
        <v/>
      </c>
      <c r="R63" s="44">
        <f>IF(AND($C63&gt;0,B63&gt;$B$6,B63&lt;=$B$7),$C63*(1+$B$9*($B$7-B63)/365),0)</f>
        <v/>
      </c>
      <c r="S63" s="44">
        <f>IF(I63=1,$C63/(1+($B$8+$B$10/10000)/2)^(J63-1),0)</f>
        <v/>
      </c>
      <c r="T63" s="44">
        <f>IF(I63=1,$C63/(1+($B$8+메인!$A$96/10000)/2)^(J63-1),0)</f>
        <v/>
      </c>
      <c r="U63" s="44">
        <f>IF(I63=1,$C63/(1+($B$8+메인!$A$97/10000)/2)^(J63-1),0)</f>
        <v/>
      </c>
      <c r="V63" s="44">
        <f>IF(I63=1,$C63/(1+($B$8+메인!$A$98/10000)/2)^(J63-1),0)</f>
        <v/>
      </c>
      <c r="W63" s="44">
        <f>IF(I63=1,$C63/(1+($B$8+메인!$A$99/10000)/2)^(J63-1),0)</f>
        <v/>
      </c>
      <c r="X63" s="44">
        <f>IF(I63=1,$C63/(1+($B$8+메인!$A$100/10000)/2)^(J63-1),0)</f>
        <v/>
      </c>
      <c r="Y63" s="44">
        <f>IF(I63=1,$C63/(1+($B$8+메인!$A$101/10000)/2)^(J63-1),0)</f>
        <v/>
      </c>
      <c r="Z63" s="44">
        <f>IF(I63=1,$C63/(1+($B$8+메인!$A$102/10000)/2)^(J63-1),0)</f>
        <v/>
      </c>
      <c r="AA63" s="44">
        <f>IF(I63=1,$C63/(1+($B$8+메인!$A$103/10000)/2)^(J63-1),0)</f>
        <v/>
      </c>
      <c r="AB63" s="44">
        <f>IF(I63=1,$C63/(1+($B$8+메인!$A$104/10000)/2)^(J63-1),0)</f>
        <v/>
      </c>
      <c r="AE63" s="42" t="n">
        <v>49</v>
      </c>
      <c r="AF63" s="43">
        <f>EDATE($AF$2,-6*(62-$AE63))</f>
        <v/>
      </c>
      <c r="AG63" s="44">
        <f>IF(AND(AF63&gt;$AF$3,AF63&lt;=$AF$2),IF(AF63=$AF$2,$AF$5+100,$AF$5),0)</f>
        <v/>
      </c>
      <c r="AH63" s="42">
        <f>IF(AND($AG63&gt;0,AF63&gt;$AF$6),1,0)</f>
        <v/>
      </c>
      <c r="AI63" s="42">
        <f>IF(AH63=1,SUM($AH$15:AH63),"")</f>
        <v/>
      </c>
      <c r="AJ63" s="44">
        <f>IF(AH63=1,$AG63/(1+$AF$8/2)^(AI63-1),0)</f>
        <v/>
      </c>
      <c r="AK63" s="44">
        <f>IF(AH63=1,$AG63/(1+($AF$8+0.0001)/2)^(AI63-1),0)</f>
        <v/>
      </c>
      <c r="AL63" s="44">
        <f>IF(AH63=1,$AG63/(1+($AF$8-0.0001)/2)^(AI63-1),0)</f>
        <v/>
      </c>
      <c r="AM63" s="42">
        <f>IF(AND($AG63&gt;0,AF63&gt;$AF$7),1,0)</f>
        <v/>
      </c>
      <c r="AN63" s="42">
        <f>IF(AM63=1,SUM($AM$15:AM63),"")</f>
        <v/>
      </c>
      <c r="AO63" s="44">
        <f>IF(AM63=1,$AG63/(1+$AF$99/2)^(AN63-1),0)</f>
        <v/>
      </c>
      <c r="AP63" s="44">
        <f>IF(AM63=1,$AG63/(1+($AF$99+0.0001)/2)^(AN63-1),0)</f>
        <v/>
      </c>
      <c r="AQ63" s="44">
        <f>IF(AM63=1,$AG63/(1+($AF$99-0.0001)/2)^(AN63-1),0)</f>
        <v/>
      </c>
      <c r="AR63" s="44">
        <f>IF(AM63=1,$AG63/(1+$AF$104/2)^(AN63-1),0)</f>
        <v/>
      </c>
      <c r="AS63" s="44">
        <f>IF(AM63=1,$AG63/(1+($AF$104+0.0001)/2)^(AN63-1),0)</f>
        <v/>
      </c>
      <c r="AT63" s="44">
        <f>IF(AM63=1,$AG63/(1+($AF$104-0.0001)/2)^(AN63-1),0)</f>
        <v/>
      </c>
      <c r="AU63" s="44">
        <f>IF(AM63=1,$AG63/(1+$AF$109/2)^(AN63-1),0)</f>
        <v/>
      </c>
      <c r="AV63" s="44">
        <f>IF(AND($AG63&gt;0,AF63&gt;$AF$6,AF63&lt;=$AF$7),$AG63*(1+$AF$9*($AF$7-AF63)/365),0)</f>
        <v/>
      </c>
      <c r="AW63" s="44">
        <f>IF(AM63=1,$AG63/(1+($AF$8+$AF$10/10000)/2)^(AN63-1),0)</f>
        <v/>
      </c>
      <c r="AX63" s="44">
        <f>IF(AM63=1,$AG63/(1+($AF$8+메인!$A$96/10000)/2)^(AN63-1),0)</f>
        <v/>
      </c>
      <c r="AY63" s="44">
        <f>IF(AM63=1,$AG63/(1+($AF$8+메인!$A$97/10000)/2)^(AN63-1),0)</f>
        <v/>
      </c>
      <c r="AZ63" s="44">
        <f>IF(AM63=1,$AG63/(1+($AF$8+메인!$A$98/10000)/2)^(AN63-1),0)</f>
        <v/>
      </c>
      <c r="BA63" s="44">
        <f>IF(AM63=1,$AG63/(1+($AF$8+메인!$A$99/10000)/2)^(AN63-1),0)</f>
        <v/>
      </c>
      <c r="BB63" s="44">
        <f>IF(AM63=1,$AG63/(1+($AF$8+메인!$A$100/10000)/2)^(AN63-1),0)</f>
        <v/>
      </c>
      <c r="BC63" s="44">
        <f>IF(AM63=1,$AG63/(1+($AF$8+메인!$A$101/10000)/2)^(AN63-1),0)</f>
        <v/>
      </c>
      <c r="BD63" s="44">
        <f>IF(AM63=1,$AG63/(1+($AF$8+메인!$A$102/10000)/2)^(AN63-1),0)</f>
        <v/>
      </c>
      <c r="BE63" s="44">
        <f>IF(AM63=1,$AG63/(1+($AF$8+메인!$A$103/10000)/2)^(AN63-1),0)</f>
        <v/>
      </c>
      <c r="BF63" s="44">
        <f>IF(AM63=1,$AG63/(1+($AF$8+메인!$A$104/10000)/2)^(AN63-1),0)</f>
        <v/>
      </c>
    </row>
    <row r="64">
      <c r="A64" s="42" t="n">
        <v>50</v>
      </c>
      <c r="B64" s="43">
        <f>EDATE($B$2,-6*(62-$A64))</f>
        <v/>
      </c>
      <c r="C64" s="44">
        <f>IF(AND(B64&gt;$B$3,B64&lt;=$B$2),IF(B64=$B$2,$B$5+100,$B$5),0)</f>
        <v/>
      </c>
      <c r="D64" s="42">
        <f>IF(AND($C64&gt;0,B64&gt;$B$6),1,0)</f>
        <v/>
      </c>
      <c r="E64" s="42">
        <f>IF(D64=1,SUM($D$15:D64),"")</f>
        <v/>
      </c>
      <c r="F64" s="44">
        <f>IF(D64=1,$C64/(1+$B$8/2)^(E64-1),0)</f>
        <v/>
      </c>
      <c r="G64" s="44">
        <f>IF(D64=1,$C64/(1+($B$8+0.0001)/2)^(E64-1),0)</f>
        <v/>
      </c>
      <c r="H64" s="44">
        <f>IF(D64=1,$C64/(1+($B$8-0.0001)/2)^(E64-1),0)</f>
        <v/>
      </c>
      <c r="I64" s="42">
        <f>IF(AND($C64&gt;0,B64&gt;$B$7),1,0)</f>
        <v/>
      </c>
      <c r="J64" s="42">
        <f>IF(I64=1,SUM($I$15:I64),"")</f>
        <v/>
      </c>
      <c r="K64" s="44">
        <f>IF(I64=1,$C64/(1+$B$99/2)^(J64-1),0)</f>
        <v/>
      </c>
      <c r="L64" s="44">
        <f>IF(I64=1,$C64/(1+($B$99+0.0001)/2)^(J64-1),0)</f>
        <v/>
      </c>
      <c r="M64" s="44">
        <f>IF(I64=1,$C64/(1+($B$99-0.0001)/2)^(J64-1),0)</f>
        <v/>
      </c>
      <c r="N64" s="44">
        <f>IF(I64=1,$C64/(1+$B$104/2)^(J64-1),0)</f>
        <v/>
      </c>
      <c r="O64" s="44">
        <f>IF(I64=1,$C64/(1+($B$104+0.0001)/2)^(J64-1),0)</f>
        <v/>
      </c>
      <c r="P64" s="44">
        <f>IF(I64=1,$C64/(1+($B$104-0.0001)/2)^(J64-1),0)</f>
        <v/>
      </c>
      <c r="Q64" s="44">
        <f>IF(I64=1,$C64/(1+$B$109/2)^(J64-1),0)</f>
        <v/>
      </c>
      <c r="R64" s="44">
        <f>IF(AND($C64&gt;0,B64&gt;$B$6,B64&lt;=$B$7),$C64*(1+$B$9*($B$7-B64)/365),0)</f>
        <v/>
      </c>
      <c r="S64" s="44">
        <f>IF(I64=1,$C64/(1+($B$8+$B$10/10000)/2)^(J64-1),0)</f>
        <v/>
      </c>
      <c r="T64" s="44">
        <f>IF(I64=1,$C64/(1+($B$8+메인!$A$96/10000)/2)^(J64-1),0)</f>
        <v/>
      </c>
      <c r="U64" s="44">
        <f>IF(I64=1,$C64/(1+($B$8+메인!$A$97/10000)/2)^(J64-1),0)</f>
        <v/>
      </c>
      <c r="V64" s="44">
        <f>IF(I64=1,$C64/(1+($B$8+메인!$A$98/10000)/2)^(J64-1),0)</f>
        <v/>
      </c>
      <c r="W64" s="44">
        <f>IF(I64=1,$C64/(1+($B$8+메인!$A$99/10000)/2)^(J64-1),0)</f>
        <v/>
      </c>
      <c r="X64" s="44">
        <f>IF(I64=1,$C64/(1+($B$8+메인!$A$100/10000)/2)^(J64-1),0)</f>
        <v/>
      </c>
      <c r="Y64" s="44">
        <f>IF(I64=1,$C64/(1+($B$8+메인!$A$101/10000)/2)^(J64-1),0)</f>
        <v/>
      </c>
      <c r="Z64" s="44">
        <f>IF(I64=1,$C64/(1+($B$8+메인!$A$102/10000)/2)^(J64-1),0)</f>
        <v/>
      </c>
      <c r="AA64" s="44">
        <f>IF(I64=1,$C64/(1+($B$8+메인!$A$103/10000)/2)^(J64-1),0)</f>
        <v/>
      </c>
      <c r="AB64" s="44">
        <f>IF(I64=1,$C64/(1+($B$8+메인!$A$104/10000)/2)^(J64-1),0)</f>
        <v/>
      </c>
      <c r="AE64" s="42" t="n">
        <v>50</v>
      </c>
      <c r="AF64" s="43">
        <f>EDATE($AF$2,-6*(62-$AE64))</f>
        <v/>
      </c>
      <c r="AG64" s="44">
        <f>IF(AND(AF64&gt;$AF$3,AF64&lt;=$AF$2),IF(AF64=$AF$2,$AF$5+100,$AF$5),0)</f>
        <v/>
      </c>
      <c r="AH64" s="42">
        <f>IF(AND($AG64&gt;0,AF64&gt;$AF$6),1,0)</f>
        <v/>
      </c>
      <c r="AI64" s="42">
        <f>IF(AH64=1,SUM($AH$15:AH64),"")</f>
        <v/>
      </c>
      <c r="AJ64" s="44">
        <f>IF(AH64=1,$AG64/(1+$AF$8/2)^(AI64-1),0)</f>
        <v/>
      </c>
      <c r="AK64" s="44">
        <f>IF(AH64=1,$AG64/(1+($AF$8+0.0001)/2)^(AI64-1),0)</f>
        <v/>
      </c>
      <c r="AL64" s="44">
        <f>IF(AH64=1,$AG64/(1+($AF$8-0.0001)/2)^(AI64-1),0)</f>
        <v/>
      </c>
      <c r="AM64" s="42">
        <f>IF(AND($AG64&gt;0,AF64&gt;$AF$7),1,0)</f>
        <v/>
      </c>
      <c r="AN64" s="42">
        <f>IF(AM64=1,SUM($AM$15:AM64),"")</f>
        <v/>
      </c>
      <c r="AO64" s="44">
        <f>IF(AM64=1,$AG64/(1+$AF$99/2)^(AN64-1),0)</f>
        <v/>
      </c>
      <c r="AP64" s="44">
        <f>IF(AM64=1,$AG64/(1+($AF$99+0.0001)/2)^(AN64-1),0)</f>
        <v/>
      </c>
      <c r="AQ64" s="44">
        <f>IF(AM64=1,$AG64/(1+($AF$99-0.0001)/2)^(AN64-1),0)</f>
        <v/>
      </c>
      <c r="AR64" s="44">
        <f>IF(AM64=1,$AG64/(1+$AF$104/2)^(AN64-1),0)</f>
        <v/>
      </c>
      <c r="AS64" s="44">
        <f>IF(AM64=1,$AG64/(1+($AF$104+0.0001)/2)^(AN64-1),0)</f>
        <v/>
      </c>
      <c r="AT64" s="44">
        <f>IF(AM64=1,$AG64/(1+($AF$104-0.0001)/2)^(AN64-1),0)</f>
        <v/>
      </c>
      <c r="AU64" s="44">
        <f>IF(AM64=1,$AG64/(1+$AF$109/2)^(AN64-1),0)</f>
        <v/>
      </c>
      <c r="AV64" s="44">
        <f>IF(AND($AG64&gt;0,AF64&gt;$AF$6,AF64&lt;=$AF$7),$AG64*(1+$AF$9*($AF$7-AF64)/365),0)</f>
        <v/>
      </c>
      <c r="AW64" s="44">
        <f>IF(AM64=1,$AG64/(1+($AF$8+$AF$10/10000)/2)^(AN64-1),0)</f>
        <v/>
      </c>
      <c r="AX64" s="44">
        <f>IF(AM64=1,$AG64/(1+($AF$8+메인!$A$96/10000)/2)^(AN64-1),0)</f>
        <v/>
      </c>
      <c r="AY64" s="44">
        <f>IF(AM64=1,$AG64/(1+($AF$8+메인!$A$97/10000)/2)^(AN64-1),0)</f>
        <v/>
      </c>
      <c r="AZ64" s="44">
        <f>IF(AM64=1,$AG64/(1+($AF$8+메인!$A$98/10000)/2)^(AN64-1),0)</f>
        <v/>
      </c>
      <c r="BA64" s="44">
        <f>IF(AM64=1,$AG64/(1+($AF$8+메인!$A$99/10000)/2)^(AN64-1),0)</f>
        <v/>
      </c>
      <c r="BB64" s="44">
        <f>IF(AM64=1,$AG64/(1+($AF$8+메인!$A$100/10000)/2)^(AN64-1),0)</f>
        <v/>
      </c>
      <c r="BC64" s="44">
        <f>IF(AM64=1,$AG64/(1+($AF$8+메인!$A$101/10000)/2)^(AN64-1),0)</f>
        <v/>
      </c>
      <c r="BD64" s="44">
        <f>IF(AM64=1,$AG64/(1+($AF$8+메인!$A$102/10000)/2)^(AN64-1),0)</f>
        <v/>
      </c>
      <c r="BE64" s="44">
        <f>IF(AM64=1,$AG64/(1+($AF$8+메인!$A$103/10000)/2)^(AN64-1),0)</f>
        <v/>
      </c>
      <c r="BF64" s="44">
        <f>IF(AM64=1,$AG64/(1+($AF$8+메인!$A$104/10000)/2)^(AN64-1),0)</f>
        <v/>
      </c>
    </row>
    <row r="65">
      <c r="A65" s="42" t="n">
        <v>51</v>
      </c>
      <c r="B65" s="43">
        <f>EDATE($B$2,-6*(62-$A65))</f>
        <v/>
      </c>
      <c r="C65" s="44">
        <f>IF(AND(B65&gt;$B$3,B65&lt;=$B$2),IF(B65=$B$2,$B$5+100,$B$5),0)</f>
        <v/>
      </c>
      <c r="D65" s="42">
        <f>IF(AND($C65&gt;0,B65&gt;$B$6),1,0)</f>
        <v/>
      </c>
      <c r="E65" s="42">
        <f>IF(D65=1,SUM($D$15:D65),"")</f>
        <v/>
      </c>
      <c r="F65" s="44">
        <f>IF(D65=1,$C65/(1+$B$8/2)^(E65-1),0)</f>
        <v/>
      </c>
      <c r="G65" s="44">
        <f>IF(D65=1,$C65/(1+($B$8+0.0001)/2)^(E65-1),0)</f>
        <v/>
      </c>
      <c r="H65" s="44">
        <f>IF(D65=1,$C65/(1+($B$8-0.0001)/2)^(E65-1),0)</f>
        <v/>
      </c>
      <c r="I65" s="42">
        <f>IF(AND($C65&gt;0,B65&gt;$B$7),1,0)</f>
        <v/>
      </c>
      <c r="J65" s="42">
        <f>IF(I65=1,SUM($I$15:I65),"")</f>
        <v/>
      </c>
      <c r="K65" s="44">
        <f>IF(I65=1,$C65/(1+$B$99/2)^(J65-1),0)</f>
        <v/>
      </c>
      <c r="L65" s="44">
        <f>IF(I65=1,$C65/(1+($B$99+0.0001)/2)^(J65-1),0)</f>
        <v/>
      </c>
      <c r="M65" s="44">
        <f>IF(I65=1,$C65/(1+($B$99-0.0001)/2)^(J65-1),0)</f>
        <v/>
      </c>
      <c r="N65" s="44">
        <f>IF(I65=1,$C65/(1+$B$104/2)^(J65-1),0)</f>
        <v/>
      </c>
      <c r="O65" s="44">
        <f>IF(I65=1,$C65/(1+($B$104+0.0001)/2)^(J65-1),0)</f>
        <v/>
      </c>
      <c r="P65" s="44">
        <f>IF(I65=1,$C65/(1+($B$104-0.0001)/2)^(J65-1),0)</f>
        <v/>
      </c>
      <c r="Q65" s="44">
        <f>IF(I65=1,$C65/(1+$B$109/2)^(J65-1),0)</f>
        <v/>
      </c>
      <c r="R65" s="44">
        <f>IF(AND($C65&gt;0,B65&gt;$B$6,B65&lt;=$B$7),$C65*(1+$B$9*($B$7-B65)/365),0)</f>
        <v/>
      </c>
      <c r="S65" s="44">
        <f>IF(I65=1,$C65/(1+($B$8+$B$10/10000)/2)^(J65-1),0)</f>
        <v/>
      </c>
      <c r="T65" s="44">
        <f>IF(I65=1,$C65/(1+($B$8+메인!$A$96/10000)/2)^(J65-1),0)</f>
        <v/>
      </c>
      <c r="U65" s="44">
        <f>IF(I65=1,$C65/(1+($B$8+메인!$A$97/10000)/2)^(J65-1),0)</f>
        <v/>
      </c>
      <c r="V65" s="44">
        <f>IF(I65=1,$C65/(1+($B$8+메인!$A$98/10000)/2)^(J65-1),0)</f>
        <v/>
      </c>
      <c r="W65" s="44">
        <f>IF(I65=1,$C65/(1+($B$8+메인!$A$99/10000)/2)^(J65-1),0)</f>
        <v/>
      </c>
      <c r="X65" s="44">
        <f>IF(I65=1,$C65/(1+($B$8+메인!$A$100/10000)/2)^(J65-1),0)</f>
        <v/>
      </c>
      <c r="Y65" s="44">
        <f>IF(I65=1,$C65/(1+($B$8+메인!$A$101/10000)/2)^(J65-1),0)</f>
        <v/>
      </c>
      <c r="Z65" s="44">
        <f>IF(I65=1,$C65/(1+($B$8+메인!$A$102/10000)/2)^(J65-1),0)</f>
        <v/>
      </c>
      <c r="AA65" s="44">
        <f>IF(I65=1,$C65/(1+($B$8+메인!$A$103/10000)/2)^(J65-1),0)</f>
        <v/>
      </c>
      <c r="AB65" s="44">
        <f>IF(I65=1,$C65/(1+($B$8+메인!$A$104/10000)/2)^(J65-1),0)</f>
        <v/>
      </c>
      <c r="AE65" s="42" t="n">
        <v>51</v>
      </c>
      <c r="AF65" s="43">
        <f>EDATE($AF$2,-6*(62-$AE65))</f>
        <v/>
      </c>
      <c r="AG65" s="44">
        <f>IF(AND(AF65&gt;$AF$3,AF65&lt;=$AF$2),IF(AF65=$AF$2,$AF$5+100,$AF$5),0)</f>
        <v/>
      </c>
      <c r="AH65" s="42">
        <f>IF(AND($AG65&gt;0,AF65&gt;$AF$6),1,0)</f>
        <v/>
      </c>
      <c r="AI65" s="42">
        <f>IF(AH65=1,SUM($AH$15:AH65),"")</f>
        <v/>
      </c>
      <c r="AJ65" s="44">
        <f>IF(AH65=1,$AG65/(1+$AF$8/2)^(AI65-1),0)</f>
        <v/>
      </c>
      <c r="AK65" s="44">
        <f>IF(AH65=1,$AG65/(1+($AF$8+0.0001)/2)^(AI65-1),0)</f>
        <v/>
      </c>
      <c r="AL65" s="44">
        <f>IF(AH65=1,$AG65/(1+($AF$8-0.0001)/2)^(AI65-1),0)</f>
        <v/>
      </c>
      <c r="AM65" s="42">
        <f>IF(AND($AG65&gt;0,AF65&gt;$AF$7),1,0)</f>
        <v/>
      </c>
      <c r="AN65" s="42">
        <f>IF(AM65=1,SUM($AM$15:AM65),"")</f>
        <v/>
      </c>
      <c r="AO65" s="44">
        <f>IF(AM65=1,$AG65/(1+$AF$99/2)^(AN65-1),0)</f>
        <v/>
      </c>
      <c r="AP65" s="44">
        <f>IF(AM65=1,$AG65/(1+($AF$99+0.0001)/2)^(AN65-1),0)</f>
        <v/>
      </c>
      <c r="AQ65" s="44">
        <f>IF(AM65=1,$AG65/(1+($AF$99-0.0001)/2)^(AN65-1),0)</f>
        <v/>
      </c>
      <c r="AR65" s="44">
        <f>IF(AM65=1,$AG65/(1+$AF$104/2)^(AN65-1),0)</f>
        <v/>
      </c>
      <c r="AS65" s="44">
        <f>IF(AM65=1,$AG65/(1+($AF$104+0.0001)/2)^(AN65-1),0)</f>
        <v/>
      </c>
      <c r="AT65" s="44">
        <f>IF(AM65=1,$AG65/(1+($AF$104-0.0001)/2)^(AN65-1),0)</f>
        <v/>
      </c>
      <c r="AU65" s="44">
        <f>IF(AM65=1,$AG65/(1+$AF$109/2)^(AN65-1),0)</f>
        <v/>
      </c>
      <c r="AV65" s="44">
        <f>IF(AND($AG65&gt;0,AF65&gt;$AF$6,AF65&lt;=$AF$7),$AG65*(1+$AF$9*($AF$7-AF65)/365),0)</f>
        <v/>
      </c>
      <c r="AW65" s="44">
        <f>IF(AM65=1,$AG65/(1+($AF$8+$AF$10/10000)/2)^(AN65-1),0)</f>
        <v/>
      </c>
      <c r="AX65" s="44">
        <f>IF(AM65=1,$AG65/(1+($AF$8+메인!$A$96/10000)/2)^(AN65-1),0)</f>
        <v/>
      </c>
      <c r="AY65" s="44">
        <f>IF(AM65=1,$AG65/(1+($AF$8+메인!$A$97/10000)/2)^(AN65-1),0)</f>
        <v/>
      </c>
      <c r="AZ65" s="44">
        <f>IF(AM65=1,$AG65/(1+($AF$8+메인!$A$98/10000)/2)^(AN65-1),0)</f>
        <v/>
      </c>
      <c r="BA65" s="44">
        <f>IF(AM65=1,$AG65/(1+($AF$8+메인!$A$99/10000)/2)^(AN65-1),0)</f>
        <v/>
      </c>
      <c r="BB65" s="44">
        <f>IF(AM65=1,$AG65/(1+($AF$8+메인!$A$100/10000)/2)^(AN65-1),0)</f>
        <v/>
      </c>
      <c r="BC65" s="44">
        <f>IF(AM65=1,$AG65/(1+($AF$8+메인!$A$101/10000)/2)^(AN65-1),0)</f>
        <v/>
      </c>
      <c r="BD65" s="44">
        <f>IF(AM65=1,$AG65/(1+($AF$8+메인!$A$102/10000)/2)^(AN65-1),0)</f>
        <v/>
      </c>
      <c r="BE65" s="44">
        <f>IF(AM65=1,$AG65/(1+($AF$8+메인!$A$103/10000)/2)^(AN65-1),0)</f>
        <v/>
      </c>
      <c r="BF65" s="44">
        <f>IF(AM65=1,$AG65/(1+($AF$8+메인!$A$104/10000)/2)^(AN65-1),0)</f>
        <v/>
      </c>
    </row>
    <row r="66">
      <c r="A66" s="42" t="n">
        <v>52</v>
      </c>
      <c r="B66" s="43">
        <f>EDATE($B$2,-6*(62-$A66))</f>
        <v/>
      </c>
      <c r="C66" s="44">
        <f>IF(AND(B66&gt;$B$3,B66&lt;=$B$2),IF(B66=$B$2,$B$5+100,$B$5),0)</f>
        <v/>
      </c>
      <c r="D66" s="42">
        <f>IF(AND($C66&gt;0,B66&gt;$B$6),1,0)</f>
        <v/>
      </c>
      <c r="E66" s="42">
        <f>IF(D66=1,SUM($D$15:D66),"")</f>
        <v/>
      </c>
      <c r="F66" s="44">
        <f>IF(D66=1,$C66/(1+$B$8/2)^(E66-1),0)</f>
        <v/>
      </c>
      <c r="G66" s="44">
        <f>IF(D66=1,$C66/(1+($B$8+0.0001)/2)^(E66-1),0)</f>
        <v/>
      </c>
      <c r="H66" s="44">
        <f>IF(D66=1,$C66/(1+($B$8-0.0001)/2)^(E66-1),0)</f>
        <v/>
      </c>
      <c r="I66" s="42">
        <f>IF(AND($C66&gt;0,B66&gt;$B$7),1,0)</f>
        <v/>
      </c>
      <c r="J66" s="42">
        <f>IF(I66=1,SUM($I$15:I66),"")</f>
        <v/>
      </c>
      <c r="K66" s="44">
        <f>IF(I66=1,$C66/(1+$B$99/2)^(J66-1),0)</f>
        <v/>
      </c>
      <c r="L66" s="44">
        <f>IF(I66=1,$C66/(1+($B$99+0.0001)/2)^(J66-1),0)</f>
        <v/>
      </c>
      <c r="M66" s="44">
        <f>IF(I66=1,$C66/(1+($B$99-0.0001)/2)^(J66-1),0)</f>
        <v/>
      </c>
      <c r="N66" s="44">
        <f>IF(I66=1,$C66/(1+$B$104/2)^(J66-1),0)</f>
        <v/>
      </c>
      <c r="O66" s="44">
        <f>IF(I66=1,$C66/(1+($B$104+0.0001)/2)^(J66-1),0)</f>
        <v/>
      </c>
      <c r="P66" s="44">
        <f>IF(I66=1,$C66/(1+($B$104-0.0001)/2)^(J66-1),0)</f>
        <v/>
      </c>
      <c r="Q66" s="44">
        <f>IF(I66=1,$C66/(1+$B$109/2)^(J66-1),0)</f>
        <v/>
      </c>
      <c r="R66" s="44">
        <f>IF(AND($C66&gt;0,B66&gt;$B$6,B66&lt;=$B$7),$C66*(1+$B$9*($B$7-B66)/365),0)</f>
        <v/>
      </c>
      <c r="S66" s="44">
        <f>IF(I66=1,$C66/(1+($B$8+$B$10/10000)/2)^(J66-1),0)</f>
        <v/>
      </c>
      <c r="T66" s="44">
        <f>IF(I66=1,$C66/(1+($B$8+메인!$A$96/10000)/2)^(J66-1),0)</f>
        <v/>
      </c>
      <c r="U66" s="44">
        <f>IF(I66=1,$C66/(1+($B$8+메인!$A$97/10000)/2)^(J66-1),0)</f>
        <v/>
      </c>
      <c r="V66" s="44">
        <f>IF(I66=1,$C66/(1+($B$8+메인!$A$98/10000)/2)^(J66-1),0)</f>
        <v/>
      </c>
      <c r="W66" s="44">
        <f>IF(I66=1,$C66/(1+($B$8+메인!$A$99/10000)/2)^(J66-1),0)</f>
        <v/>
      </c>
      <c r="X66" s="44">
        <f>IF(I66=1,$C66/(1+($B$8+메인!$A$100/10000)/2)^(J66-1),0)</f>
        <v/>
      </c>
      <c r="Y66" s="44">
        <f>IF(I66=1,$C66/(1+($B$8+메인!$A$101/10000)/2)^(J66-1),0)</f>
        <v/>
      </c>
      <c r="Z66" s="44">
        <f>IF(I66=1,$C66/(1+($B$8+메인!$A$102/10000)/2)^(J66-1),0)</f>
        <v/>
      </c>
      <c r="AA66" s="44">
        <f>IF(I66=1,$C66/(1+($B$8+메인!$A$103/10000)/2)^(J66-1),0)</f>
        <v/>
      </c>
      <c r="AB66" s="44">
        <f>IF(I66=1,$C66/(1+($B$8+메인!$A$104/10000)/2)^(J66-1),0)</f>
        <v/>
      </c>
      <c r="AE66" s="42" t="n">
        <v>52</v>
      </c>
      <c r="AF66" s="43">
        <f>EDATE($AF$2,-6*(62-$AE66))</f>
        <v/>
      </c>
      <c r="AG66" s="44">
        <f>IF(AND(AF66&gt;$AF$3,AF66&lt;=$AF$2),IF(AF66=$AF$2,$AF$5+100,$AF$5),0)</f>
        <v/>
      </c>
      <c r="AH66" s="42">
        <f>IF(AND($AG66&gt;0,AF66&gt;$AF$6),1,0)</f>
        <v/>
      </c>
      <c r="AI66" s="42">
        <f>IF(AH66=1,SUM($AH$15:AH66),"")</f>
        <v/>
      </c>
      <c r="AJ66" s="44">
        <f>IF(AH66=1,$AG66/(1+$AF$8/2)^(AI66-1),0)</f>
        <v/>
      </c>
      <c r="AK66" s="44">
        <f>IF(AH66=1,$AG66/(1+($AF$8+0.0001)/2)^(AI66-1),0)</f>
        <v/>
      </c>
      <c r="AL66" s="44">
        <f>IF(AH66=1,$AG66/(1+($AF$8-0.0001)/2)^(AI66-1),0)</f>
        <v/>
      </c>
      <c r="AM66" s="42">
        <f>IF(AND($AG66&gt;0,AF66&gt;$AF$7),1,0)</f>
        <v/>
      </c>
      <c r="AN66" s="42">
        <f>IF(AM66=1,SUM($AM$15:AM66),"")</f>
        <v/>
      </c>
      <c r="AO66" s="44">
        <f>IF(AM66=1,$AG66/(1+$AF$99/2)^(AN66-1),0)</f>
        <v/>
      </c>
      <c r="AP66" s="44">
        <f>IF(AM66=1,$AG66/(1+($AF$99+0.0001)/2)^(AN66-1),0)</f>
        <v/>
      </c>
      <c r="AQ66" s="44">
        <f>IF(AM66=1,$AG66/(1+($AF$99-0.0001)/2)^(AN66-1),0)</f>
        <v/>
      </c>
      <c r="AR66" s="44">
        <f>IF(AM66=1,$AG66/(1+$AF$104/2)^(AN66-1),0)</f>
        <v/>
      </c>
      <c r="AS66" s="44">
        <f>IF(AM66=1,$AG66/(1+($AF$104+0.0001)/2)^(AN66-1),0)</f>
        <v/>
      </c>
      <c r="AT66" s="44">
        <f>IF(AM66=1,$AG66/(1+($AF$104-0.0001)/2)^(AN66-1),0)</f>
        <v/>
      </c>
      <c r="AU66" s="44">
        <f>IF(AM66=1,$AG66/(1+$AF$109/2)^(AN66-1),0)</f>
        <v/>
      </c>
      <c r="AV66" s="44">
        <f>IF(AND($AG66&gt;0,AF66&gt;$AF$6,AF66&lt;=$AF$7),$AG66*(1+$AF$9*($AF$7-AF66)/365),0)</f>
        <v/>
      </c>
      <c r="AW66" s="44">
        <f>IF(AM66=1,$AG66/(1+($AF$8+$AF$10/10000)/2)^(AN66-1),0)</f>
        <v/>
      </c>
      <c r="AX66" s="44">
        <f>IF(AM66=1,$AG66/(1+($AF$8+메인!$A$96/10000)/2)^(AN66-1),0)</f>
        <v/>
      </c>
      <c r="AY66" s="44">
        <f>IF(AM66=1,$AG66/(1+($AF$8+메인!$A$97/10000)/2)^(AN66-1),0)</f>
        <v/>
      </c>
      <c r="AZ66" s="44">
        <f>IF(AM66=1,$AG66/(1+($AF$8+메인!$A$98/10000)/2)^(AN66-1),0)</f>
        <v/>
      </c>
      <c r="BA66" s="44">
        <f>IF(AM66=1,$AG66/(1+($AF$8+메인!$A$99/10000)/2)^(AN66-1),0)</f>
        <v/>
      </c>
      <c r="BB66" s="44">
        <f>IF(AM66=1,$AG66/(1+($AF$8+메인!$A$100/10000)/2)^(AN66-1),0)</f>
        <v/>
      </c>
      <c r="BC66" s="44">
        <f>IF(AM66=1,$AG66/(1+($AF$8+메인!$A$101/10000)/2)^(AN66-1),0)</f>
        <v/>
      </c>
      <c r="BD66" s="44">
        <f>IF(AM66=1,$AG66/(1+($AF$8+메인!$A$102/10000)/2)^(AN66-1),0)</f>
        <v/>
      </c>
      <c r="BE66" s="44">
        <f>IF(AM66=1,$AG66/(1+($AF$8+메인!$A$103/10000)/2)^(AN66-1),0)</f>
        <v/>
      </c>
      <c r="BF66" s="44">
        <f>IF(AM66=1,$AG66/(1+($AF$8+메인!$A$104/10000)/2)^(AN66-1),0)</f>
        <v/>
      </c>
    </row>
    <row r="67">
      <c r="A67" s="42" t="n">
        <v>53</v>
      </c>
      <c r="B67" s="43">
        <f>EDATE($B$2,-6*(62-$A67))</f>
        <v/>
      </c>
      <c r="C67" s="44">
        <f>IF(AND(B67&gt;$B$3,B67&lt;=$B$2),IF(B67=$B$2,$B$5+100,$B$5),0)</f>
        <v/>
      </c>
      <c r="D67" s="42">
        <f>IF(AND($C67&gt;0,B67&gt;$B$6),1,0)</f>
        <v/>
      </c>
      <c r="E67" s="42">
        <f>IF(D67=1,SUM($D$15:D67),"")</f>
        <v/>
      </c>
      <c r="F67" s="44">
        <f>IF(D67=1,$C67/(1+$B$8/2)^(E67-1),0)</f>
        <v/>
      </c>
      <c r="G67" s="44">
        <f>IF(D67=1,$C67/(1+($B$8+0.0001)/2)^(E67-1),0)</f>
        <v/>
      </c>
      <c r="H67" s="44">
        <f>IF(D67=1,$C67/(1+($B$8-0.0001)/2)^(E67-1),0)</f>
        <v/>
      </c>
      <c r="I67" s="42">
        <f>IF(AND($C67&gt;0,B67&gt;$B$7),1,0)</f>
        <v/>
      </c>
      <c r="J67" s="42">
        <f>IF(I67=1,SUM($I$15:I67),"")</f>
        <v/>
      </c>
      <c r="K67" s="44">
        <f>IF(I67=1,$C67/(1+$B$99/2)^(J67-1),0)</f>
        <v/>
      </c>
      <c r="L67" s="44">
        <f>IF(I67=1,$C67/(1+($B$99+0.0001)/2)^(J67-1),0)</f>
        <v/>
      </c>
      <c r="M67" s="44">
        <f>IF(I67=1,$C67/(1+($B$99-0.0001)/2)^(J67-1),0)</f>
        <v/>
      </c>
      <c r="N67" s="44">
        <f>IF(I67=1,$C67/(1+$B$104/2)^(J67-1),0)</f>
        <v/>
      </c>
      <c r="O67" s="44">
        <f>IF(I67=1,$C67/(1+($B$104+0.0001)/2)^(J67-1),0)</f>
        <v/>
      </c>
      <c r="P67" s="44">
        <f>IF(I67=1,$C67/(1+($B$104-0.0001)/2)^(J67-1),0)</f>
        <v/>
      </c>
      <c r="Q67" s="44">
        <f>IF(I67=1,$C67/(1+$B$109/2)^(J67-1),0)</f>
        <v/>
      </c>
      <c r="R67" s="44">
        <f>IF(AND($C67&gt;0,B67&gt;$B$6,B67&lt;=$B$7),$C67*(1+$B$9*($B$7-B67)/365),0)</f>
        <v/>
      </c>
      <c r="S67" s="44">
        <f>IF(I67=1,$C67/(1+($B$8+$B$10/10000)/2)^(J67-1),0)</f>
        <v/>
      </c>
      <c r="T67" s="44">
        <f>IF(I67=1,$C67/(1+($B$8+메인!$A$96/10000)/2)^(J67-1),0)</f>
        <v/>
      </c>
      <c r="U67" s="44">
        <f>IF(I67=1,$C67/(1+($B$8+메인!$A$97/10000)/2)^(J67-1),0)</f>
        <v/>
      </c>
      <c r="V67" s="44">
        <f>IF(I67=1,$C67/(1+($B$8+메인!$A$98/10000)/2)^(J67-1),0)</f>
        <v/>
      </c>
      <c r="W67" s="44">
        <f>IF(I67=1,$C67/(1+($B$8+메인!$A$99/10000)/2)^(J67-1),0)</f>
        <v/>
      </c>
      <c r="X67" s="44">
        <f>IF(I67=1,$C67/(1+($B$8+메인!$A$100/10000)/2)^(J67-1),0)</f>
        <v/>
      </c>
      <c r="Y67" s="44">
        <f>IF(I67=1,$C67/(1+($B$8+메인!$A$101/10000)/2)^(J67-1),0)</f>
        <v/>
      </c>
      <c r="Z67" s="44">
        <f>IF(I67=1,$C67/(1+($B$8+메인!$A$102/10000)/2)^(J67-1),0)</f>
        <v/>
      </c>
      <c r="AA67" s="44">
        <f>IF(I67=1,$C67/(1+($B$8+메인!$A$103/10000)/2)^(J67-1),0)</f>
        <v/>
      </c>
      <c r="AB67" s="44">
        <f>IF(I67=1,$C67/(1+($B$8+메인!$A$104/10000)/2)^(J67-1),0)</f>
        <v/>
      </c>
      <c r="AE67" s="42" t="n">
        <v>53</v>
      </c>
      <c r="AF67" s="43">
        <f>EDATE($AF$2,-6*(62-$AE67))</f>
        <v/>
      </c>
      <c r="AG67" s="44">
        <f>IF(AND(AF67&gt;$AF$3,AF67&lt;=$AF$2),IF(AF67=$AF$2,$AF$5+100,$AF$5),0)</f>
        <v/>
      </c>
      <c r="AH67" s="42">
        <f>IF(AND($AG67&gt;0,AF67&gt;$AF$6),1,0)</f>
        <v/>
      </c>
      <c r="AI67" s="42">
        <f>IF(AH67=1,SUM($AH$15:AH67),"")</f>
        <v/>
      </c>
      <c r="AJ67" s="44">
        <f>IF(AH67=1,$AG67/(1+$AF$8/2)^(AI67-1),0)</f>
        <v/>
      </c>
      <c r="AK67" s="44">
        <f>IF(AH67=1,$AG67/(1+($AF$8+0.0001)/2)^(AI67-1),0)</f>
        <v/>
      </c>
      <c r="AL67" s="44">
        <f>IF(AH67=1,$AG67/(1+($AF$8-0.0001)/2)^(AI67-1),0)</f>
        <v/>
      </c>
      <c r="AM67" s="42">
        <f>IF(AND($AG67&gt;0,AF67&gt;$AF$7),1,0)</f>
        <v/>
      </c>
      <c r="AN67" s="42">
        <f>IF(AM67=1,SUM($AM$15:AM67),"")</f>
        <v/>
      </c>
      <c r="AO67" s="44">
        <f>IF(AM67=1,$AG67/(1+$AF$99/2)^(AN67-1),0)</f>
        <v/>
      </c>
      <c r="AP67" s="44">
        <f>IF(AM67=1,$AG67/(1+($AF$99+0.0001)/2)^(AN67-1),0)</f>
        <v/>
      </c>
      <c r="AQ67" s="44">
        <f>IF(AM67=1,$AG67/(1+($AF$99-0.0001)/2)^(AN67-1),0)</f>
        <v/>
      </c>
      <c r="AR67" s="44">
        <f>IF(AM67=1,$AG67/(1+$AF$104/2)^(AN67-1),0)</f>
        <v/>
      </c>
      <c r="AS67" s="44">
        <f>IF(AM67=1,$AG67/(1+($AF$104+0.0001)/2)^(AN67-1),0)</f>
        <v/>
      </c>
      <c r="AT67" s="44">
        <f>IF(AM67=1,$AG67/(1+($AF$104-0.0001)/2)^(AN67-1),0)</f>
        <v/>
      </c>
      <c r="AU67" s="44">
        <f>IF(AM67=1,$AG67/(1+$AF$109/2)^(AN67-1),0)</f>
        <v/>
      </c>
      <c r="AV67" s="44">
        <f>IF(AND($AG67&gt;0,AF67&gt;$AF$6,AF67&lt;=$AF$7),$AG67*(1+$AF$9*($AF$7-AF67)/365),0)</f>
        <v/>
      </c>
      <c r="AW67" s="44">
        <f>IF(AM67=1,$AG67/(1+($AF$8+$AF$10/10000)/2)^(AN67-1),0)</f>
        <v/>
      </c>
      <c r="AX67" s="44">
        <f>IF(AM67=1,$AG67/(1+($AF$8+메인!$A$96/10000)/2)^(AN67-1),0)</f>
        <v/>
      </c>
      <c r="AY67" s="44">
        <f>IF(AM67=1,$AG67/(1+($AF$8+메인!$A$97/10000)/2)^(AN67-1),0)</f>
        <v/>
      </c>
      <c r="AZ67" s="44">
        <f>IF(AM67=1,$AG67/(1+($AF$8+메인!$A$98/10000)/2)^(AN67-1),0)</f>
        <v/>
      </c>
      <c r="BA67" s="44">
        <f>IF(AM67=1,$AG67/(1+($AF$8+메인!$A$99/10000)/2)^(AN67-1),0)</f>
        <v/>
      </c>
      <c r="BB67" s="44">
        <f>IF(AM67=1,$AG67/(1+($AF$8+메인!$A$100/10000)/2)^(AN67-1),0)</f>
        <v/>
      </c>
      <c r="BC67" s="44">
        <f>IF(AM67=1,$AG67/(1+($AF$8+메인!$A$101/10000)/2)^(AN67-1),0)</f>
        <v/>
      </c>
      <c r="BD67" s="44">
        <f>IF(AM67=1,$AG67/(1+($AF$8+메인!$A$102/10000)/2)^(AN67-1),0)</f>
        <v/>
      </c>
      <c r="BE67" s="44">
        <f>IF(AM67=1,$AG67/(1+($AF$8+메인!$A$103/10000)/2)^(AN67-1),0)</f>
        <v/>
      </c>
      <c r="BF67" s="44">
        <f>IF(AM67=1,$AG67/(1+($AF$8+메인!$A$104/10000)/2)^(AN67-1),0)</f>
        <v/>
      </c>
    </row>
    <row r="68">
      <c r="A68" s="42" t="n">
        <v>54</v>
      </c>
      <c r="B68" s="43">
        <f>EDATE($B$2,-6*(62-$A68))</f>
        <v/>
      </c>
      <c r="C68" s="44">
        <f>IF(AND(B68&gt;$B$3,B68&lt;=$B$2),IF(B68=$B$2,$B$5+100,$B$5),0)</f>
        <v/>
      </c>
      <c r="D68" s="42">
        <f>IF(AND($C68&gt;0,B68&gt;$B$6),1,0)</f>
        <v/>
      </c>
      <c r="E68" s="42">
        <f>IF(D68=1,SUM($D$15:D68),"")</f>
        <v/>
      </c>
      <c r="F68" s="44">
        <f>IF(D68=1,$C68/(1+$B$8/2)^(E68-1),0)</f>
        <v/>
      </c>
      <c r="G68" s="44">
        <f>IF(D68=1,$C68/(1+($B$8+0.0001)/2)^(E68-1),0)</f>
        <v/>
      </c>
      <c r="H68" s="44">
        <f>IF(D68=1,$C68/(1+($B$8-0.0001)/2)^(E68-1),0)</f>
        <v/>
      </c>
      <c r="I68" s="42">
        <f>IF(AND($C68&gt;0,B68&gt;$B$7),1,0)</f>
        <v/>
      </c>
      <c r="J68" s="42">
        <f>IF(I68=1,SUM($I$15:I68),"")</f>
        <v/>
      </c>
      <c r="K68" s="44">
        <f>IF(I68=1,$C68/(1+$B$99/2)^(J68-1),0)</f>
        <v/>
      </c>
      <c r="L68" s="44">
        <f>IF(I68=1,$C68/(1+($B$99+0.0001)/2)^(J68-1),0)</f>
        <v/>
      </c>
      <c r="M68" s="44">
        <f>IF(I68=1,$C68/(1+($B$99-0.0001)/2)^(J68-1),0)</f>
        <v/>
      </c>
      <c r="N68" s="44">
        <f>IF(I68=1,$C68/(1+$B$104/2)^(J68-1),0)</f>
        <v/>
      </c>
      <c r="O68" s="44">
        <f>IF(I68=1,$C68/(1+($B$104+0.0001)/2)^(J68-1),0)</f>
        <v/>
      </c>
      <c r="P68" s="44">
        <f>IF(I68=1,$C68/(1+($B$104-0.0001)/2)^(J68-1),0)</f>
        <v/>
      </c>
      <c r="Q68" s="44">
        <f>IF(I68=1,$C68/(1+$B$109/2)^(J68-1),0)</f>
        <v/>
      </c>
      <c r="R68" s="44">
        <f>IF(AND($C68&gt;0,B68&gt;$B$6,B68&lt;=$B$7),$C68*(1+$B$9*($B$7-B68)/365),0)</f>
        <v/>
      </c>
      <c r="S68" s="44">
        <f>IF(I68=1,$C68/(1+($B$8+$B$10/10000)/2)^(J68-1),0)</f>
        <v/>
      </c>
      <c r="T68" s="44">
        <f>IF(I68=1,$C68/(1+($B$8+메인!$A$96/10000)/2)^(J68-1),0)</f>
        <v/>
      </c>
      <c r="U68" s="44">
        <f>IF(I68=1,$C68/(1+($B$8+메인!$A$97/10000)/2)^(J68-1),0)</f>
        <v/>
      </c>
      <c r="V68" s="44">
        <f>IF(I68=1,$C68/(1+($B$8+메인!$A$98/10000)/2)^(J68-1),0)</f>
        <v/>
      </c>
      <c r="W68" s="44">
        <f>IF(I68=1,$C68/(1+($B$8+메인!$A$99/10000)/2)^(J68-1),0)</f>
        <v/>
      </c>
      <c r="X68" s="44">
        <f>IF(I68=1,$C68/(1+($B$8+메인!$A$100/10000)/2)^(J68-1),0)</f>
        <v/>
      </c>
      <c r="Y68" s="44">
        <f>IF(I68=1,$C68/(1+($B$8+메인!$A$101/10000)/2)^(J68-1),0)</f>
        <v/>
      </c>
      <c r="Z68" s="44">
        <f>IF(I68=1,$C68/(1+($B$8+메인!$A$102/10000)/2)^(J68-1),0)</f>
        <v/>
      </c>
      <c r="AA68" s="44">
        <f>IF(I68=1,$C68/(1+($B$8+메인!$A$103/10000)/2)^(J68-1),0)</f>
        <v/>
      </c>
      <c r="AB68" s="44">
        <f>IF(I68=1,$C68/(1+($B$8+메인!$A$104/10000)/2)^(J68-1),0)</f>
        <v/>
      </c>
      <c r="AE68" s="42" t="n">
        <v>54</v>
      </c>
      <c r="AF68" s="43">
        <f>EDATE($AF$2,-6*(62-$AE68))</f>
        <v/>
      </c>
      <c r="AG68" s="44">
        <f>IF(AND(AF68&gt;$AF$3,AF68&lt;=$AF$2),IF(AF68=$AF$2,$AF$5+100,$AF$5),0)</f>
        <v/>
      </c>
      <c r="AH68" s="42">
        <f>IF(AND($AG68&gt;0,AF68&gt;$AF$6),1,0)</f>
        <v/>
      </c>
      <c r="AI68" s="42">
        <f>IF(AH68=1,SUM($AH$15:AH68),"")</f>
        <v/>
      </c>
      <c r="AJ68" s="44">
        <f>IF(AH68=1,$AG68/(1+$AF$8/2)^(AI68-1),0)</f>
        <v/>
      </c>
      <c r="AK68" s="44">
        <f>IF(AH68=1,$AG68/(1+($AF$8+0.0001)/2)^(AI68-1),0)</f>
        <v/>
      </c>
      <c r="AL68" s="44">
        <f>IF(AH68=1,$AG68/(1+($AF$8-0.0001)/2)^(AI68-1),0)</f>
        <v/>
      </c>
      <c r="AM68" s="42">
        <f>IF(AND($AG68&gt;0,AF68&gt;$AF$7),1,0)</f>
        <v/>
      </c>
      <c r="AN68" s="42">
        <f>IF(AM68=1,SUM($AM$15:AM68),"")</f>
        <v/>
      </c>
      <c r="AO68" s="44">
        <f>IF(AM68=1,$AG68/(1+$AF$99/2)^(AN68-1),0)</f>
        <v/>
      </c>
      <c r="AP68" s="44">
        <f>IF(AM68=1,$AG68/(1+($AF$99+0.0001)/2)^(AN68-1),0)</f>
        <v/>
      </c>
      <c r="AQ68" s="44">
        <f>IF(AM68=1,$AG68/(1+($AF$99-0.0001)/2)^(AN68-1),0)</f>
        <v/>
      </c>
      <c r="AR68" s="44">
        <f>IF(AM68=1,$AG68/(1+$AF$104/2)^(AN68-1),0)</f>
        <v/>
      </c>
      <c r="AS68" s="44">
        <f>IF(AM68=1,$AG68/(1+($AF$104+0.0001)/2)^(AN68-1),0)</f>
        <v/>
      </c>
      <c r="AT68" s="44">
        <f>IF(AM68=1,$AG68/(1+($AF$104-0.0001)/2)^(AN68-1),0)</f>
        <v/>
      </c>
      <c r="AU68" s="44">
        <f>IF(AM68=1,$AG68/(1+$AF$109/2)^(AN68-1),0)</f>
        <v/>
      </c>
      <c r="AV68" s="44">
        <f>IF(AND($AG68&gt;0,AF68&gt;$AF$6,AF68&lt;=$AF$7),$AG68*(1+$AF$9*($AF$7-AF68)/365),0)</f>
        <v/>
      </c>
      <c r="AW68" s="44">
        <f>IF(AM68=1,$AG68/(1+($AF$8+$AF$10/10000)/2)^(AN68-1),0)</f>
        <v/>
      </c>
      <c r="AX68" s="44">
        <f>IF(AM68=1,$AG68/(1+($AF$8+메인!$A$96/10000)/2)^(AN68-1),0)</f>
        <v/>
      </c>
      <c r="AY68" s="44">
        <f>IF(AM68=1,$AG68/(1+($AF$8+메인!$A$97/10000)/2)^(AN68-1),0)</f>
        <v/>
      </c>
      <c r="AZ68" s="44">
        <f>IF(AM68=1,$AG68/(1+($AF$8+메인!$A$98/10000)/2)^(AN68-1),0)</f>
        <v/>
      </c>
      <c r="BA68" s="44">
        <f>IF(AM68=1,$AG68/(1+($AF$8+메인!$A$99/10000)/2)^(AN68-1),0)</f>
        <v/>
      </c>
      <c r="BB68" s="44">
        <f>IF(AM68=1,$AG68/(1+($AF$8+메인!$A$100/10000)/2)^(AN68-1),0)</f>
        <v/>
      </c>
      <c r="BC68" s="44">
        <f>IF(AM68=1,$AG68/(1+($AF$8+메인!$A$101/10000)/2)^(AN68-1),0)</f>
        <v/>
      </c>
      <c r="BD68" s="44">
        <f>IF(AM68=1,$AG68/(1+($AF$8+메인!$A$102/10000)/2)^(AN68-1),0)</f>
        <v/>
      </c>
      <c r="BE68" s="44">
        <f>IF(AM68=1,$AG68/(1+($AF$8+메인!$A$103/10000)/2)^(AN68-1),0)</f>
        <v/>
      </c>
      <c r="BF68" s="44">
        <f>IF(AM68=1,$AG68/(1+($AF$8+메인!$A$104/10000)/2)^(AN68-1),0)</f>
        <v/>
      </c>
    </row>
    <row r="69">
      <c r="A69" s="42" t="n">
        <v>55</v>
      </c>
      <c r="B69" s="43">
        <f>EDATE($B$2,-6*(62-$A69))</f>
        <v/>
      </c>
      <c r="C69" s="44">
        <f>IF(AND(B69&gt;$B$3,B69&lt;=$B$2),IF(B69=$B$2,$B$5+100,$B$5),0)</f>
        <v/>
      </c>
      <c r="D69" s="42">
        <f>IF(AND($C69&gt;0,B69&gt;$B$6),1,0)</f>
        <v/>
      </c>
      <c r="E69" s="42">
        <f>IF(D69=1,SUM($D$15:D69),"")</f>
        <v/>
      </c>
      <c r="F69" s="44">
        <f>IF(D69=1,$C69/(1+$B$8/2)^(E69-1),0)</f>
        <v/>
      </c>
      <c r="G69" s="44">
        <f>IF(D69=1,$C69/(1+($B$8+0.0001)/2)^(E69-1),0)</f>
        <v/>
      </c>
      <c r="H69" s="44">
        <f>IF(D69=1,$C69/(1+($B$8-0.0001)/2)^(E69-1),0)</f>
        <v/>
      </c>
      <c r="I69" s="42">
        <f>IF(AND($C69&gt;0,B69&gt;$B$7),1,0)</f>
        <v/>
      </c>
      <c r="J69" s="42">
        <f>IF(I69=1,SUM($I$15:I69),"")</f>
        <v/>
      </c>
      <c r="K69" s="44">
        <f>IF(I69=1,$C69/(1+$B$99/2)^(J69-1),0)</f>
        <v/>
      </c>
      <c r="L69" s="44">
        <f>IF(I69=1,$C69/(1+($B$99+0.0001)/2)^(J69-1),0)</f>
        <v/>
      </c>
      <c r="M69" s="44">
        <f>IF(I69=1,$C69/(1+($B$99-0.0001)/2)^(J69-1),0)</f>
        <v/>
      </c>
      <c r="N69" s="44">
        <f>IF(I69=1,$C69/(1+$B$104/2)^(J69-1),0)</f>
        <v/>
      </c>
      <c r="O69" s="44">
        <f>IF(I69=1,$C69/(1+($B$104+0.0001)/2)^(J69-1),0)</f>
        <v/>
      </c>
      <c r="P69" s="44">
        <f>IF(I69=1,$C69/(1+($B$104-0.0001)/2)^(J69-1),0)</f>
        <v/>
      </c>
      <c r="Q69" s="44">
        <f>IF(I69=1,$C69/(1+$B$109/2)^(J69-1),0)</f>
        <v/>
      </c>
      <c r="R69" s="44">
        <f>IF(AND($C69&gt;0,B69&gt;$B$6,B69&lt;=$B$7),$C69*(1+$B$9*($B$7-B69)/365),0)</f>
        <v/>
      </c>
      <c r="S69" s="44">
        <f>IF(I69=1,$C69/(1+($B$8+$B$10/10000)/2)^(J69-1),0)</f>
        <v/>
      </c>
      <c r="T69" s="44">
        <f>IF(I69=1,$C69/(1+($B$8+메인!$A$96/10000)/2)^(J69-1),0)</f>
        <v/>
      </c>
      <c r="U69" s="44">
        <f>IF(I69=1,$C69/(1+($B$8+메인!$A$97/10000)/2)^(J69-1),0)</f>
        <v/>
      </c>
      <c r="V69" s="44">
        <f>IF(I69=1,$C69/(1+($B$8+메인!$A$98/10000)/2)^(J69-1),0)</f>
        <v/>
      </c>
      <c r="W69" s="44">
        <f>IF(I69=1,$C69/(1+($B$8+메인!$A$99/10000)/2)^(J69-1),0)</f>
        <v/>
      </c>
      <c r="X69" s="44">
        <f>IF(I69=1,$C69/(1+($B$8+메인!$A$100/10000)/2)^(J69-1),0)</f>
        <v/>
      </c>
      <c r="Y69" s="44">
        <f>IF(I69=1,$C69/(1+($B$8+메인!$A$101/10000)/2)^(J69-1),0)</f>
        <v/>
      </c>
      <c r="Z69" s="44">
        <f>IF(I69=1,$C69/(1+($B$8+메인!$A$102/10000)/2)^(J69-1),0)</f>
        <v/>
      </c>
      <c r="AA69" s="44">
        <f>IF(I69=1,$C69/(1+($B$8+메인!$A$103/10000)/2)^(J69-1),0)</f>
        <v/>
      </c>
      <c r="AB69" s="44">
        <f>IF(I69=1,$C69/(1+($B$8+메인!$A$104/10000)/2)^(J69-1),0)</f>
        <v/>
      </c>
      <c r="AE69" s="42" t="n">
        <v>55</v>
      </c>
      <c r="AF69" s="43">
        <f>EDATE($AF$2,-6*(62-$AE69))</f>
        <v/>
      </c>
      <c r="AG69" s="44">
        <f>IF(AND(AF69&gt;$AF$3,AF69&lt;=$AF$2),IF(AF69=$AF$2,$AF$5+100,$AF$5),0)</f>
        <v/>
      </c>
      <c r="AH69" s="42">
        <f>IF(AND($AG69&gt;0,AF69&gt;$AF$6),1,0)</f>
        <v/>
      </c>
      <c r="AI69" s="42">
        <f>IF(AH69=1,SUM($AH$15:AH69),"")</f>
        <v/>
      </c>
      <c r="AJ69" s="44">
        <f>IF(AH69=1,$AG69/(1+$AF$8/2)^(AI69-1),0)</f>
        <v/>
      </c>
      <c r="AK69" s="44">
        <f>IF(AH69=1,$AG69/(1+($AF$8+0.0001)/2)^(AI69-1),0)</f>
        <v/>
      </c>
      <c r="AL69" s="44">
        <f>IF(AH69=1,$AG69/(1+($AF$8-0.0001)/2)^(AI69-1),0)</f>
        <v/>
      </c>
      <c r="AM69" s="42">
        <f>IF(AND($AG69&gt;0,AF69&gt;$AF$7),1,0)</f>
        <v/>
      </c>
      <c r="AN69" s="42">
        <f>IF(AM69=1,SUM($AM$15:AM69),"")</f>
        <v/>
      </c>
      <c r="AO69" s="44">
        <f>IF(AM69=1,$AG69/(1+$AF$99/2)^(AN69-1),0)</f>
        <v/>
      </c>
      <c r="AP69" s="44">
        <f>IF(AM69=1,$AG69/(1+($AF$99+0.0001)/2)^(AN69-1),0)</f>
        <v/>
      </c>
      <c r="AQ69" s="44">
        <f>IF(AM69=1,$AG69/(1+($AF$99-0.0001)/2)^(AN69-1),0)</f>
        <v/>
      </c>
      <c r="AR69" s="44">
        <f>IF(AM69=1,$AG69/(1+$AF$104/2)^(AN69-1),0)</f>
        <v/>
      </c>
      <c r="AS69" s="44">
        <f>IF(AM69=1,$AG69/(1+($AF$104+0.0001)/2)^(AN69-1),0)</f>
        <v/>
      </c>
      <c r="AT69" s="44">
        <f>IF(AM69=1,$AG69/(1+($AF$104-0.0001)/2)^(AN69-1),0)</f>
        <v/>
      </c>
      <c r="AU69" s="44">
        <f>IF(AM69=1,$AG69/(1+$AF$109/2)^(AN69-1),0)</f>
        <v/>
      </c>
      <c r="AV69" s="44">
        <f>IF(AND($AG69&gt;0,AF69&gt;$AF$6,AF69&lt;=$AF$7),$AG69*(1+$AF$9*($AF$7-AF69)/365),0)</f>
        <v/>
      </c>
      <c r="AW69" s="44">
        <f>IF(AM69=1,$AG69/(1+($AF$8+$AF$10/10000)/2)^(AN69-1),0)</f>
        <v/>
      </c>
      <c r="AX69" s="44">
        <f>IF(AM69=1,$AG69/(1+($AF$8+메인!$A$96/10000)/2)^(AN69-1),0)</f>
        <v/>
      </c>
      <c r="AY69" s="44">
        <f>IF(AM69=1,$AG69/(1+($AF$8+메인!$A$97/10000)/2)^(AN69-1),0)</f>
        <v/>
      </c>
      <c r="AZ69" s="44">
        <f>IF(AM69=1,$AG69/(1+($AF$8+메인!$A$98/10000)/2)^(AN69-1),0)</f>
        <v/>
      </c>
      <c r="BA69" s="44">
        <f>IF(AM69=1,$AG69/(1+($AF$8+메인!$A$99/10000)/2)^(AN69-1),0)</f>
        <v/>
      </c>
      <c r="BB69" s="44">
        <f>IF(AM69=1,$AG69/(1+($AF$8+메인!$A$100/10000)/2)^(AN69-1),0)</f>
        <v/>
      </c>
      <c r="BC69" s="44">
        <f>IF(AM69=1,$AG69/(1+($AF$8+메인!$A$101/10000)/2)^(AN69-1),0)</f>
        <v/>
      </c>
      <c r="BD69" s="44">
        <f>IF(AM69=1,$AG69/(1+($AF$8+메인!$A$102/10000)/2)^(AN69-1),0)</f>
        <v/>
      </c>
      <c r="BE69" s="44">
        <f>IF(AM69=1,$AG69/(1+($AF$8+메인!$A$103/10000)/2)^(AN69-1),0)</f>
        <v/>
      </c>
      <c r="BF69" s="44">
        <f>IF(AM69=1,$AG69/(1+($AF$8+메인!$A$104/10000)/2)^(AN69-1),0)</f>
        <v/>
      </c>
    </row>
    <row r="70">
      <c r="A70" s="42" t="n">
        <v>56</v>
      </c>
      <c r="B70" s="43">
        <f>EDATE($B$2,-6*(62-$A70))</f>
        <v/>
      </c>
      <c r="C70" s="44">
        <f>IF(AND(B70&gt;$B$3,B70&lt;=$B$2),IF(B70=$B$2,$B$5+100,$B$5),0)</f>
        <v/>
      </c>
      <c r="D70" s="42">
        <f>IF(AND($C70&gt;0,B70&gt;$B$6),1,0)</f>
        <v/>
      </c>
      <c r="E70" s="42">
        <f>IF(D70=1,SUM($D$15:D70),"")</f>
        <v/>
      </c>
      <c r="F70" s="44">
        <f>IF(D70=1,$C70/(1+$B$8/2)^(E70-1),0)</f>
        <v/>
      </c>
      <c r="G70" s="44">
        <f>IF(D70=1,$C70/(1+($B$8+0.0001)/2)^(E70-1),0)</f>
        <v/>
      </c>
      <c r="H70" s="44">
        <f>IF(D70=1,$C70/(1+($B$8-0.0001)/2)^(E70-1),0)</f>
        <v/>
      </c>
      <c r="I70" s="42">
        <f>IF(AND($C70&gt;0,B70&gt;$B$7),1,0)</f>
        <v/>
      </c>
      <c r="J70" s="42">
        <f>IF(I70=1,SUM($I$15:I70),"")</f>
        <v/>
      </c>
      <c r="K70" s="44">
        <f>IF(I70=1,$C70/(1+$B$99/2)^(J70-1),0)</f>
        <v/>
      </c>
      <c r="L70" s="44">
        <f>IF(I70=1,$C70/(1+($B$99+0.0001)/2)^(J70-1),0)</f>
        <v/>
      </c>
      <c r="M70" s="44">
        <f>IF(I70=1,$C70/(1+($B$99-0.0001)/2)^(J70-1),0)</f>
        <v/>
      </c>
      <c r="N70" s="44">
        <f>IF(I70=1,$C70/(1+$B$104/2)^(J70-1),0)</f>
        <v/>
      </c>
      <c r="O70" s="44">
        <f>IF(I70=1,$C70/(1+($B$104+0.0001)/2)^(J70-1),0)</f>
        <v/>
      </c>
      <c r="P70" s="44">
        <f>IF(I70=1,$C70/(1+($B$104-0.0001)/2)^(J70-1),0)</f>
        <v/>
      </c>
      <c r="Q70" s="44">
        <f>IF(I70=1,$C70/(1+$B$109/2)^(J70-1),0)</f>
        <v/>
      </c>
      <c r="R70" s="44">
        <f>IF(AND($C70&gt;0,B70&gt;$B$6,B70&lt;=$B$7),$C70*(1+$B$9*($B$7-B70)/365),0)</f>
        <v/>
      </c>
      <c r="S70" s="44">
        <f>IF(I70=1,$C70/(1+($B$8+$B$10/10000)/2)^(J70-1),0)</f>
        <v/>
      </c>
      <c r="T70" s="44">
        <f>IF(I70=1,$C70/(1+($B$8+메인!$A$96/10000)/2)^(J70-1),0)</f>
        <v/>
      </c>
      <c r="U70" s="44">
        <f>IF(I70=1,$C70/(1+($B$8+메인!$A$97/10000)/2)^(J70-1),0)</f>
        <v/>
      </c>
      <c r="V70" s="44">
        <f>IF(I70=1,$C70/(1+($B$8+메인!$A$98/10000)/2)^(J70-1),0)</f>
        <v/>
      </c>
      <c r="W70" s="44">
        <f>IF(I70=1,$C70/(1+($B$8+메인!$A$99/10000)/2)^(J70-1),0)</f>
        <v/>
      </c>
      <c r="X70" s="44">
        <f>IF(I70=1,$C70/(1+($B$8+메인!$A$100/10000)/2)^(J70-1),0)</f>
        <v/>
      </c>
      <c r="Y70" s="44">
        <f>IF(I70=1,$C70/(1+($B$8+메인!$A$101/10000)/2)^(J70-1),0)</f>
        <v/>
      </c>
      <c r="Z70" s="44">
        <f>IF(I70=1,$C70/(1+($B$8+메인!$A$102/10000)/2)^(J70-1),0)</f>
        <v/>
      </c>
      <c r="AA70" s="44">
        <f>IF(I70=1,$C70/(1+($B$8+메인!$A$103/10000)/2)^(J70-1),0)</f>
        <v/>
      </c>
      <c r="AB70" s="44">
        <f>IF(I70=1,$C70/(1+($B$8+메인!$A$104/10000)/2)^(J70-1),0)</f>
        <v/>
      </c>
      <c r="AE70" s="42" t="n">
        <v>56</v>
      </c>
      <c r="AF70" s="43">
        <f>EDATE($AF$2,-6*(62-$AE70))</f>
        <v/>
      </c>
      <c r="AG70" s="44">
        <f>IF(AND(AF70&gt;$AF$3,AF70&lt;=$AF$2),IF(AF70=$AF$2,$AF$5+100,$AF$5),0)</f>
        <v/>
      </c>
      <c r="AH70" s="42">
        <f>IF(AND($AG70&gt;0,AF70&gt;$AF$6),1,0)</f>
        <v/>
      </c>
      <c r="AI70" s="42">
        <f>IF(AH70=1,SUM($AH$15:AH70),"")</f>
        <v/>
      </c>
      <c r="AJ70" s="44">
        <f>IF(AH70=1,$AG70/(1+$AF$8/2)^(AI70-1),0)</f>
        <v/>
      </c>
      <c r="AK70" s="44">
        <f>IF(AH70=1,$AG70/(1+($AF$8+0.0001)/2)^(AI70-1),0)</f>
        <v/>
      </c>
      <c r="AL70" s="44">
        <f>IF(AH70=1,$AG70/(1+($AF$8-0.0001)/2)^(AI70-1),0)</f>
        <v/>
      </c>
      <c r="AM70" s="42">
        <f>IF(AND($AG70&gt;0,AF70&gt;$AF$7),1,0)</f>
        <v/>
      </c>
      <c r="AN70" s="42">
        <f>IF(AM70=1,SUM($AM$15:AM70),"")</f>
        <v/>
      </c>
      <c r="AO70" s="44">
        <f>IF(AM70=1,$AG70/(1+$AF$99/2)^(AN70-1),0)</f>
        <v/>
      </c>
      <c r="AP70" s="44">
        <f>IF(AM70=1,$AG70/(1+($AF$99+0.0001)/2)^(AN70-1),0)</f>
        <v/>
      </c>
      <c r="AQ70" s="44">
        <f>IF(AM70=1,$AG70/(1+($AF$99-0.0001)/2)^(AN70-1),0)</f>
        <v/>
      </c>
      <c r="AR70" s="44">
        <f>IF(AM70=1,$AG70/(1+$AF$104/2)^(AN70-1),0)</f>
        <v/>
      </c>
      <c r="AS70" s="44">
        <f>IF(AM70=1,$AG70/(1+($AF$104+0.0001)/2)^(AN70-1),0)</f>
        <v/>
      </c>
      <c r="AT70" s="44">
        <f>IF(AM70=1,$AG70/(1+($AF$104-0.0001)/2)^(AN70-1),0)</f>
        <v/>
      </c>
      <c r="AU70" s="44">
        <f>IF(AM70=1,$AG70/(1+$AF$109/2)^(AN70-1),0)</f>
        <v/>
      </c>
      <c r="AV70" s="44">
        <f>IF(AND($AG70&gt;0,AF70&gt;$AF$6,AF70&lt;=$AF$7),$AG70*(1+$AF$9*($AF$7-AF70)/365),0)</f>
        <v/>
      </c>
      <c r="AW70" s="44">
        <f>IF(AM70=1,$AG70/(1+($AF$8+$AF$10/10000)/2)^(AN70-1),0)</f>
        <v/>
      </c>
      <c r="AX70" s="44">
        <f>IF(AM70=1,$AG70/(1+($AF$8+메인!$A$96/10000)/2)^(AN70-1),0)</f>
        <v/>
      </c>
      <c r="AY70" s="44">
        <f>IF(AM70=1,$AG70/(1+($AF$8+메인!$A$97/10000)/2)^(AN70-1),0)</f>
        <v/>
      </c>
      <c r="AZ70" s="44">
        <f>IF(AM70=1,$AG70/(1+($AF$8+메인!$A$98/10000)/2)^(AN70-1),0)</f>
        <v/>
      </c>
      <c r="BA70" s="44">
        <f>IF(AM70=1,$AG70/(1+($AF$8+메인!$A$99/10000)/2)^(AN70-1),0)</f>
        <v/>
      </c>
      <c r="BB70" s="44">
        <f>IF(AM70=1,$AG70/(1+($AF$8+메인!$A$100/10000)/2)^(AN70-1),0)</f>
        <v/>
      </c>
      <c r="BC70" s="44">
        <f>IF(AM70=1,$AG70/(1+($AF$8+메인!$A$101/10000)/2)^(AN70-1),0)</f>
        <v/>
      </c>
      <c r="BD70" s="44">
        <f>IF(AM70=1,$AG70/(1+($AF$8+메인!$A$102/10000)/2)^(AN70-1),0)</f>
        <v/>
      </c>
      <c r="BE70" s="44">
        <f>IF(AM70=1,$AG70/(1+($AF$8+메인!$A$103/10000)/2)^(AN70-1),0)</f>
        <v/>
      </c>
      <c r="BF70" s="44">
        <f>IF(AM70=1,$AG70/(1+($AF$8+메인!$A$104/10000)/2)^(AN70-1),0)</f>
        <v/>
      </c>
    </row>
    <row r="71">
      <c r="A71" s="42" t="n">
        <v>57</v>
      </c>
      <c r="B71" s="43">
        <f>EDATE($B$2,-6*(62-$A71))</f>
        <v/>
      </c>
      <c r="C71" s="44">
        <f>IF(AND(B71&gt;$B$3,B71&lt;=$B$2),IF(B71=$B$2,$B$5+100,$B$5),0)</f>
        <v/>
      </c>
      <c r="D71" s="42">
        <f>IF(AND($C71&gt;0,B71&gt;$B$6),1,0)</f>
        <v/>
      </c>
      <c r="E71" s="42">
        <f>IF(D71=1,SUM($D$15:D71),"")</f>
        <v/>
      </c>
      <c r="F71" s="44">
        <f>IF(D71=1,$C71/(1+$B$8/2)^(E71-1),0)</f>
        <v/>
      </c>
      <c r="G71" s="44">
        <f>IF(D71=1,$C71/(1+($B$8+0.0001)/2)^(E71-1),0)</f>
        <v/>
      </c>
      <c r="H71" s="44">
        <f>IF(D71=1,$C71/(1+($B$8-0.0001)/2)^(E71-1),0)</f>
        <v/>
      </c>
      <c r="I71" s="42">
        <f>IF(AND($C71&gt;0,B71&gt;$B$7),1,0)</f>
        <v/>
      </c>
      <c r="J71" s="42">
        <f>IF(I71=1,SUM($I$15:I71),"")</f>
        <v/>
      </c>
      <c r="K71" s="44">
        <f>IF(I71=1,$C71/(1+$B$99/2)^(J71-1),0)</f>
        <v/>
      </c>
      <c r="L71" s="44">
        <f>IF(I71=1,$C71/(1+($B$99+0.0001)/2)^(J71-1),0)</f>
        <v/>
      </c>
      <c r="M71" s="44">
        <f>IF(I71=1,$C71/(1+($B$99-0.0001)/2)^(J71-1),0)</f>
        <v/>
      </c>
      <c r="N71" s="44">
        <f>IF(I71=1,$C71/(1+$B$104/2)^(J71-1),0)</f>
        <v/>
      </c>
      <c r="O71" s="44">
        <f>IF(I71=1,$C71/(1+($B$104+0.0001)/2)^(J71-1),0)</f>
        <v/>
      </c>
      <c r="P71" s="44">
        <f>IF(I71=1,$C71/(1+($B$104-0.0001)/2)^(J71-1),0)</f>
        <v/>
      </c>
      <c r="Q71" s="44">
        <f>IF(I71=1,$C71/(1+$B$109/2)^(J71-1),0)</f>
        <v/>
      </c>
      <c r="R71" s="44">
        <f>IF(AND($C71&gt;0,B71&gt;$B$6,B71&lt;=$B$7),$C71*(1+$B$9*($B$7-B71)/365),0)</f>
        <v/>
      </c>
      <c r="S71" s="44">
        <f>IF(I71=1,$C71/(1+($B$8+$B$10/10000)/2)^(J71-1),0)</f>
        <v/>
      </c>
      <c r="T71" s="44">
        <f>IF(I71=1,$C71/(1+($B$8+메인!$A$96/10000)/2)^(J71-1),0)</f>
        <v/>
      </c>
      <c r="U71" s="44">
        <f>IF(I71=1,$C71/(1+($B$8+메인!$A$97/10000)/2)^(J71-1),0)</f>
        <v/>
      </c>
      <c r="V71" s="44">
        <f>IF(I71=1,$C71/(1+($B$8+메인!$A$98/10000)/2)^(J71-1),0)</f>
        <v/>
      </c>
      <c r="W71" s="44">
        <f>IF(I71=1,$C71/(1+($B$8+메인!$A$99/10000)/2)^(J71-1),0)</f>
        <v/>
      </c>
      <c r="X71" s="44">
        <f>IF(I71=1,$C71/(1+($B$8+메인!$A$100/10000)/2)^(J71-1),0)</f>
        <v/>
      </c>
      <c r="Y71" s="44">
        <f>IF(I71=1,$C71/(1+($B$8+메인!$A$101/10000)/2)^(J71-1),0)</f>
        <v/>
      </c>
      <c r="Z71" s="44">
        <f>IF(I71=1,$C71/(1+($B$8+메인!$A$102/10000)/2)^(J71-1),0)</f>
        <v/>
      </c>
      <c r="AA71" s="44">
        <f>IF(I71=1,$C71/(1+($B$8+메인!$A$103/10000)/2)^(J71-1),0)</f>
        <v/>
      </c>
      <c r="AB71" s="44">
        <f>IF(I71=1,$C71/(1+($B$8+메인!$A$104/10000)/2)^(J71-1),0)</f>
        <v/>
      </c>
      <c r="AE71" s="42" t="n">
        <v>57</v>
      </c>
      <c r="AF71" s="43">
        <f>EDATE($AF$2,-6*(62-$AE71))</f>
        <v/>
      </c>
      <c r="AG71" s="44">
        <f>IF(AND(AF71&gt;$AF$3,AF71&lt;=$AF$2),IF(AF71=$AF$2,$AF$5+100,$AF$5),0)</f>
        <v/>
      </c>
      <c r="AH71" s="42">
        <f>IF(AND($AG71&gt;0,AF71&gt;$AF$6),1,0)</f>
        <v/>
      </c>
      <c r="AI71" s="42">
        <f>IF(AH71=1,SUM($AH$15:AH71),"")</f>
        <v/>
      </c>
      <c r="AJ71" s="44">
        <f>IF(AH71=1,$AG71/(1+$AF$8/2)^(AI71-1),0)</f>
        <v/>
      </c>
      <c r="AK71" s="44">
        <f>IF(AH71=1,$AG71/(1+($AF$8+0.0001)/2)^(AI71-1),0)</f>
        <v/>
      </c>
      <c r="AL71" s="44">
        <f>IF(AH71=1,$AG71/(1+($AF$8-0.0001)/2)^(AI71-1),0)</f>
        <v/>
      </c>
      <c r="AM71" s="42">
        <f>IF(AND($AG71&gt;0,AF71&gt;$AF$7),1,0)</f>
        <v/>
      </c>
      <c r="AN71" s="42">
        <f>IF(AM71=1,SUM($AM$15:AM71),"")</f>
        <v/>
      </c>
      <c r="AO71" s="44">
        <f>IF(AM71=1,$AG71/(1+$AF$99/2)^(AN71-1),0)</f>
        <v/>
      </c>
      <c r="AP71" s="44">
        <f>IF(AM71=1,$AG71/(1+($AF$99+0.0001)/2)^(AN71-1),0)</f>
        <v/>
      </c>
      <c r="AQ71" s="44">
        <f>IF(AM71=1,$AG71/(1+($AF$99-0.0001)/2)^(AN71-1),0)</f>
        <v/>
      </c>
      <c r="AR71" s="44">
        <f>IF(AM71=1,$AG71/(1+$AF$104/2)^(AN71-1),0)</f>
        <v/>
      </c>
      <c r="AS71" s="44">
        <f>IF(AM71=1,$AG71/(1+($AF$104+0.0001)/2)^(AN71-1),0)</f>
        <v/>
      </c>
      <c r="AT71" s="44">
        <f>IF(AM71=1,$AG71/(1+($AF$104-0.0001)/2)^(AN71-1),0)</f>
        <v/>
      </c>
      <c r="AU71" s="44">
        <f>IF(AM71=1,$AG71/(1+$AF$109/2)^(AN71-1),0)</f>
        <v/>
      </c>
      <c r="AV71" s="44">
        <f>IF(AND($AG71&gt;0,AF71&gt;$AF$6,AF71&lt;=$AF$7),$AG71*(1+$AF$9*($AF$7-AF71)/365),0)</f>
        <v/>
      </c>
      <c r="AW71" s="44">
        <f>IF(AM71=1,$AG71/(1+($AF$8+$AF$10/10000)/2)^(AN71-1),0)</f>
        <v/>
      </c>
      <c r="AX71" s="44">
        <f>IF(AM71=1,$AG71/(1+($AF$8+메인!$A$96/10000)/2)^(AN71-1),0)</f>
        <v/>
      </c>
      <c r="AY71" s="44">
        <f>IF(AM71=1,$AG71/(1+($AF$8+메인!$A$97/10000)/2)^(AN71-1),0)</f>
        <v/>
      </c>
      <c r="AZ71" s="44">
        <f>IF(AM71=1,$AG71/(1+($AF$8+메인!$A$98/10000)/2)^(AN71-1),0)</f>
        <v/>
      </c>
      <c r="BA71" s="44">
        <f>IF(AM71=1,$AG71/(1+($AF$8+메인!$A$99/10000)/2)^(AN71-1),0)</f>
        <v/>
      </c>
      <c r="BB71" s="44">
        <f>IF(AM71=1,$AG71/(1+($AF$8+메인!$A$100/10000)/2)^(AN71-1),0)</f>
        <v/>
      </c>
      <c r="BC71" s="44">
        <f>IF(AM71=1,$AG71/(1+($AF$8+메인!$A$101/10000)/2)^(AN71-1),0)</f>
        <v/>
      </c>
      <c r="BD71" s="44">
        <f>IF(AM71=1,$AG71/(1+($AF$8+메인!$A$102/10000)/2)^(AN71-1),0)</f>
        <v/>
      </c>
      <c r="BE71" s="44">
        <f>IF(AM71=1,$AG71/(1+($AF$8+메인!$A$103/10000)/2)^(AN71-1),0)</f>
        <v/>
      </c>
      <c r="BF71" s="44">
        <f>IF(AM71=1,$AG71/(1+($AF$8+메인!$A$104/10000)/2)^(AN71-1),0)</f>
        <v/>
      </c>
    </row>
    <row r="72">
      <c r="A72" s="42" t="n">
        <v>58</v>
      </c>
      <c r="B72" s="43">
        <f>EDATE($B$2,-6*(62-$A72))</f>
        <v/>
      </c>
      <c r="C72" s="44">
        <f>IF(AND(B72&gt;$B$3,B72&lt;=$B$2),IF(B72=$B$2,$B$5+100,$B$5),0)</f>
        <v/>
      </c>
      <c r="D72" s="42">
        <f>IF(AND($C72&gt;0,B72&gt;$B$6),1,0)</f>
        <v/>
      </c>
      <c r="E72" s="42">
        <f>IF(D72=1,SUM($D$15:D72),"")</f>
        <v/>
      </c>
      <c r="F72" s="44">
        <f>IF(D72=1,$C72/(1+$B$8/2)^(E72-1),0)</f>
        <v/>
      </c>
      <c r="G72" s="44">
        <f>IF(D72=1,$C72/(1+($B$8+0.0001)/2)^(E72-1),0)</f>
        <v/>
      </c>
      <c r="H72" s="44">
        <f>IF(D72=1,$C72/(1+($B$8-0.0001)/2)^(E72-1),0)</f>
        <v/>
      </c>
      <c r="I72" s="42">
        <f>IF(AND($C72&gt;0,B72&gt;$B$7),1,0)</f>
        <v/>
      </c>
      <c r="J72" s="42">
        <f>IF(I72=1,SUM($I$15:I72),"")</f>
        <v/>
      </c>
      <c r="K72" s="44">
        <f>IF(I72=1,$C72/(1+$B$99/2)^(J72-1),0)</f>
        <v/>
      </c>
      <c r="L72" s="44">
        <f>IF(I72=1,$C72/(1+($B$99+0.0001)/2)^(J72-1),0)</f>
        <v/>
      </c>
      <c r="M72" s="44">
        <f>IF(I72=1,$C72/(1+($B$99-0.0001)/2)^(J72-1),0)</f>
        <v/>
      </c>
      <c r="N72" s="44">
        <f>IF(I72=1,$C72/(1+$B$104/2)^(J72-1),0)</f>
        <v/>
      </c>
      <c r="O72" s="44">
        <f>IF(I72=1,$C72/(1+($B$104+0.0001)/2)^(J72-1),0)</f>
        <v/>
      </c>
      <c r="P72" s="44">
        <f>IF(I72=1,$C72/(1+($B$104-0.0001)/2)^(J72-1),0)</f>
        <v/>
      </c>
      <c r="Q72" s="44">
        <f>IF(I72=1,$C72/(1+$B$109/2)^(J72-1),0)</f>
        <v/>
      </c>
      <c r="R72" s="44">
        <f>IF(AND($C72&gt;0,B72&gt;$B$6,B72&lt;=$B$7),$C72*(1+$B$9*($B$7-B72)/365),0)</f>
        <v/>
      </c>
      <c r="S72" s="44">
        <f>IF(I72=1,$C72/(1+($B$8+$B$10/10000)/2)^(J72-1),0)</f>
        <v/>
      </c>
      <c r="T72" s="44">
        <f>IF(I72=1,$C72/(1+($B$8+메인!$A$96/10000)/2)^(J72-1),0)</f>
        <v/>
      </c>
      <c r="U72" s="44">
        <f>IF(I72=1,$C72/(1+($B$8+메인!$A$97/10000)/2)^(J72-1),0)</f>
        <v/>
      </c>
      <c r="V72" s="44">
        <f>IF(I72=1,$C72/(1+($B$8+메인!$A$98/10000)/2)^(J72-1),0)</f>
        <v/>
      </c>
      <c r="W72" s="44">
        <f>IF(I72=1,$C72/(1+($B$8+메인!$A$99/10000)/2)^(J72-1),0)</f>
        <v/>
      </c>
      <c r="X72" s="44">
        <f>IF(I72=1,$C72/(1+($B$8+메인!$A$100/10000)/2)^(J72-1),0)</f>
        <v/>
      </c>
      <c r="Y72" s="44">
        <f>IF(I72=1,$C72/(1+($B$8+메인!$A$101/10000)/2)^(J72-1),0)</f>
        <v/>
      </c>
      <c r="Z72" s="44">
        <f>IF(I72=1,$C72/(1+($B$8+메인!$A$102/10000)/2)^(J72-1),0)</f>
        <v/>
      </c>
      <c r="AA72" s="44">
        <f>IF(I72=1,$C72/(1+($B$8+메인!$A$103/10000)/2)^(J72-1),0)</f>
        <v/>
      </c>
      <c r="AB72" s="44">
        <f>IF(I72=1,$C72/(1+($B$8+메인!$A$104/10000)/2)^(J72-1),0)</f>
        <v/>
      </c>
      <c r="AE72" s="42" t="n">
        <v>58</v>
      </c>
      <c r="AF72" s="43">
        <f>EDATE($AF$2,-6*(62-$AE72))</f>
        <v/>
      </c>
      <c r="AG72" s="44">
        <f>IF(AND(AF72&gt;$AF$3,AF72&lt;=$AF$2),IF(AF72=$AF$2,$AF$5+100,$AF$5),0)</f>
        <v/>
      </c>
      <c r="AH72" s="42">
        <f>IF(AND($AG72&gt;0,AF72&gt;$AF$6),1,0)</f>
        <v/>
      </c>
      <c r="AI72" s="42">
        <f>IF(AH72=1,SUM($AH$15:AH72),"")</f>
        <v/>
      </c>
      <c r="AJ72" s="44">
        <f>IF(AH72=1,$AG72/(1+$AF$8/2)^(AI72-1),0)</f>
        <v/>
      </c>
      <c r="AK72" s="44">
        <f>IF(AH72=1,$AG72/(1+($AF$8+0.0001)/2)^(AI72-1),0)</f>
        <v/>
      </c>
      <c r="AL72" s="44">
        <f>IF(AH72=1,$AG72/(1+($AF$8-0.0001)/2)^(AI72-1),0)</f>
        <v/>
      </c>
      <c r="AM72" s="42">
        <f>IF(AND($AG72&gt;0,AF72&gt;$AF$7),1,0)</f>
        <v/>
      </c>
      <c r="AN72" s="42">
        <f>IF(AM72=1,SUM($AM$15:AM72),"")</f>
        <v/>
      </c>
      <c r="AO72" s="44">
        <f>IF(AM72=1,$AG72/(1+$AF$99/2)^(AN72-1),0)</f>
        <v/>
      </c>
      <c r="AP72" s="44">
        <f>IF(AM72=1,$AG72/(1+($AF$99+0.0001)/2)^(AN72-1),0)</f>
        <v/>
      </c>
      <c r="AQ72" s="44">
        <f>IF(AM72=1,$AG72/(1+($AF$99-0.0001)/2)^(AN72-1),0)</f>
        <v/>
      </c>
      <c r="AR72" s="44">
        <f>IF(AM72=1,$AG72/(1+$AF$104/2)^(AN72-1),0)</f>
        <v/>
      </c>
      <c r="AS72" s="44">
        <f>IF(AM72=1,$AG72/(1+($AF$104+0.0001)/2)^(AN72-1),0)</f>
        <v/>
      </c>
      <c r="AT72" s="44">
        <f>IF(AM72=1,$AG72/(1+($AF$104-0.0001)/2)^(AN72-1),0)</f>
        <v/>
      </c>
      <c r="AU72" s="44">
        <f>IF(AM72=1,$AG72/(1+$AF$109/2)^(AN72-1),0)</f>
        <v/>
      </c>
      <c r="AV72" s="44">
        <f>IF(AND($AG72&gt;0,AF72&gt;$AF$6,AF72&lt;=$AF$7),$AG72*(1+$AF$9*($AF$7-AF72)/365),0)</f>
        <v/>
      </c>
      <c r="AW72" s="44">
        <f>IF(AM72=1,$AG72/(1+($AF$8+$AF$10/10000)/2)^(AN72-1),0)</f>
        <v/>
      </c>
      <c r="AX72" s="44">
        <f>IF(AM72=1,$AG72/(1+($AF$8+메인!$A$96/10000)/2)^(AN72-1),0)</f>
        <v/>
      </c>
      <c r="AY72" s="44">
        <f>IF(AM72=1,$AG72/(1+($AF$8+메인!$A$97/10000)/2)^(AN72-1),0)</f>
        <v/>
      </c>
      <c r="AZ72" s="44">
        <f>IF(AM72=1,$AG72/(1+($AF$8+메인!$A$98/10000)/2)^(AN72-1),0)</f>
        <v/>
      </c>
      <c r="BA72" s="44">
        <f>IF(AM72=1,$AG72/(1+($AF$8+메인!$A$99/10000)/2)^(AN72-1),0)</f>
        <v/>
      </c>
      <c r="BB72" s="44">
        <f>IF(AM72=1,$AG72/(1+($AF$8+메인!$A$100/10000)/2)^(AN72-1),0)</f>
        <v/>
      </c>
      <c r="BC72" s="44">
        <f>IF(AM72=1,$AG72/(1+($AF$8+메인!$A$101/10000)/2)^(AN72-1),0)</f>
        <v/>
      </c>
      <c r="BD72" s="44">
        <f>IF(AM72=1,$AG72/(1+($AF$8+메인!$A$102/10000)/2)^(AN72-1),0)</f>
        <v/>
      </c>
      <c r="BE72" s="44">
        <f>IF(AM72=1,$AG72/(1+($AF$8+메인!$A$103/10000)/2)^(AN72-1),0)</f>
        <v/>
      </c>
      <c r="BF72" s="44">
        <f>IF(AM72=1,$AG72/(1+($AF$8+메인!$A$104/10000)/2)^(AN72-1),0)</f>
        <v/>
      </c>
    </row>
    <row r="73">
      <c r="A73" s="42" t="n">
        <v>59</v>
      </c>
      <c r="B73" s="43">
        <f>EDATE($B$2,-6*(62-$A73))</f>
        <v/>
      </c>
      <c r="C73" s="44">
        <f>IF(AND(B73&gt;$B$3,B73&lt;=$B$2),IF(B73=$B$2,$B$5+100,$B$5),0)</f>
        <v/>
      </c>
      <c r="D73" s="42">
        <f>IF(AND($C73&gt;0,B73&gt;$B$6),1,0)</f>
        <v/>
      </c>
      <c r="E73" s="42">
        <f>IF(D73=1,SUM($D$15:D73),"")</f>
        <v/>
      </c>
      <c r="F73" s="44">
        <f>IF(D73=1,$C73/(1+$B$8/2)^(E73-1),0)</f>
        <v/>
      </c>
      <c r="G73" s="44">
        <f>IF(D73=1,$C73/(1+($B$8+0.0001)/2)^(E73-1),0)</f>
        <v/>
      </c>
      <c r="H73" s="44">
        <f>IF(D73=1,$C73/(1+($B$8-0.0001)/2)^(E73-1),0)</f>
        <v/>
      </c>
      <c r="I73" s="42">
        <f>IF(AND($C73&gt;0,B73&gt;$B$7),1,0)</f>
        <v/>
      </c>
      <c r="J73" s="42">
        <f>IF(I73=1,SUM($I$15:I73),"")</f>
        <v/>
      </c>
      <c r="K73" s="44">
        <f>IF(I73=1,$C73/(1+$B$99/2)^(J73-1),0)</f>
        <v/>
      </c>
      <c r="L73" s="44">
        <f>IF(I73=1,$C73/(1+($B$99+0.0001)/2)^(J73-1),0)</f>
        <v/>
      </c>
      <c r="M73" s="44">
        <f>IF(I73=1,$C73/(1+($B$99-0.0001)/2)^(J73-1),0)</f>
        <v/>
      </c>
      <c r="N73" s="44">
        <f>IF(I73=1,$C73/(1+$B$104/2)^(J73-1),0)</f>
        <v/>
      </c>
      <c r="O73" s="44">
        <f>IF(I73=1,$C73/(1+($B$104+0.0001)/2)^(J73-1),0)</f>
        <v/>
      </c>
      <c r="P73" s="44">
        <f>IF(I73=1,$C73/(1+($B$104-0.0001)/2)^(J73-1),0)</f>
        <v/>
      </c>
      <c r="Q73" s="44">
        <f>IF(I73=1,$C73/(1+$B$109/2)^(J73-1),0)</f>
        <v/>
      </c>
      <c r="R73" s="44">
        <f>IF(AND($C73&gt;0,B73&gt;$B$6,B73&lt;=$B$7),$C73*(1+$B$9*($B$7-B73)/365),0)</f>
        <v/>
      </c>
      <c r="S73" s="44">
        <f>IF(I73=1,$C73/(1+($B$8+$B$10/10000)/2)^(J73-1),0)</f>
        <v/>
      </c>
      <c r="T73" s="44">
        <f>IF(I73=1,$C73/(1+($B$8+메인!$A$96/10000)/2)^(J73-1),0)</f>
        <v/>
      </c>
      <c r="U73" s="44">
        <f>IF(I73=1,$C73/(1+($B$8+메인!$A$97/10000)/2)^(J73-1),0)</f>
        <v/>
      </c>
      <c r="V73" s="44">
        <f>IF(I73=1,$C73/(1+($B$8+메인!$A$98/10000)/2)^(J73-1),0)</f>
        <v/>
      </c>
      <c r="W73" s="44">
        <f>IF(I73=1,$C73/(1+($B$8+메인!$A$99/10000)/2)^(J73-1),0)</f>
        <v/>
      </c>
      <c r="X73" s="44">
        <f>IF(I73=1,$C73/(1+($B$8+메인!$A$100/10000)/2)^(J73-1),0)</f>
        <v/>
      </c>
      <c r="Y73" s="44">
        <f>IF(I73=1,$C73/(1+($B$8+메인!$A$101/10000)/2)^(J73-1),0)</f>
        <v/>
      </c>
      <c r="Z73" s="44">
        <f>IF(I73=1,$C73/(1+($B$8+메인!$A$102/10000)/2)^(J73-1),0)</f>
        <v/>
      </c>
      <c r="AA73" s="44">
        <f>IF(I73=1,$C73/(1+($B$8+메인!$A$103/10000)/2)^(J73-1),0)</f>
        <v/>
      </c>
      <c r="AB73" s="44">
        <f>IF(I73=1,$C73/(1+($B$8+메인!$A$104/10000)/2)^(J73-1),0)</f>
        <v/>
      </c>
      <c r="AE73" s="42" t="n">
        <v>59</v>
      </c>
      <c r="AF73" s="43">
        <f>EDATE($AF$2,-6*(62-$AE73))</f>
        <v/>
      </c>
      <c r="AG73" s="44">
        <f>IF(AND(AF73&gt;$AF$3,AF73&lt;=$AF$2),IF(AF73=$AF$2,$AF$5+100,$AF$5),0)</f>
        <v/>
      </c>
      <c r="AH73" s="42">
        <f>IF(AND($AG73&gt;0,AF73&gt;$AF$6),1,0)</f>
        <v/>
      </c>
      <c r="AI73" s="42">
        <f>IF(AH73=1,SUM($AH$15:AH73),"")</f>
        <v/>
      </c>
      <c r="AJ73" s="44">
        <f>IF(AH73=1,$AG73/(1+$AF$8/2)^(AI73-1),0)</f>
        <v/>
      </c>
      <c r="AK73" s="44">
        <f>IF(AH73=1,$AG73/(1+($AF$8+0.0001)/2)^(AI73-1),0)</f>
        <v/>
      </c>
      <c r="AL73" s="44">
        <f>IF(AH73=1,$AG73/(1+($AF$8-0.0001)/2)^(AI73-1),0)</f>
        <v/>
      </c>
      <c r="AM73" s="42">
        <f>IF(AND($AG73&gt;0,AF73&gt;$AF$7),1,0)</f>
        <v/>
      </c>
      <c r="AN73" s="42">
        <f>IF(AM73=1,SUM($AM$15:AM73),"")</f>
        <v/>
      </c>
      <c r="AO73" s="44">
        <f>IF(AM73=1,$AG73/(1+$AF$99/2)^(AN73-1),0)</f>
        <v/>
      </c>
      <c r="AP73" s="44">
        <f>IF(AM73=1,$AG73/(1+($AF$99+0.0001)/2)^(AN73-1),0)</f>
        <v/>
      </c>
      <c r="AQ73" s="44">
        <f>IF(AM73=1,$AG73/(1+($AF$99-0.0001)/2)^(AN73-1),0)</f>
        <v/>
      </c>
      <c r="AR73" s="44">
        <f>IF(AM73=1,$AG73/(1+$AF$104/2)^(AN73-1),0)</f>
        <v/>
      </c>
      <c r="AS73" s="44">
        <f>IF(AM73=1,$AG73/(1+($AF$104+0.0001)/2)^(AN73-1),0)</f>
        <v/>
      </c>
      <c r="AT73" s="44">
        <f>IF(AM73=1,$AG73/(1+($AF$104-0.0001)/2)^(AN73-1),0)</f>
        <v/>
      </c>
      <c r="AU73" s="44">
        <f>IF(AM73=1,$AG73/(1+$AF$109/2)^(AN73-1),0)</f>
        <v/>
      </c>
      <c r="AV73" s="44">
        <f>IF(AND($AG73&gt;0,AF73&gt;$AF$6,AF73&lt;=$AF$7),$AG73*(1+$AF$9*($AF$7-AF73)/365),0)</f>
        <v/>
      </c>
      <c r="AW73" s="44">
        <f>IF(AM73=1,$AG73/(1+($AF$8+$AF$10/10000)/2)^(AN73-1),0)</f>
        <v/>
      </c>
      <c r="AX73" s="44">
        <f>IF(AM73=1,$AG73/(1+($AF$8+메인!$A$96/10000)/2)^(AN73-1),0)</f>
        <v/>
      </c>
      <c r="AY73" s="44">
        <f>IF(AM73=1,$AG73/(1+($AF$8+메인!$A$97/10000)/2)^(AN73-1),0)</f>
        <v/>
      </c>
      <c r="AZ73" s="44">
        <f>IF(AM73=1,$AG73/(1+($AF$8+메인!$A$98/10000)/2)^(AN73-1),0)</f>
        <v/>
      </c>
      <c r="BA73" s="44">
        <f>IF(AM73=1,$AG73/(1+($AF$8+메인!$A$99/10000)/2)^(AN73-1),0)</f>
        <v/>
      </c>
      <c r="BB73" s="44">
        <f>IF(AM73=1,$AG73/(1+($AF$8+메인!$A$100/10000)/2)^(AN73-1),0)</f>
        <v/>
      </c>
      <c r="BC73" s="44">
        <f>IF(AM73=1,$AG73/(1+($AF$8+메인!$A$101/10000)/2)^(AN73-1),0)</f>
        <v/>
      </c>
      <c r="BD73" s="44">
        <f>IF(AM73=1,$AG73/(1+($AF$8+메인!$A$102/10000)/2)^(AN73-1),0)</f>
        <v/>
      </c>
      <c r="BE73" s="44">
        <f>IF(AM73=1,$AG73/(1+($AF$8+메인!$A$103/10000)/2)^(AN73-1),0)</f>
        <v/>
      </c>
      <c r="BF73" s="44">
        <f>IF(AM73=1,$AG73/(1+($AF$8+메인!$A$104/10000)/2)^(AN73-1),0)</f>
        <v/>
      </c>
    </row>
    <row r="74">
      <c r="A74" s="42" t="n">
        <v>60</v>
      </c>
      <c r="B74" s="43">
        <f>EDATE($B$2,-6*(62-$A74))</f>
        <v/>
      </c>
      <c r="C74" s="44">
        <f>IF(AND(B74&gt;$B$3,B74&lt;=$B$2),IF(B74=$B$2,$B$5+100,$B$5),0)</f>
        <v/>
      </c>
      <c r="D74" s="42">
        <f>IF(AND($C74&gt;0,B74&gt;$B$6),1,0)</f>
        <v/>
      </c>
      <c r="E74" s="42">
        <f>IF(D74=1,SUM($D$15:D74),"")</f>
        <v/>
      </c>
      <c r="F74" s="44">
        <f>IF(D74=1,$C74/(1+$B$8/2)^(E74-1),0)</f>
        <v/>
      </c>
      <c r="G74" s="44">
        <f>IF(D74=1,$C74/(1+($B$8+0.0001)/2)^(E74-1),0)</f>
        <v/>
      </c>
      <c r="H74" s="44">
        <f>IF(D74=1,$C74/(1+($B$8-0.0001)/2)^(E74-1),0)</f>
        <v/>
      </c>
      <c r="I74" s="42">
        <f>IF(AND($C74&gt;0,B74&gt;$B$7),1,0)</f>
        <v/>
      </c>
      <c r="J74" s="42">
        <f>IF(I74=1,SUM($I$15:I74),"")</f>
        <v/>
      </c>
      <c r="K74" s="44">
        <f>IF(I74=1,$C74/(1+$B$99/2)^(J74-1),0)</f>
        <v/>
      </c>
      <c r="L74" s="44">
        <f>IF(I74=1,$C74/(1+($B$99+0.0001)/2)^(J74-1),0)</f>
        <v/>
      </c>
      <c r="M74" s="44">
        <f>IF(I74=1,$C74/(1+($B$99-0.0001)/2)^(J74-1),0)</f>
        <v/>
      </c>
      <c r="N74" s="44">
        <f>IF(I74=1,$C74/(1+$B$104/2)^(J74-1),0)</f>
        <v/>
      </c>
      <c r="O74" s="44">
        <f>IF(I74=1,$C74/(1+($B$104+0.0001)/2)^(J74-1),0)</f>
        <v/>
      </c>
      <c r="P74" s="44">
        <f>IF(I74=1,$C74/(1+($B$104-0.0001)/2)^(J74-1),0)</f>
        <v/>
      </c>
      <c r="Q74" s="44">
        <f>IF(I74=1,$C74/(1+$B$109/2)^(J74-1),0)</f>
        <v/>
      </c>
      <c r="R74" s="44">
        <f>IF(AND($C74&gt;0,B74&gt;$B$6,B74&lt;=$B$7),$C74*(1+$B$9*($B$7-B74)/365),0)</f>
        <v/>
      </c>
      <c r="S74" s="44">
        <f>IF(I74=1,$C74/(1+($B$8+$B$10/10000)/2)^(J74-1),0)</f>
        <v/>
      </c>
      <c r="T74" s="44">
        <f>IF(I74=1,$C74/(1+($B$8+메인!$A$96/10000)/2)^(J74-1),0)</f>
        <v/>
      </c>
      <c r="U74" s="44">
        <f>IF(I74=1,$C74/(1+($B$8+메인!$A$97/10000)/2)^(J74-1),0)</f>
        <v/>
      </c>
      <c r="V74" s="44">
        <f>IF(I74=1,$C74/(1+($B$8+메인!$A$98/10000)/2)^(J74-1),0)</f>
        <v/>
      </c>
      <c r="W74" s="44">
        <f>IF(I74=1,$C74/(1+($B$8+메인!$A$99/10000)/2)^(J74-1),0)</f>
        <v/>
      </c>
      <c r="X74" s="44">
        <f>IF(I74=1,$C74/(1+($B$8+메인!$A$100/10000)/2)^(J74-1),0)</f>
        <v/>
      </c>
      <c r="Y74" s="44">
        <f>IF(I74=1,$C74/(1+($B$8+메인!$A$101/10000)/2)^(J74-1),0)</f>
        <v/>
      </c>
      <c r="Z74" s="44">
        <f>IF(I74=1,$C74/(1+($B$8+메인!$A$102/10000)/2)^(J74-1),0)</f>
        <v/>
      </c>
      <c r="AA74" s="44">
        <f>IF(I74=1,$C74/(1+($B$8+메인!$A$103/10000)/2)^(J74-1),0)</f>
        <v/>
      </c>
      <c r="AB74" s="44">
        <f>IF(I74=1,$C74/(1+($B$8+메인!$A$104/10000)/2)^(J74-1),0)</f>
        <v/>
      </c>
      <c r="AE74" s="42" t="n">
        <v>60</v>
      </c>
      <c r="AF74" s="43">
        <f>EDATE($AF$2,-6*(62-$AE74))</f>
        <v/>
      </c>
      <c r="AG74" s="44">
        <f>IF(AND(AF74&gt;$AF$3,AF74&lt;=$AF$2),IF(AF74=$AF$2,$AF$5+100,$AF$5),0)</f>
        <v/>
      </c>
      <c r="AH74" s="42">
        <f>IF(AND($AG74&gt;0,AF74&gt;$AF$6),1,0)</f>
        <v/>
      </c>
      <c r="AI74" s="42">
        <f>IF(AH74=1,SUM($AH$15:AH74),"")</f>
        <v/>
      </c>
      <c r="AJ74" s="44">
        <f>IF(AH74=1,$AG74/(1+$AF$8/2)^(AI74-1),0)</f>
        <v/>
      </c>
      <c r="AK74" s="44">
        <f>IF(AH74=1,$AG74/(1+($AF$8+0.0001)/2)^(AI74-1),0)</f>
        <v/>
      </c>
      <c r="AL74" s="44">
        <f>IF(AH74=1,$AG74/(1+($AF$8-0.0001)/2)^(AI74-1),0)</f>
        <v/>
      </c>
      <c r="AM74" s="42">
        <f>IF(AND($AG74&gt;0,AF74&gt;$AF$7),1,0)</f>
        <v/>
      </c>
      <c r="AN74" s="42">
        <f>IF(AM74=1,SUM($AM$15:AM74),"")</f>
        <v/>
      </c>
      <c r="AO74" s="44">
        <f>IF(AM74=1,$AG74/(1+$AF$99/2)^(AN74-1),0)</f>
        <v/>
      </c>
      <c r="AP74" s="44">
        <f>IF(AM74=1,$AG74/(1+($AF$99+0.0001)/2)^(AN74-1),0)</f>
        <v/>
      </c>
      <c r="AQ74" s="44">
        <f>IF(AM74=1,$AG74/(1+($AF$99-0.0001)/2)^(AN74-1),0)</f>
        <v/>
      </c>
      <c r="AR74" s="44">
        <f>IF(AM74=1,$AG74/(1+$AF$104/2)^(AN74-1),0)</f>
        <v/>
      </c>
      <c r="AS74" s="44">
        <f>IF(AM74=1,$AG74/(1+($AF$104+0.0001)/2)^(AN74-1),0)</f>
        <v/>
      </c>
      <c r="AT74" s="44">
        <f>IF(AM74=1,$AG74/(1+($AF$104-0.0001)/2)^(AN74-1),0)</f>
        <v/>
      </c>
      <c r="AU74" s="44">
        <f>IF(AM74=1,$AG74/(1+$AF$109/2)^(AN74-1),0)</f>
        <v/>
      </c>
      <c r="AV74" s="44">
        <f>IF(AND($AG74&gt;0,AF74&gt;$AF$6,AF74&lt;=$AF$7),$AG74*(1+$AF$9*($AF$7-AF74)/365),0)</f>
        <v/>
      </c>
      <c r="AW74" s="44">
        <f>IF(AM74=1,$AG74/(1+($AF$8+$AF$10/10000)/2)^(AN74-1),0)</f>
        <v/>
      </c>
      <c r="AX74" s="44">
        <f>IF(AM74=1,$AG74/(1+($AF$8+메인!$A$96/10000)/2)^(AN74-1),0)</f>
        <v/>
      </c>
      <c r="AY74" s="44">
        <f>IF(AM74=1,$AG74/(1+($AF$8+메인!$A$97/10000)/2)^(AN74-1),0)</f>
        <v/>
      </c>
      <c r="AZ74" s="44">
        <f>IF(AM74=1,$AG74/(1+($AF$8+메인!$A$98/10000)/2)^(AN74-1),0)</f>
        <v/>
      </c>
      <c r="BA74" s="44">
        <f>IF(AM74=1,$AG74/(1+($AF$8+메인!$A$99/10000)/2)^(AN74-1),0)</f>
        <v/>
      </c>
      <c r="BB74" s="44">
        <f>IF(AM74=1,$AG74/(1+($AF$8+메인!$A$100/10000)/2)^(AN74-1),0)</f>
        <v/>
      </c>
      <c r="BC74" s="44">
        <f>IF(AM74=1,$AG74/(1+($AF$8+메인!$A$101/10000)/2)^(AN74-1),0)</f>
        <v/>
      </c>
      <c r="BD74" s="44">
        <f>IF(AM74=1,$AG74/(1+($AF$8+메인!$A$102/10000)/2)^(AN74-1),0)</f>
        <v/>
      </c>
      <c r="BE74" s="44">
        <f>IF(AM74=1,$AG74/(1+($AF$8+메인!$A$103/10000)/2)^(AN74-1),0)</f>
        <v/>
      </c>
      <c r="BF74" s="44">
        <f>IF(AM74=1,$AG74/(1+($AF$8+메인!$A$104/10000)/2)^(AN74-1),0)</f>
        <v/>
      </c>
    </row>
    <row r="75">
      <c r="A75" s="42" t="n">
        <v>61</v>
      </c>
      <c r="B75" s="43">
        <f>EDATE($B$2,-6*(62-$A75))</f>
        <v/>
      </c>
      <c r="C75" s="44">
        <f>IF(AND(B75&gt;$B$3,B75&lt;=$B$2),IF(B75=$B$2,$B$5+100,$B$5),0)</f>
        <v/>
      </c>
      <c r="D75" s="42">
        <f>IF(AND($C75&gt;0,B75&gt;$B$6),1,0)</f>
        <v/>
      </c>
      <c r="E75" s="42">
        <f>IF(D75=1,SUM($D$15:D75),"")</f>
        <v/>
      </c>
      <c r="F75" s="44">
        <f>IF(D75=1,$C75/(1+$B$8/2)^(E75-1),0)</f>
        <v/>
      </c>
      <c r="G75" s="44">
        <f>IF(D75=1,$C75/(1+($B$8+0.0001)/2)^(E75-1),0)</f>
        <v/>
      </c>
      <c r="H75" s="44">
        <f>IF(D75=1,$C75/(1+($B$8-0.0001)/2)^(E75-1),0)</f>
        <v/>
      </c>
      <c r="I75" s="42">
        <f>IF(AND($C75&gt;0,B75&gt;$B$7),1,0)</f>
        <v/>
      </c>
      <c r="J75" s="42">
        <f>IF(I75=1,SUM($I$15:I75),"")</f>
        <v/>
      </c>
      <c r="K75" s="44">
        <f>IF(I75=1,$C75/(1+$B$99/2)^(J75-1),0)</f>
        <v/>
      </c>
      <c r="L75" s="44">
        <f>IF(I75=1,$C75/(1+($B$99+0.0001)/2)^(J75-1),0)</f>
        <v/>
      </c>
      <c r="M75" s="44">
        <f>IF(I75=1,$C75/(1+($B$99-0.0001)/2)^(J75-1),0)</f>
        <v/>
      </c>
      <c r="N75" s="44">
        <f>IF(I75=1,$C75/(1+$B$104/2)^(J75-1),0)</f>
        <v/>
      </c>
      <c r="O75" s="44">
        <f>IF(I75=1,$C75/(1+($B$104+0.0001)/2)^(J75-1),0)</f>
        <v/>
      </c>
      <c r="P75" s="44">
        <f>IF(I75=1,$C75/(1+($B$104-0.0001)/2)^(J75-1),0)</f>
        <v/>
      </c>
      <c r="Q75" s="44">
        <f>IF(I75=1,$C75/(1+$B$109/2)^(J75-1),0)</f>
        <v/>
      </c>
      <c r="R75" s="44">
        <f>IF(AND($C75&gt;0,B75&gt;$B$6,B75&lt;=$B$7),$C75*(1+$B$9*($B$7-B75)/365),0)</f>
        <v/>
      </c>
      <c r="S75" s="44">
        <f>IF(I75=1,$C75/(1+($B$8+$B$10/10000)/2)^(J75-1),0)</f>
        <v/>
      </c>
      <c r="T75" s="44">
        <f>IF(I75=1,$C75/(1+($B$8+메인!$A$96/10000)/2)^(J75-1),0)</f>
        <v/>
      </c>
      <c r="U75" s="44">
        <f>IF(I75=1,$C75/(1+($B$8+메인!$A$97/10000)/2)^(J75-1),0)</f>
        <v/>
      </c>
      <c r="V75" s="44">
        <f>IF(I75=1,$C75/(1+($B$8+메인!$A$98/10000)/2)^(J75-1),0)</f>
        <v/>
      </c>
      <c r="W75" s="44">
        <f>IF(I75=1,$C75/(1+($B$8+메인!$A$99/10000)/2)^(J75-1),0)</f>
        <v/>
      </c>
      <c r="X75" s="44">
        <f>IF(I75=1,$C75/(1+($B$8+메인!$A$100/10000)/2)^(J75-1),0)</f>
        <v/>
      </c>
      <c r="Y75" s="44">
        <f>IF(I75=1,$C75/(1+($B$8+메인!$A$101/10000)/2)^(J75-1),0)</f>
        <v/>
      </c>
      <c r="Z75" s="44">
        <f>IF(I75=1,$C75/(1+($B$8+메인!$A$102/10000)/2)^(J75-1),0)</f>
        <v/>
      </c>
      <c r="AA75" s="44">
        <f>IF(I75=1,$C75/(1+($B$8+메인!$A$103/10000)/2)^(J75-1),0)</f>
        <v/>
      </c>
      <c r="AB75" s="44">
        <f>IF(I75=1,$C75/(1+($B$8+메인!$A$104/10000)/2)^(J75-1),0)</f>
        <v/>
      </c>
      <c r="AE75" s="42" t="n">
        <v>61</v>
      </c>
      <c r="AF75" s="43">
        <f>EDATE($AF$2,-6*(62-$AE75))</f>
        <v/>
      </c>
      <c r="AG75" s="44">
        <f>IF(AND(AF75&gt;$AF$3,AF75&lt;=$AF$2),IF(AF75=$AF$2,$AF$5+100,$AF$5),0)</f>
        <v/>
      </c>
      <c r="AH75" s="42">
        <f>IF(AND($AG75&gt;0,AF75&gt;$AF$6),1,0)</f>
        <v/>
      </c>
      <c r="AI75" s="42">
        <f>IF(AH75=1,SUM($AH$15:AH75),"")</f>
        <v/>
      </c>
      <c r="AJ75" s="44">
        <f>IF(AH75=1,$AG75/(1+$AF$8/2)^(AI75-1),0)</f>
        <v/>
      </c>
      <c r="AK75" s="44">
        <f>IF(AH75=1,$AG75/(1+($AF$8+0.0001)/2)^(AI75-1),0)</f>
        <v/>
      </c>
      <c r="AL75" s="44">
        <f>IF(AH75=1,$AG75/(1+($AF$8-0.0001)/2)^(AI75-1),0)</f>
        <v/>
      </c>
      <c r="AM75" s="42">
        <f>IF(AND($AG75&gt;0,AF75&gt;$AF$7),1,0)</f>
        <v/>
      </c>
      <c r="AN75" s="42">
        <f>IF(AM75=1,SUM($AM$15:AM75),"")</f>
        <v/>
      </c>
      <c r="AO75" s="44">
        <f>IF(AM75=1,$AG75/(1+$AF$99/2)^(AN75-1),0)</f>
        <v/>
      </c>
      <c r="AP75" s="44">
        <f>IF(AM75=1,$AG75/(1+($AF$99+0.0001)/2)^(AN75-1),0)</f>
        <v/>
      </c>
      <c r="AQ75" s="44">
        <f>IF(AM75=1,$AG75/(1+($AF$99-0.0001)/2)^(AN75-1),0)</f>
        <v/>
      </c>
      <c r="AR75" s="44">
        <f>IF(AM75=1,$AG75/(1+$AF$104/2)^(AN75-1),0)</f>
        <v/>
      </c>
      <c r="AS75" s="44">
        <f>IF(AM75=1,$AG75/(1+($AF$104+0.0001)/2)^(AN75-1),0)</f>
        <v/>
      </c>
      <c r="AT75" s="44">
        <f>IF(AM75=1,$AG75/(1+($AF$104-0.0001)/2)^(AN75-1),0)</f>
        <v/>
      </c>
      <c r="AU75" s="44">
        <f>IF(AM75=1,$AG75/(1+$AF$109/2)^(AN75-1),0)</f>
        <v/>
      </c>
      <c r="AV75" s="44">
        <f>IF(AND($AG75&gt;0,AF75&gt;$AF$6,AF75&lt;=$AF$7),$AG75*(1+$AF$9*($AF$7-AF75)/365),0)</f>
        <v/>
      </c>
      <c r="AW75" s="44">
        <f>IF(AM75=1,$AG75/(1+($AF$8+$AF$10/10000)/2)^(AN75-1),0)</f>
        <v/>
      </c>
      <c r="AX75" s="44">
        <f>IF(AM75=1,$AG75/(1+($AF$8+메인!$A$96/10000)/2)^(AN75-1),0)</f>
        <v/>
      </c>
      <c r="AY75" s="44">
        <f>IF(AM75=1,$AG75/(1+($AF$8+메인!$A$97/10000)/2)^(AN75-1),0)</f>
        <v/>
      </c>
      <c r="AZ75" s="44">
        <f>IF(AM75=1,$AG75/(1+($AF$8+메인!$A$98/10000)/2)^(AN75-1),0)</f>
        <v/>
      </c>
      <c r="BA75" s="44">
        <f>IF(AM75=1,$AG75/(1+($AF$8+메인!$A$99/10000)/2)^(AN75-1),0)</f>
        <v/>
      </c>
      <c r="BB75" s="44">
        <f>IF(AM75=1,$AG75/(1+($AF$8+메인!$A$100/10000)/2)^(AN75-1),0)</f>
        <v/>
      </c>
      <c r="BC75" s="44">
        <f>IF(AM75=1,$AG75/(1+($AF$8+메인!$A$101/10000)/2)^(AN75-1),0)</f>
        <v/>
      </c>
      <c r="BD75" s="44">
        <f>IF(AM75=1,$AG75/(1+($AF$8+메인!$A$102/10000)/2)^(AN75-1),0)</f>
        <v/>
      </c>
      <c r="BE75" s="44">
        <f>IF(AM75=1,$AG75/(1+($AF$8+메인!$A$103/10000)/2)^(AN75-1),0)</f>
        <v/>
      </c>
      <c r="BF75" s="44">
        <f>IF(AM75=1,$AG75/(1+($AF$8+메인!$A$104/10000)/2)^(AN75-1),0)</f>
        <v/>
      </c>
    </row>
    <row r="76">
      <c r="A76" s="42" t="n">
        <v>62</v>
      </c>
      <c r="B76" s="43">
        <f>EDATE($B$2,-6*(62-$A76))</f>
        <v/>
      </c>
      <c r="C76" s="44">
        <f>IF(AND(B76&gt;$B$3,B76&lt;=$B$2),IF(B76=$B$2,$B$5+100,$B$5),0)</f>
        <v/>
      </c>
      <c r="D76" s="42">
        <f>IF(AND($C76&gt;0,B76&gt;$B$6),1,0)</f>
        <v/>
      </c>
      <c r="E76" s="42">
        <f>IF(D76=1,SUM($D$15:D76),"")</f>
        <v/>
      </c>
      <c r="F76" s="44">
        <f>IF(D76=1,$C76/(1+$B$8/2)^(E76-1),0)</f>
        <v/>
      </c>
      <c r="G76" s="44">
        <f>IF(D76=1,$C76/(1+($B$8+0.0001)/2)^(E76-1),0)</f>
        <v/>
      </c>
      <c r="H76" s="44">
        <f>IF(D76=1,$C76/(1+($B$8-0.0001)/2)^(E76-1),0)</f>
        <v/>
      </c>
      <c r="I76" s="42">
        <f>IF(AND($C76&gt;0,B76&gt;$B$7),1,0)</f>
        <v/>
      </c>
      <c r="J76" s="42">
        <f>IF(I76=1,SUM($I$15:I76),"")</f>
        <v/>
      </c>
      <c r="K76" s="44">
        <f>IF(I76=1,$C76/(1+$B$99/2)^(J76-1),0)</f>
        <v/>
      </c>
      <c r="L76" s="44">
        <f>IF(I76=1,$C76/(1+($B$99+0.0001)/2)^(J76-1),0)</f>
        <v/>
      </c>
      <c r="M76" s="44">
        <f>IF(I76=1,$C76/(1+($B$99-0.0001)/2)^(J76-1),0)</f>
        <v/>
      </c>
      <c r="N76" s="44">
        <f>IF(I76=1,$C76/(1+$B$104/2)^(J76-1),0)</f>
        <v/>
      </c>
      <c r="O76" s="44">
        <f>IF(I76=1,$C76/(1+($B$104+0.0001)/2)^(J76-1),0)</f>
        <v/>
      </c>
      <c r="P76" s="44">
        <f>IF(I76=1,$C76/(1+($B$104-0.0001)/2)^(J76-1),0)</f>
        <v/>
      </c>
      <c r="Q76" s="44">
        <f>IF(I76=1,$C76/(1+$B$109/2)^(J76-1),0)</f>
        <v/>
      </c>
      <c r="R76" s="44">
        <f>IF(AND($C76&gt;0,B76&gt;$B$6,B76&lt;=$B$7),$C76*(1+$B$9*($B$7-B76)/365),0)</f>
        <v/>
      </c>
      <c r="S76" s="44">
        <f>IF(I76=1,$C76/(1+($B$8+$B$10/10000)/2)^(J76-1),0)</f>
        <v/>
      </c>
      <c r="T76" s="44">
        <f>IF(I76=1,$C76/(1+($B$8+메인!$A$96/10000)/2)^(J76-1),0)</f>
        <v/>
      </c>
      <c r="U76" s="44">
        <f>IF(I76=1,$C76/(1+($B$8+메인!$A$97/10000)/2)^(J76-1),0)</f>
        <v/>
      </c>
      <c r="V76" s="44">
        <f>IF(I76=1,$C76/(1+($B$8+메인!$A$98/10000)/2)^(J76-1),0)</f>
        <v/>
      </c>
      <c r="W76" s="44">
        <f>IF(I76=1,$C76/(1+($B$8+메인!$A$99/10000)/2)^(J76-1),0)</f>
        <v/>
      </c>
      <c r="X76" s="44">
        <f>IF(I76=1,$C76/(1+($B$8+메인!$A$100/10000)/2)^(J76-1),0)</f>
        <v/>
      </c>
      <c r="Y76" s="44">
        <f>IF(I76=1,$C76/(1+($B$8+메인!$A$101/10000)/2)^(J76-1),0)</f>
        <v/>
      </c>
      <c r="Z76" s="44">
        <f>IF(I76=1,$C76/(1+($B$8+메인!$A$102/10000)/2)^(J76-1),0)</f>
        <v/>
      </c>
      <c r="AA76" s="44">
        <f>IF(I76=1,$C76/(1+($B$8+메인!$A$103/10000)/2)^(J76-1),0)</f>
        <v/>
      </c>
      <c r="AB76" s="44">
        <f>IF(I76=1,$C76/(1+($B$8+메인!$A$104/10000)/2)^(J76-1),0)</f>
        <v/>
      </c>
      <c r="AE76" s="42" t="n">
        <v>62</v>
      </c>
      <c r="AF76" s="43">
        <f>EDATE($AF$2,-6*(62-$AE76))</f>
        <v/>
      </c>
      <c r="AG76" s="44">
        <f>IF(AND(AF76&gt;$AF$3,AF76&lt;=$AF$2),IF(AF76=$AF$2,$AF$5+100,$AF$5),0)</f>
        <v/>
      </c>
      <c r="AH76" s="42">
        <f>IF(AND($AG76&gt;0,AF76&gt;$AF$6),1,0)</f>
        <v/>
      </c>
      <c r="AI76" s="42">
        <f>IF(AH76=1,SUM($AH$15:AH76),"")</f>
        <v/>
      </c>
      <c r="AJ76" s="44">
        <f>IF(AH76=1,$AG76/(1+$AF$8/2)^(AI76-1),0)</f>
        <v/>
      </c>
      <c r="AK76" s="44">
        <f>IF(AH76=1,$AG76/(1+($AF$8+0.0001)/2)^(AI76-1),0)</f>
        <v/>
      </c>
      <c r="AL76" s="44">
        <f>IF(AH76=1,$AG76/(1+($AF$8-0.0001)/2)^(AI76-1),0)</f>
        <v/>
      </c>
      <c r="AM76" s="42">
        <f>IF(AND($AG76&gt;0,AF76&gt;$AF$7),1,0)</f>
        <v/>
      </c>
      <c r="AN76" s="42">
        <f>IF(AM76=1,SUM($AM$15:AM76),"")</f>
        <v/>
      </c>
      <c r="AO76" s="44">
        <f>IF(AM76=1,$AG76/(1+$AF$99/2)^(AN76-1),0)</f>
        <v/>
      </c>
      <c r="AP76" s="44">
        <f>IF(AM76=1,$AG76/(1+($AF$99+0.0001)/2)^(AN76-1),0)</f>
        <v/>
      </c>
      <c r="AQ76" s="44">
        <f>IF(AM76=1,$AG76/(1+($AF$99-0.0001)/2)^(AN76-1),0)</f>
        <v/>
      </c>
      <c r="AR76" s="44">
        <f>IF(AM76=1,$AG76/(1+$AF$104/2)^(AN76-1),0)</f>
        <v/>
      </c>
      <c r="AS76" s="44">
        <f>IF(AM76=1,$AG76/(1+($AF$104+0.0001)/2)^(AN76-1),0)</f>
        <v/>
      </c>
      <c r="AT76" s="44">
        <f>IF(AM76=1,$AG76/(1+($AF$104-0.0001)/2)^(AN76-1),0)</f>
        <v/>
      </c>
      <c r="AU76" s="44">
        <f>IF(AM76=1,$AG76/(1+$AF$109/2)^(AN76-1),0)</f>
        <v/>
      </c>
      <c r="AV76" s="44">
        <f>IF(AND($AG76&gt;0,AF76&gt;$AF$6,AF76&lt;=$AF$7),$AG76*(1+$AF$9*($AF$7-AF76)/365),0)</f>
        <v/>
      </c>
      <c r="AW76" s="44">
        <f>IF(AM76=1,$AG76/(1+($AF$8+$AF$10/10000)/2)^(AN76-1),0)</f>
        <v/>
      </c>
      <c r="AX76" s="44">
        <f>IF(AM76=1,$AG76/(1+($AF$8+메인!$A$96/10000)/2)^(AN76-1),0)</f>
        <v/>
      </c>
      <c r="AY76" s="44">
        <f>IF(AM76=1,$AG76/(1+($AF$8+메인!$A$97/10000)/2)^(AN76-1),0)</f>
        <v/>
      </c>
      <c r="AZ76" s="44">
        <f>IF(AM76=1,$AG76/(1+($AF$8+메인!$A$98/10000)/2)^(AN76-1),0)</f>
        <v/>
      </c>
      <c r="BA76" s="44">
        <f>IF(AM76=1,$AG76/(1+($AF$8+메인!$A$99/10000)/2)^(AN76-1),0)</f>
        <v/>
      </c>
      <c r="BB76" s="44">
        <f>IF(AM76=1,$AG76/(1+($AF$8+메인!$A$100/10000)/2)^(AN76-1),0)</f>
        <v/>
      </c>
      <c r="BC76" s="44">
        <f>IF(AM76=1,$AG76/(1+($AF$8+메인!$A$101/10000)/2)^(AN76-1),0)</f>
        <v/>
      </c>
      <c r="BD76" s="44">
        <f>IF(AM76=1,$AG76/(1+($AF$8+메인!$A$102/10000)/2)^(AN76-1),0)</f>
        <v/>
      </c>
      <c r="BE76" s="44">
        <f>IF(AM76=1,$AG76/(1+($AF$8+메인!$A$103/10000)/2)^(AN76-1),0)</f>
        <v/>
      </c>
      <c r="BF76" s="44">
        <f>IF(AM76=1,$AG76/(1+($AF$8+메인!$A$104/10000)/2)^(AN76-1),0)</f>
        <v/>
      </c>
    </row>
    <row r="78">
      <c r="A78" s="45" t="inlineStr">
        <is>
          <t>── 현물 (S0) ──</t>
        </is>
      </c>
      <c r="AE78" s="45" t="inlineStr">
        <is>
          <t>── 현물 (S0) ──</t>
        </is>
      </c>
    </row>
    <row r="79">
      <c r="A79" s="5" t="inlineStr">
        <is>
          <t>잔존 이표횟수</t>
        </is>
      </c>
      <c r="B79" s="15">
        <f>SUM(D15:D76)</f>
        <v/>
      </c>
      <c r="AE79" s="5" t="inlineStr">
        <is>
          <t>잔존 이표횟수</t>
        </is>
      </c>
      <c r="AF79" s="15">
        <f>SUM(AH15:AH76)</f>
        <v/>
      </c>
    </row>
    <row r="80">
      <c r="A80" s="5" t="inlineStr">
        <is>
          <t>차기 이표일</t>
        </is>
      </c>
      <c r="B80" s="8">
        <f>INDEX(B15:B76,MATCH(1,D15:D76,0))</f>
        <v/>
      </c>
      <c r="AE80" s="5" t="inlineStr">
        <is>
          <t>차기 이표일</t>
        </is>
      </c>
      <c r="AF80" s="8">
        <f>INDEX(AF15:AF76,MATCH(1,AH15:AH76,0))</f>
        <v/>
      </c>
    </row>
    <row r="81">
      <c r="A81" s="5" t="inlineStr">
        <is>
          <t>직전 이표일</t>
        </is>
      </c>
      <c r="B81" s="8">
        <f>EDATE(B80,-6)</f>
        <v/>
      </c>
      <c r="AE81" s="5" t="inlineStr">
        <is>
          <t>직전 이표일</t>
        </is>
      </c>
      <c r="AF81" s="8">
        <f>EDATE(AF80,-6)</f>
        <v/>
      </c>
    </row>
    <row r="82">
      <c r="A82" s="5" t="inlineStr">
        <is>
          <t>d</t>
        </is>
      </c>
      <c r="B82" s="15">
        <f>B80-B6</f>
        <v/>
      </c>
      <c r="AE82" s="5" t="inlineStr">
        <is>
          <t>d</t>
        </is>
      </c>
      <c r="AF82" s="15">
        <f>AF80-AF6</f>
        <v/>
      </c>
    </row>
    <row r="83">
      <c r="A83" s="5" t="inlineStr">
        <is>
          <t>T</t>
        </is>
      </c>
      <c r="B83" s="15">
        <f>B80-B81</f>
        <v/>
      </c>
      <c r="AE83" s="5" t="inlineStr">
        <is>
          <t>T</t>
        </is>
      </c>
      <c r="AF83" s="15">
        <f>AF80-AF81</f>
        <v/>
      </c>
    </row>
    <row r="84">
      <c r="A84" s="5" t="inlineStr">
        <is>
          <t>현물단가(더티)</t>
        </is>
      </c>
      <c r="B84" s="24">
        <f>SUM(F15:F76)/(1+B8/2*B82/B83)</f>
        <v/>
      </c>
      <c r="AE84" s="5" t="inlineStr">
        <is>
          <t>현물단가(더티)</t>
        </is>
      </c>
      <c r="AF84" s="24">
        <f>SUM(AJ15:AJ76)/(1+AF8/2*AF82/AF83)</f>
        <v/>
      </c>
    </row>
    <row r="85">
      <c r="A85" s="5" t="inlineStr">
        <is>
          <t>P0 @+1bp</t>
        </is>
      </c>
      <c r="B85" s="24">
        <f>SUM(G15:G76)/(1+(B8+0.0001)/2*B82/B83)</f>
        <v/>
      </c>
      <c r="AE85" s="5" t="inlineStr">
        <is>
          <t>P0 @+1bp</t>
        </is>
      </c>
      <c r="AF85" s="24">
        <f>SUM(AK15:AK76)/(1+(AF8+0.0001)/2*AF82/AF83)</f>
        <v/>
      </c>
    </row>
    <row r="86">
      <c r="A86" s="5" t="inlineStr">
        <is>
          <t>P0 @−1bp</t>
        </is>
      </c>
      <c r="B86" s="24">
        <f>SUM(H15:H76)/(1+(B8-0.0001)/2*B82/B83)</f>
        <v/>
      </c>
      <c r="AE86" s="5" t="inlineStr">
        <is>
          <t>P0 @−1bp</t>
        </is>
      </c>
      <c r="AF86" s="24">
        <f>SUM(AL15:AL76)/(1+(AF8-0.0001)/2*AF82/AF83)</f>
        <v/>
      </c>
    </row>
    <row r="87">
      <c r="A87" s="5" t="inlineStr">
        <is>
          <t>현물 BPV</t>
        </is>
      </c>
      <c r="B87" s="24">
        <f>(B86-B85)/2</f>
        <v/>
      </c>
      <c r="AE87" s="5" t="inlineStr">
        <is>
          <t>현물 BPV</t>
        </is>
      </c>
      <c r="AF87" s="24">
        <f>(AF86-AF85)/2</f>
        <v/>
      </c>
    </row>
    <row r="88">
      <c r="A88" s="5" t="inlineStr">
        <is>
          <t>수정듀레이션</t>
        </is>
      </c>
      <c r="B88" s="27">
        <f>B87*10000/B84</f>
        <v/>
      </c>
      <c r="AE88" s="5" t="inlineStr">
        <is>
          <t>수정듀레이션</t>
        </is>
      </c>
      <c r="AF88" s="27">
        <f>AF87*10000/AF84</f>
        <v/>
      </c>
    </row>
    <row r="90">
      <c r="A90" s="45" t="inlineStr">
        <is>
          <t>── 선도 (H) ──</t>
        </is>
      </c>
      <c r="AE90" s="45" t="inlineStr">
        <is>
          <t>── 선도 (H) ──</t>
        </is>
      </c>
    </row>
    <row r="91">
      <c r="A91" s="5" t="inlineStr">
        <is>
          <t>선도 차기이표일</t>
        </is>
      </c>
      <c r="B91" s="8">
        <f>INDEX(B15:B76,MATCH(1,I15:I76,0))</f>
        <v/>
      </c>
      <c r="AE91" s="5" t="inlineStr">
        <is>
          <t>선도 차기이표일</t>
        </is>
      </c>
      <c r="AF91" s="8">
        <f>INDEX(AF15:AF76,MATCH(1,AM15:AM76,0))</f>
        <v/>
      </c>
    </row>
    <row r="92">
      <c r="A92" s="5" t="inlineStr">
        <is>
          <t>선도 직전이표일</t>
        </is>
      </c>
      <c r="B92" s="8">
        <f>EDATE(B91,-6)</f>
        <v/>
      </c>
      <c r="AE92" s="5" t="inlineStr">
        <is>
          <t>선도 직전이표일</t>
        </is>
      </c>
      <c r="AF92" s="8">
        <f>EDATE(AF91,-6)</f>
        <v/>
      </c>
    </row>
    <row r="93">
      <c r="A93" s="5" t="inlineStr">
        <is>
          <t>d_H</t>
        </is>
      </c>
      <c r="B93" s="15">
        <f>B91-B7</f>
        <v/>
      </c>
      <c r="AE93" s="5" t="inlineStr">
        <is>
          <t>d_H</t>
        </is>
      </c>
      <c r="AF93" s="15">
        <f>AF91-AF7</f>
        <v/>
      </c>
    </row>
    <row r="94">
      <c r="A94" s="5" t="inlineStr">
        <is>
          <t>T_H</t>
        </is>
      </c>
      <c r="B94" s="15">
        <f>B91-B92</f>
        <v/>
      </c>
      <c r="AE94" s="5" t="inlineStr">
        <is>
          <t>T_H</t>
        </is>
      </c>
      <c r="AF94" s="15">
        <f>AF91-AF92</f>
        <v/>
      </c>
    </row>
    <row r="95">
      <c r="A95" s="5" t="inlineStr">
        <is>
          <t>쿠폰 재투자FV</t>
        </is>
      </c>
      <c r="B95" s="24">
        <f>SUM(R15:R76)</f>
        <v/>
      </c>
      <c r="AE95" s="5" t="inlineStr">
        <is>
          <t>쿠폰 재투자FV</t>
        </is>
      </c>
      <c r="AF95" s="24">
        <f>SUM(AV15:AV76)</f>
        <v/>
      </c>
    </row>
    <row r="96">
      <c r="A96" s="5" t="inlineStr">
        <is>
          <t>조달일수</t>
        </is>
      </c>
      <c r="B96" s="15">
        <f>B7-B6</f>
        <v/>
      </c>
      <c r="AE96" s="5" t="inlineStr">
        <is>
          <t>조달일수</t>
        </is>
      </c>
      <c r="AF96" s="15">
        <f>AF7-AF6</f>
        <v/>
      </c>
    </row>
    <row r="97">
      <c r="A97" s="5" t="inlineStr">
        <is>
          <t>조달이자</t>
        </is>
      </c>
      <c r="B97" s="24">
        <f>B84*B9*B96/365</f>
        <v/>
      </c>
      <c r="AE97" s="5" t="inlineStr">
        <is>
          <t>조달이자</t>
        </is>
      </c>
      <c r="AF97" s="24">
        <f>AF84*AF9*AF96/365</f>
        <v/>
      </c>
    </row>
    <row r="98">
      <c r="A98" s="5" t="inlineStr">
        <is>
          <t>선도 목표단가</t>
        </is>
      </c>
      <c r="B98" s="24">
        <f>B84+B97-B95</f>
        <v/>
      </c>
      <c r="AE98" s="5" t="inlineStr">
        <is>
          <t>선도 목표단가</t>
        </is>
      </c>
      <c r="AF98" s="24">
        <f>AF84+AF97-AF95</f>
        <v/>
      </c>
    </row>
    <row r="99">
      <c r="A99" s="5" t="inlineStr">
        <is>
          <t>y0 (=현물수익률)</t>
        </is>
      </c>
      <c r="B99" s="32">
        <f>B8</f>
        <v/>
      </c>
      <c r="AE99" s="5" t="inlineStr">
        <is>
          <t>y0 (=현물수익률)</t>
        </is>
      </c>
      <c r="AF99" s="32">
        <f>AF8</f>
        <v/>
      </c>
    </row>
    <row r="100">
      <c r="A100" s="5" t="inlineStr">
        <is>
          <t>P_H(y0)</t>
        </is>
      </c>
      <c r="B100" s="24">
        <f>SUM(K15:K76)/(1+B99/2*B93/B94)</f>
        <v/>
      </c>
      <c r="AE100" s="5" t="inlineStr">
        <is>
          <t>P_H(y0)</t>
        </is>
      </c>
      <c r="AF100" s="24">
        <f>SUM(AO15:AO76)/(1+AF99/2*AF93/AF94)</f>
        <v/>
      </c>
    </row>
    <row r="101">
      <c r="A101" s="5" t="inlineStr">
        <is>
          <t>P_H(y0+1bp)</t>
        </is>
      </c>
      <c r="B101" s="24">
        <f>SUM(L15:L76)/(1+(B99+0.0001)/2*B93/B94)</f>
        <v/>
      </c>
      <c r="AE101" s="5" t="inlineStr">
        <is>
          <t>P_H(y0+1bp)</t>
        </is>
      </c>
      <c r="AF101" s="24">
        <f>SUM(AP15:AP76)/(1+(AF99+0.0001)/2*AF93/AF94)</f>
        <v/>
      </c>
    </row>
    <row r="102">
      <c r="A102" s="5" t="inlineStr">
        <is>
          <t>P_H(y0−1bp)</t>
        </is>
      </c>
      <c r="B102" s="24">
        <f>SUM(M15:M76)/(1+(B99-0.0001)/2*B93/B94)</f>
        <v/>
      </c>
      <c r="AE102" s="5" t="inlineStr">
        <is>
          <t>P_H(y0−1bp)</t>
        </is>
      </c>
      <c r="AF102" s="24">
        <f>SUM(AQ15:AQ76)/(1+(AF99-0.0001)/2*AF93/AF94)</f>
        <v/>
      </c>
    </row>
    <row r="103">
      <c r="A103" s="5" t="inlineStr">
        <is>
          <t>|dP/dy|</t>
        </is>
      </c>
      <c r="B103" s="24">
        <f>(B102-B101)/0.0002</f>
        <v/>
      </c>
      <c r="AE103" s="5" t="inlineStr">
        <is>
          <t>|dP/dy|</t>
        </is>
      </c>
      <c r="AF103" s="24">
        <f>(AF102-AF101)/0.0002</f>
        <v/>
      </c>
    </row>
    <row r="104">
      <c r="A104" s="5" t="inlineStr">
        <is>
          <t>y1 (뉴턴 1회)</t>
        </is>
      </c>
      <c r="B104" s="32">
        <f>B99+(B100-B98)/B103</f>
        <v/>
      </c>
      <c r="AE104" s="5" t="inlineStr">
        <is>
          <t>y1 (뉴턴 1회)</t>
        </is>
      </c>
      <c r="AF104" s="32">
        <f>AF99+(AF100-AF98)/AF103</f>
        <v/>
      </c>
    </row>
    <row r="105">
      <c r="A105" s="5" t="inlineStr">
        <is>
          <t>P_H(y1)</t>
        </is>
      </c>
      <c r="B105" s="24">
        <f>SUM(N15:N76)/(1+B104/2*B93/B94)</f>
        <v/>
      </c>
      <c r="AE105" s="5" t="inlineStr">
        <is>
          <t>P_H(y1)</t>
        </is>
      </c>
      <c r="AF105" s="24">
        <f>SUM(AR15:AR76)/(1+AF104/2*AF93/AF94)</f>
        <v/>
      </c>
    </row>
    <row r="106">
      <c r="A106" s="5" t="inlineStr">
        <is>
          <t>P_H(y1+1bp)</t>
        </is>
      </c>
      <c r="B106" s="24">
        <f>SUM(O15:O76)/(1+(B104+0.0001)/2*B93/B94)</f>
        <v/>
      </c>
      <c r="AE106" s="5" t="inlineStr">
        <is>
          <t>P_H(y1+1bp)</t>
        </is>
      </c>
      <c r="AF106" s="24">
        <f>SUM(AS15:AS76)/(1+(AF104+0.0001)/2*AF93/AF94)</f>
        <v/>
      </c>
    </row>
    <row r="107">
      <c r="A107" s="5" t="inlineStr">
        <is>
          <t>P_H(y1−1bp)</t>
        </is>
      </c>
      <c r="B107" s="24">
        <f>SUM(P15:P76)/(1+(B104-0.0001)/2*B93/B94)</f>
        <v/>
      </c>
      <c r="AE107" s="5" t="inlineStr">
        <is>
          <t>P_H(y1−1bp)</t>
        </is>
      </c>
      <c r="AF107" s="24">
        <f>SUM(AT15:AT76)/(1+(AF104-0.0001)/2*AF93/AF94)</f>
        <v/>
      </c>
    </row>
    <row r="108">
      <c r="A108" s="5" t="inlineStr">
        <is>
          <t>▶ 선도 BPV</t>
        </is>
      </c>
      <c r="B108" s="24">
        <f>(B107-B106)/2</f>
        <v/>
      </c>
      <c r="AE108" s="5" t="inlineStr">
        <is>
          <t>▶ 선도 BPV</t>
        </is>
      </c>
      <c r="AF108" s="24">
        <f>(AF107-AF106)/2</f>
        <v/>
      </c>
    </row>
    <row r="109">
      <c r="A109" s="5" t="inlineStr">
        <is>
          <t>▶ 선도수익률 y2 (뉴턴 2회)</t>
        </is>
      </c>
      <c r="B109" s="32">
        <f>B104+(B105-B98)/B103</f>
        <v/>
      </c>
      <c r="AE109" s="5" t="inlineStr">
        <is>
          <t>▶ 선도수익률 y2 (뉴턴 2회)</t>
        </is>
      </c>
      <c r="AF109" s="32">
        <f>AF104+(AF105-AF98)/AF103</f>
        <v/>
      </c>
    </row>
    <row r="110">
      <c r="A110" s="5" t="inlineStr">
        <is>
          <t>P_H(y2)</t>
        </is>
      </c>
      <c r="B110" s="24">
        <f>SUM(Q15:Q76)/(1+B109/2*B93/B94)</f>
        <v/>
      </c>
      <c r="AE110" s="5" t="inlineStr">
        <is>
          <t>P_H(y2)</t>
        </is>
      </c>
      <c r="AF110" s="24">
        <f>SUM(AU15:AU76)/(1+AF109/2*AF93/AF94)</f>
        <v/>
      </c>
    </row>
    <row r="111">
      <c r="A111" s="5" t="inlineStr">
        <is>
          <t>수렴 잔차</t>
        </is>
      </c>
      <c r="B111" s="28">
        <f>B110-B98</f>
        <v/>
      </c>
      <c r="AE111" s="5" t="inlineStr">
        <is>
          <t>수렴 잔차</t>
        </is>
      </c>
      <c r="AF111" s="28">
        <f>AF110-AF98</f>
        <v/>
      </c>
    </row>
    <row r="113">
      <c r="A113" s="45" t="inlineStr">
        <is>
          <t>── 만기 재평가 ──</t>
        </is>
      </c>
      <c r="AE113" s="45" t="inlineStr">
        <is>
          <t>── 만기 재평가 ──</t>
        </is>
      </c>
    </row>
    <row r="114">
      <c r="A114" s="5" t="inlineStr">
        <is>
          <t>만기단가 — 손익 shift</t>
        </is>
      </c>
      <c r="B114" s="24">
        <f>SUM(S15:S76)/(1+(B8+$B$10/10000)/2*B93/B94)</f>
        <v/>
      </c>
      <c r="AE114" s="5" t="inlineStr">
        <is>
          <t>만기단가 — 손익 shift</t>
        </is>
      </c>
      <c r="AF114" s="24">
        <f>SUM(AW15:AW76)/(1+(AF8+$AF$10/10000)/2*AF93/AF94)</f>
        <v/>
      </c>
    </row>
    <row r="115">
      <c r="A115" s="5" t="inlineStr">
        <is>
          <t>만기단가 — 시나리오 -100bp</t>
        </is>
      </c>
      <c r="B115" s="24">
        <f>SUM(T15:T76)/(1+(B8+메인!$A$96/10000)/2*B93/B94)</f>
        <v/>
      </c>
      <c r="AE115" s="5" t="inlineStr">
        <is>
          <t>만기단가 — 시나리오 -100bp</t>
        </is>
      </c>
      <c r="AF115" s="24">
        <f>SUM(AX15:AX76)/(1+(AF8+메인!$A$96/10000)/2*AF93/AF94)</f>
        <v/>
      </c>
    </row>
    <row r="116">
      <c r="A116" s="5" t="inlineStr">
        <is>
          <t>만기단가 — 시나리오 -75bp</t>
        </is>
      </c>
      <c r="B116" s="24">
        <f>SUM(U15:U76)/(1+(B8+메인!$A$97/10000)/2*B93/B94)</f>
        <v/>
      </c>
      <c r="AE116" s="5" t="inlineStr">
        <is>
          <t>만기단가 — 시나리오 -75bp</t>
        </is>
      </c>
      <c r="AF116" s="24">
        <f>SUM(AY15:AY76)/(1+(AF8+메인!$A$97/10000)/2*AF93/AF94)</f>
        <v/>
      </c>
    </row>
    <row r="117">
      <c r="A117" s="5" t="inlineStr">
        <is>
          <t>만기단가 — 시나리오 -50bp</t>
        </is>
      </c>
      <c r="B117" s="24">
        <f>SUM(V15:V76)/(1+(B8+메인!$A$98/10000)/2*B93/B94)</f>
        <v/>
      </c>
      <c r="AE117" s="5" t="inlineStr">
        <is>
          <t>만기단가 — 시나리오 -50bp</t>
        </is>
      </c>
      <c r="AF117" s="24">
        <f>SUM(AZ15:AZ76)/(1+(AF8+메인!$A$98/10000)/2*AF93/AF94)</f>
        <v/>
      </c>
    </row>
    <row r="118">
      <c r="A118" s="5" t="inlineStr">
        <is>
          <t>만기단가 — 시나리오 -25bp</t>
        </is>
      </c>
      <c r="B118" s="24">
        <f>SUM(W15:W76)/(1+(B8+메인!$A$99/10000)/2*B93/B94)</f>
        <v/>
      </c>
      <c r="AE118" s="5" t="inlineStr">
        <is>
          <t>만기단가 — 시나리오 -25bp</t>
        </is>
      </c>
      <c r="AF118" s="24">
        <f>SUM(BA15:BA76)/(1+(AF8+메인!$A$99/10000)/2*AF93/AF94)</f>
        <v/>
      </c>
    </row>
    <row r="119">
      <c r="A119" s="5" t="inlineStr">
        <is>
          <t>만기단가 — 시나리오 +0bp</t>
        </is>
      </c>
      <c r="B119" s="24">
        <f>SUM(X15:X76)/(1+(B8+메인!$A$100/10000)/2*B93/B94)</f>
        <v/>
      </c>
      <c r="AE119" s="5" t="inlineStr">
        <is>
          <t>만기단가 — 시나리오 +0bp</t>
        </is>
      </c>
      <c r="AF119" s="24">
        <f>SUM(BB15:BB76)/(1+(AF8+메인!$A$100/10000)/2*AF93/AF94)</f>
        <v/>
      </c>
    </row>
    <row r="120">
      <c r="A120" s="5" t="inlineStr">
        <is>
          <t>만기단가 — 시나리오 +25bp</t>
        </is>
      </c>
      <c r="B120" s="24">
        <f>SUM(Y15:Y76)/(1+(B8+메인!$A$101/10000)/2*B93/B94)</f>
        <v/>
      </c>
      <c r="AE120" s="5" t="inlineStr">
        <is>
          <t>만기단가 — 시나리오 +25bp</t>
        </is>
      </c>
      <c r="AF120" s="24">
        <f>SUM(BC15:BC76)/(1+(AF8+메인!$A$101/10000)/2*AF93/AF94)</f>
        <v/>
      </c>
    </row>
    <row r="121">
      <c r="A121" s="5" t="inlineStr">
        <is>
          <t>만기단가 — 시나리오 +50bp</t>
        </is>
      </c>
      <c r="B121" s="24">
        <f>SUM(Z15:Z76)/(1+(B8+메인!$A$102/10000)/2*B93/B94)</f>
        <v/>
      </c>
      <c r="AE121" s="5" t="inlineStr">
        <is>
          <t>만기단가 — 시나리오 +50bp</t>
        </is>
      </c>
      <c r="AF121" s="24">
        <f>SUM(BD15:BD76)/(1+(AF8+메인!$A$102/10000)/2*AF93/AF94)</f>
        <v/>
      </c>
    </row>
    <row r="122">
      <c r="A122" s="5" t="inlineStr">
        <is>
          <t>만기단가 — 시나리오 +75bp</t>
        </is>
      </c>
      <c r="B122" s="24">
        <f>SUM(AA15:AA76)/(1+(B8+메인!$A$103/10000)/2*B93/B94)</f>
        <v/>
      </c>
      <c r="AE122" s="5" t="inlineStr">
        <is>
          <t>만기단가 — 시나리오 +75bp</t>
        </is>
      </c>
      <c r="AF122" s="24">
        <f>SUM(BE15:BE76)/(1+(AF8+메인!$A$103/10000)/2*AF93/AF94)</f>
        <v/>
      </c>
    </row>
    <row r="123">
      <c r="A123" s="5" t="inlineStr">
        <is>
          <t>만기단가 — 시나리오 +100bp</t>
        </is>
      </c>
      <c r="B123" s="24">
        <f>SUM(AB15:AB76)/(1+(B8+메인!$A$104/10000)/2*B93/B94)</f>
        <v/>
      </c>
      <c r="AE123" s="5" t="inlineStr">
        <is>
          <t>만기단가 — 시나리오 +100bp</t>
        </is>
      </c>
      <c r="AF123" s="24">
        <f>SUM(BF15:BF76)/(1+(AF8+메인!$A$104/10000)/2*AF93/AF94)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2026-07-28T06:19:58Z</dcterms:created>
  <dcterms:modified xsi:type="dcterms:W3CDTF">2026-07-28T06:19:58Z</dcterms:modified>
</cp:coreProperties>
</file>