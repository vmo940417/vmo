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실시간" sheetId="2" state="visible" r:id="rId2"/>
    <sheet name="설정" sheetId="3" state="visible" r:id="rId3"/>
    <sheet name="바스켓" sheetId="4" state="visible" r:id="rId4"/>
    <sheet name="이론가" sheetId="5" state="visible" r:id="rId5"/>
    <sheet name="손익" sheetId="6" state="visible" r:id="rId6"/>
    <sheet name="시나리오" sheetId="7" state="visible" r:id="rId7"/>
    <sheet name="현금흐름" sheetId="8" state="visible" r:id="rId8"/>
    <sheet name="연동가이드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"/>
    <numFmt numFmtId="165" formatCode="yyyy-mm-dd hh:mm:ss"/>
    <numFmt numFmtId="166" formatCode="yyyy-mm-dd"/>
    <numFmt numFmtId="167" formatCode="0.000000"/>
    <numFmt numFmtId="168" formatCode="0.00000"/>
    <numFmt numFmtId="169" formatCode="0.00000000"/>
    <numFmt numFmtId="170" formatCode="#,##0.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i val="1"/>
      <color rgb="00808080"/>
      <sz val="9"/>
    </font>
    <font>
      <name val="Arial"/>
      <b val="1"/>
      <color rgb="00FFFFFF"/>
      <sz val="11"/>
    </font>
    <font>
      <name val="Arial"/>
      <b val="1"/>
      <sz val="11"/>
    </font>
    <font>
      <name val="Arial"/>
      <color rgb="00008000"/>
      <sz val="10"/>
    </font>
    <font>
      <name val="Arial"/>
      <b val="1"/>
      <color rgb="001F3864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F99"/>
      </patternFill>
    </fill>
    <fill>
      <patternFill patternType="solid">
        <fgColor rgb="00DDEBF7"/>
      </patternFill>
    </fill>
    <fill>
      <patternFill patternType="solid">
        <fgColor rgb="004472C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5" fillId="4" borderId="0" pivotButton="0" quotePrefix="0" xfId="0"/>
    <xf numFmtId="164" fontId="6" fillId="5" borderId="1" pivotButton="0" quotePrefix="0" xfId="0"/>
    <xf numFmtId="0" fontId="7" fillId="0" borderId="0" pivotButton="0" quotePrefix="0" xfId="0"/>
    <xf numFmtId="164" fontId="3" fillId="0" borderId="1" pivotButton="0" quotePrefix="0" xfId="0"/>
    <xf numFmtId="165" fontId="3" fillId="0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7" fillId="6" borderId="0" pivotButton="0" quotePrefix="0" xfId="0"/>
    <xf numFmtId="0" fontId="5" fillId="4" borderId="1" pivotButton="0" quotePrefix="0" xfId="0"/>
    <xf numFmtId="3" fontId="3" fillId="0" borderId="1" pivotButton="0" quotePrefix="0" xfId="0"/>
    <xf numFmtId="10" fontId="5" fillId="4" borderId="1" pivotButton="0" quotePrefix="0" xfId="0"/>
    <xf numFmtId="3" fontId="5" fillId="4" borderId="1" pivotButton="0" quotePrefix="0" xfId="0"/>
    <xf numFmtId="2" fontId="5" fillId="4" borderId="1" pivotButton="0" quotePrefix="0" xfId="0"/>
    <xf numFmtId="166" fontId="3" fillId="0" borderId="1" pivotButton="0" quotePrefix="0" xfId="0"/>
    <xf numFmtId="166" fontId="5" fillId="4" borderId="1" pivotButton="0" quotePrefix="0" xfId="0"/>
    <xf numFmtId="166" fontId="9" fillId="7" borderId="1" pivotButton="0" quotePrefix="0" xfId="0"/>
    <xf numFmtId="3" fontId="9" fillId="7" borderId="1" pivotButton="0" quotePrefix="0" xfId="0"/>
    <xf numFmtId="164" fontId="5" fillId="4" borderId="1" pivotButton="0" quotePrefix="0" xfId="0"/>
    <xf numFmtId="164" fontId="9" fillId="7" borderId="1" pivotButton="0" quotePrefix="0" xfId="0"/>
    <xf numFmtId="167" fontId="3" fillId="0" borderId="1" pivotButton="0" quotePrefix="0" xfId="0"/>
    <xf numFmtId="2" fontId="9" fillId="7" borderId="1" pivotButton="0" quotePrefix="0" xfId="0"/>
    <xf numFmtId="164" fontId="9" fillId="0" borderId="1" pivotButton="0" quotePrefix="0" xfId="0"/>
    <xf numFmtId="164" fontId="10" fillId="0" borderId="1" pivotButton="0" quotePrefix="0" xfId="0"/>
    <xf numFmtId="170" fontId="3" fillId="0" borderId="1" pivotButton="0" quotePrefix="0" xfId="0"/>
    <xf numFmtId="11" fontId="3" fillId="0" borderId="1" pivotButton="0" quotePrefix="0" xfId="0"/>
    <xf numFmtId="2" fontId="3" fillId="0" borderId="1" pivotButton="0" quotePrefix="0" xfId="0"/>
    <xf numFmtId="3" fontId="9" fillId="0" borderId="1" pivotButton="0" quotePrefix="0" xfId="0"/>
    <xf numFmtId="0" fontId="4" fillId="6" borderId="0" pivotButton="0" quotePrefix="0" xfId="0"/>
    <xf numFmtId="164" fontId="10" fillId="0" borderId="0" pivotButton="0" quotePrefix="0" xfId="0"/>
    <xf numFmtId="169" fontId="3" fillId="0" borderId="1" pivotButton="0" quotePrefix="0" xfId="0"/>
    <xf numFmtId="3" fontId="10" fillId="0" borderId="1" pivotButton="0" quotePrefix="0" xfId="0"/>
    <xf numFmtId="167" fontId="9" fillId="7" borderId="1" pivotButton="0" quotePrefix="0" xfId="0"/>
    <xf numFmtId="2" fontId="10" fillId="0" borderId="1" pivotButton="0" quotePrefix="0" xfId="0"/>
    <xf numFmtId="0" fontId="9" fillId="7" borderId="1" pivotButton="0" quotePrefix="0" xfId="0"/>
    <xf numFmtId="0" fontId="11" fillId="0" borderId="0" pivotButton="0" quotePrefix="0" xfId="0"/>
    <xf numFmtId="0" fontId="4" fillId="3" borderId="1" applyAlignment="1" pivotButton="0" quotePrefix="0" xfId="0">
      <alignment horizontal="center" wrapText="1"/>
    </xf>
    <xf numFmtId="2" fontId="5" fillId="0" borderId="1" pivotButton="0" quotePrefix="0" xfId="0"/>
    <xf numFmtId="2" fontId="5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166" fontId="10" fillId="0" borderId="1" pivotButton="0" quotePrefix="0" xfId="0"/>
    <xf numFmtId="168" fontId="10" fillId="0" borderId="1" pivotButton="0" quotePrefix="0" xfId="0"/>
    <xf numFmtId="167" fontId="10" fillId="0" borderId="1" pivotButton="0" quotePrefix="0" xfId="0"/>
    <xf numFmtId="3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설계</author>
  </authors>
  <commentList>
    <comment ref="C5" authorId="0" shapeId="0">
      <text>
        <t>실시간 연결 셀. 벤더 RTD/DDE 수식으로 교체하십시오.
초기값은 더미 데이터입니다.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2" customHeight="1">
      <c r="A1" s="1" t="inlineStr">
        <is>
          <t>국채선물 차익거래 실시간 모니터  ―  사용설명서</t>
        </is>
      </c>
      <c r="B1" s="2" t="n"/>
      <c r="C1" s="2" t="n"/>
      <c r="D1" s="2" t="n"/>
      <c r="E1" s="2" t="n"/>
      <c r="F1" s="2" t="n"/>
    </row>
    <row r="2"/>
    <row r="3">
      <c r="B3" s="3" t="inlineStr">
        <is>
          <t>1. 이 파일이 계산하는 것</t>
        </is>
      </c>
    </row>
    <row r="4">
      <c r="B4" s="4" t="inlineStr">
        <is>
          <t>한국 국채선물은 실물인수도가 아닌 '현금결제' 상품이다. 최종결제기준가격은 최종거래일에 국고채전문딜러들이</t>
        </is>
      </c>
    </row>
    <row r="5">
      <c r="B5" s="4" t="inlineStr">
        <is>
          <t>제출한 바스켓(최종결제기준채권) 종목별 수익률을 집계·평균하여, 표면금리 5% / 6개월 이표 / 잔존 n년의</t>
        </is>
      </c>
    </row>
    <row r="6">
      <c r="B6" s="4" t="inlineStr">
        <is>
          <t>'표준물(가상채권)' 할인율로 적용해 산출한다. 따라서 차익거래 손익은 다음과 같이 분해된다.</t>
        </is>
      </c>
    </row>
    <row r="7">
      <c r="B7" s="4" t="inlineStr"/>
    </row>
    <row r="8">
      <c r="B8" s="4" t="inlineStr">
        <is>
          <t xml:space="preserve">    만기손익 = [선물 leg] (진입가 − 표준물가격(바스켓 평균수익률)) × 1포인트가치 × 계약수 × 방향</t>
        </is>
      </c>
    </row>
    <row r="9">
      <c r="B9" s="4" t="inlineStr">
        <is>
          <t xml:space="preserve">             + [현물 leg] Σ (만기 처분단가 − 선도 목표단가) / 100 × 보유액면 × 방향</t>
        </is>
      </c>
    </row>
    <row r="10">
      <c r="B10" s="4" t="inlineStr">
        <is>
          <t xml:space="preserve">             − 거래비용</t>
        </is>
      </c>
    </row>
    <row r="11">
      <c r="B11" s="4" t="inlineStr"/>
    </row>
    <row r="12">
      <c r="B12" s="4" t="inlineStr">
        <is>
          <t>선도 목표단가 = 현물단가 + 조달이자 − 기간중 쿠폰 재투자원리금  (= 캐리 반영 선도가격)</t>
        </is>
      </c>
    </row>
    <row r="13">
      <c r="B13" s="4" t="inlineStr">
        <is>
          <t>각 종목의 선도 BPV 기준으로 헤지액면을 잡으면 [현물 leg]가 수익률 변동을 상쇄하여,</t>
        </is>
      </c>
    </row>
    <row r="14">
      <c r="B14" s="4" t="inlineStr">
        <is>
          <t>만기손익 ≈ 순베이시스(= 시장선물가 − 이론선물가) × 1포인트가치 − 비용 으로 '락인'된다.</t>
        </is>
      </c>
    </row>
    <row r="15">
      <c r="B15" s="3" t="inlineStr">
        <is>
          <t>2. 사용 순서</t>
        </is>
      </c>
    </row>
    <row r="16">
      <c r="B16" s="4" t="inlineStr">
        <is>
          <t>① [실시간] 시트의 붉은 글씨 셀에 사용 중인 데이터 벤더의 RTD/DDE 수식을 붙여넣는다. (→ 연동가이드 시트)</t>
        </is>
      </c>
    </row>
    <row r="17">
      <c r="B17" s="4" t="inlineStr">
        <is>
          <t>② [설정] 시트에서 대상 선물(3/5/10/30년), 결제월, 조달금리, 계약수, 거래비용을 입력한다. (노란 셀)</t>
        </is>
      </c>
    </row>
    <row r="18">
      <c r="B18" s="4" t="inlineStr">
        <is>
          <t>③ [바스켓] 시트 4~10행에 해당 결제월의 최종결제기준채권 3종목(종목코드/발행일/만기일/표면금리/가중치)을 입력한다.</t>
        </is>
      </c>
    </row>
    <row r="19">
      <c r="B19" s="4" t="inlineStr">
        <is>
          <t>④ [이론가] 시트에서 베이시스·순차익을, [손익] 시트에서 만기손익을, [시나리오] 시트에서 헤지 유효성을 확인한다.</t>
        </is>
      </c>
    </row>
    <row r="20">
      <c r="B20" s="3" t="inlineStr">
        <is>
          <t>3. 셀 색상 규칙</t>
        </is>
      </c>
    </row>
    <row r="21">
      <c r="B21" s="4" t="inlineStr">
        <is>
          <t>노란 배경 + 파란 글씨 = 사용자가 직접 입력하는 값        하늘색 배경 + 붉은 글씨 = 실시간(RTD) 연결 셀</t>
        </is>
      </c>
    </row>
    <row r="22">
      <c r="B22" s="4" t="inlineStr">
        <is>
          <t>초록 글씨 = 다른 시트 참조                                연두색 배경 = 핵심 결과값</t>
        </is>
      </c>
    </row>
    <row r="23">
      <c r="B23" s="3" t="inlineStr">
        <is>
          <t>4. 계산 규약 (변경 시 [현금흐름] 시트 수식 수정 필요)</t>
        </is>
      </c>
    </row>
    <row r="24">
      <c r="B24" s="4" t="inlineStr">
        <is>
          <t>· 채권단가: 한국 관행식 = [Σ CF_k /(1+y/2)^(k-1)] / (1 + y/2 × d/T).  단수기간 단리, 이후 반기복리.</t>
        </is>
      </c>
    </row>
    <row r="25">
      <c r="B25" s="4" t="inlineStr">
        <is>
          <t xml:space="preserve">  이 식의 결과는 경과이자를 포함한 '더티(단가)' 이며, 본 파일의 모든 손익계산은 더티 기준으로 일관한다.</t>
        </is>
      </c>
    </row>
    <row r="26">
      <c r="B26" s="4" t="inlineStr">
        <is>
          <t xml:space="preserve">  (경과이자·클린가는 참고용으로만 표시하며 실제일수/365 단리로 산출한다.)</t>
        </is>
      </c>
    </row>
    <row r="27">
      <c r="B27" s="4" t="inlineStr">
        <is>
          <t>· 표준물: 잔존 정확히 n년 → 단수기간 없음 → P = (5/y)(1−v^N) + 100·v^N,  v=1/(1+y/2), N=2n.</t>
        </is>
      </c>
    </row>
    <row r="28">
      <c r="B28" s="4" t="inlineStr">
        <is>
          <t>· 선도수익률: 선도 목표단가에 대해 뉴턴법 2회 반복으로 역산 (수렴 잔차를 [바스켓] 38행에서 확인).</t>
        </is>
      </c>
    </row>
    <row r="29">
      <c r="B29" s="4" t="inlineStr">
        <is>
          <t>· 시나리오 손익의 현물 평가는 선도 BPV + 컨벡시티 2차 테일러 근사를 사용 (±100bp 범위에서 오차 극소).</t>
        </is>
      </c>
    </row>
    <row r="30">
      <c r="B30" s="3" t="inlineStr">
        <is>
          <t>5. 이 파일이 '반영하지 않는' 것 (수동 판단 필요)</t>
        </is>
      </c>
    </row>
    <row r="31">
      <c r="B31" s="4" t="inlineStr">
        <is>
          <t>· 휴일 캘린더: 최종결제일/현물결제일은 WORKDAY() 기반이라 공휴일 미반영. [설정]에서 수동 입력으로 덮어쓸 것.</t>
        </is>
      </c>
    </row>
    <row r="32">
      <c r="B32" s="4" t="inlineStr">
        <is>
          <t>· 선물 일일정산(변동증거금)의 재투자·조달 이자효과(테일 조정). 잔존기간이 길고 변동성이 크면 별도 고려.</t>
        </is>
      </c>
    </row>
    <row r="33">
      <c r="B33" s="4" t="inlineStr">
        <is>
          <t>· 최종결제기준가격은 딜러 제출 수익률의 최고·최저 제외 평균이므로, 만기일에 본인이 실제 체결하는</t>
        </is>
      </c>
    </row>
    <row r="34">
      <c r="B34" s="4" t="inlineStr">
        <is>
          <t xml:space="preserve">  현물 매도수익률과 괴리가 발생할 수 있다(가장 큰 잔존 리스크). 슬리피지 가정을 [설정] 거래비용에 반영할 것.</t>
        </is>
      </c>
    </row>
    <row r="35">
      <c r="B35" s="4" t="inlineStr">
        <is>
          <t>· 레포 롤오버 리스크, 담보 haircut, 기관 유형별 이자소득 원천징수, 회계상 평가손익 구분.</t>
        </is>
      </c>
    </row>
    <row r="36">
      <c r="B36" s="3" t="inlineStr">
        <is>
          <t>6. 출처 / 사용자 제공값</t>
        </is>
      </c>
    </row>
    <row r="37">
      <c r="B37" s="4" t="inlineStr">
        <is>
          <t>· 계약사양(거래단위·호가단위·최종거래일 규칙), 결제월별 최종결제기준채권 구성: 한국거래소(KRX) 공시 기준.</t>
        </is>
      </c>
    </row>
    <row r="38">
      <c r="B38" s="4" t="inlineStr">
        <is>
          <t xml:space="preserve">  → 사용 전 반드시 KRX 파생상품 상품명세 및 해당 결제월 바스켓 공지로 재확인할 것.</t>
        </is>
      </c>
    </row>
    <row r="39">
      <c r="B39" s="4" t="inlineStr">
        <is>
          <t>· 초기 입력값(바스켓 종목, 수익률, 선물가격, 조달금리)은 형식 예시용 더미 데이터이며 실거래 값이 아니다.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14" customWidth="1" min="3" max="3"/>
    <col width="46" customWidth="1" min="4" max="4"/>
    <col width="34" customWidth="1" min="5" max="5"/>
    <col width="4" customWidth="1" min="6" max="6"/>
  </cols>
  <sheetData>
    <row r="1" ht="22" customHeight="1">
      <c r="A1" s="1" t="inlineStr">
        <is>
          <t>실시간 데이터 연결 시트  ―  붉은 셀에 벤더 RTD/DDE 수식을 붙여넣으세요</t>
        </is>
      </c>
      <c r="B1" s="2" t="n"/>
      <c r="C1" s="2" t="n"/>
      <c r="D1" s="2" t="n"/>
      <c r="E1" s="2" t="n"/>
      <c r="F1" s="2" t="n"/>
    </row>
    <row r="2"/>
    <row r="3">
      <c r="A3" s="5" t="inlineStr">
        <is>
          <t>항목</t>
        </is>
      </c>
      <c r="B3" s="5" t="inlineStr">
        <is>
          <t>종목코드/심볼</t>
        </is>
      </c>
      <c r="C3" s="5" t="inlineStr">
        <is>
          <t>값</t>
        </is>
      </c>
      <c r="D3" s="5" t="inlineStr">
        <is>
          <t>연동 수식 예시 (연합인포맥스)</t>
        </is>
      </c>
      <c r="E3" s="5" t="inlineStr">
        <is>
          <t>비고</t>
        </is>
      </c>
    </row>
    <row r="4"/>
    <row r="5">
      <c r="A5" s="4" t="inlineStr">
        <is>
          <t>국채선물 현재가</t>
        </is>
      </c>
      <c r="B5" s="6" t="inlineStr">
        <is>
          <t>KTB10 최근월물</t>
        </is>
      </c>
      <c r="C5" s="7" t="n">
        <v>117.52</v>
      </c>
      <c r="D5" s="8" t="inlineStr">
        <is>
          <t>=IMFX("F 10YKTB","현재가")</t>
        </is>
      </c>
      <c r="E5" s="8" t="inlineStr">
        <is>
          <t>가격 100 기준</t>
        </is>
      </c>
    </row>
    <row r="6">
      <c r="A6" s="4" t="inlineStr">
        <is>
          <t>국채선물 매수1호가(Bid)</t>
        </is>
      </c>
      <c r="B6" s="6" t="inlineStr">
        <is>
          <t>KTB10 최근월물</t>
        </is>
      </c>
      <c r="C6" s="7" t="n">
        <v>117.51</v>
      </c>
      <c r="D6" s="8" t="inlineStr">
        <is>
          <t>=IMFX("F 10YKTB","매수1호가")</t>
        </is>
      </c>
      <c r="E6" s="8" t="inlineStr">
        <is>
          <t>선물 매도 시 체결가</t>
        </is>
      </c>
    </row>
    <row r="7">
      <c r="A7" s="4" t="inlineStr">
        <is>
          <t>국채선물 매도1호가(Ask)</t>
        </is>
      </c>
      <c r="B7" s="6" t="inlineStr">
        <is>
          <t>KTB10 최근월물</t>
        </is>
      </c>
      <c r="C7" s="7" t="n">
        <v>117.53</v>
      </c>
      <c r="D7" s="8" t="inlineStr">
        <is>
          <t>=IMFX("F 10YKTB","매도1호가")</t>
        </is>
      </c>
      <c r="E7" s="8" t="inlineStr">
        <is>
          <t>선물 매수 시 체결가</t>
        </is>
      </c>
    </row>
    <row r="8">
      <c r="A8" s="4" t="inlineStr">
        <is>
          <t>국채선물 미드</t>
        </is>
      </c>
      <c r="B8" s="6" t="inlineStr"/>
      <c r="C8" s="9">
        <f>AVERAGE(C6:C7)</f>
        <v/>
      </c>
      <c r="D8" s="8" t="inlineStr">
        <is>
          <t>=AVERAGE(C6:C7)</t>
        </is>
      </c>
      <c r="E8" s="8" t="inlineStr">
        <is>
          <t>자동계산</t>
        </is>
      </c>
    </row>
    <row r="9"/>
    <row r="10">
      <c r="A10" s="4" t="inlineStr">
        <is>
          <t>바스켓1 Bid수익률(딜러매수)</t>
        </is>
      </c>
      <c r="B10" s="6" t="inlineStr">
        <is>
          <t>KR103502GE97</t>
        </is>
      </c>
      <c r="C10" s="7" t="n">
        <v>2.96</v>
      </c>
      <c r="D10" s="8" t="inlineStr">
        <is>
          <t>=IMFX("KR103502GE97","매수수익률")</t>
        </is>
      </c>
      <c r="E10" s="8" t="inlineStr">
        <is>
          <t>내가 매도할 때 적용 (%)</t>
        </is>
      </c>
    </row>
    <row r="11">
      <c r="A11" s="4" t="inlineStr">
        <is>
          <t>바스켓1 Ask수익률(딜러매도)</t>
        </is>
      </c>
      <c r="B11" s="6" t="inlineStr">
        <is>
          <t>KR103502GE97</t>
        </is>
      </c>
      <c r="C11" s="7" t="n">
        <v>2.95</v>
      </c>
      <c r="D11" s="8" t="inlineStr">
        <is>
          <t>=IMFX("KR103502GE97","매도수익률")</t>
        </is>
      </c>
      <c r="E11" s="8" t="inlineStr">
        <is>
          <t>내가 매수할 때 적용 (%)</t>
        </is>
      </c>
    </row>
    <row r="12">
      <c r="A12" s="4" t="inlineStr">
        <is>
          <t>바스켓2 Bid수익률(딜러매수)</t>
        </is>
      </c>
      <c r="B12" s="6" t="inlineStr">
        <is>
          <t>KR103503GF95</t>
        </is>
      </c>
      <c r="C12" s="7" t="n">
        <v>2.97</v>
      </c>
      <c r="D12" s="8" t="inlineStr">
        <is>
          <t>=IMFX("KR103503GF95","매수수익률")</t>
        </is>
      </c>
      <c r="E12" s="8" t="inlineStr">
        <is>
          <t>(%)</t>
        </is>
      </c>
    </row>
    <row r="13">
      <c r="A13" s="4" t="inlineStr">
        <is>
          <t>바스켓2 Ask수익률(딜러매도)</t>
        </is>
      </c>
      <c r="B13" s="6" t="inlineStr">
        <is>
          <t>KR103503GF95</t>
        </is>
      </c>
      <c r="C13" s="7" t="n">
        <v>2.96</v>
      </c>
      <c r="D13" s="8" t="inlineStr">
        <is>
          <t>=IMFX("KR103503GF95","매도수익률")</t>
        </is>
      </c>
      <c r="E13" s="8" t="inlineStr">
        <is>
          <t>(%)</t>
        </is>
      </c>
    </row>
    <row r="14">
      <c r="A14" s="4" t="inlineStr">
        <is>
          <t>바스켓3 Bid수익률(딜러매수)</t>
        </is>
      </c>
      <c r="B14" s="6" t="inlineStr">
        <is>
          <t>KR103504GH93</t>
        </is>
      </c>
      <c r="C14" s="7" t="n">
        <v>2.98</v>
      </c>
      <c r="D14" s="8" t="inlineStr">
        <is>
          <t>=IMFX("KR103504GH93","매수수익률")</t>
        </is>
      </c>
      <c r="E14" s="8" t="inlineStr">
        <is>
          <t>(%)</t>
        </is>
      </c>
    </row>
    <row r="15">
      <c r="A15" s="4" t="inlineStr">
        <is>
          <t>바스켓3 Ask수익률(딜러매도)</t>
        </is>
      </c>
      <c r="B15" s="6" t="inlineStr">
        <is>
          <t>KR103504GH93</t>
        </is>
      </c>
      <c r="C15" s="7" t="n">
        <v>2.97</v>
      </c>
      <c r="D15" s="8" t="inlineStr">
        <is>
          <t>=IMFX("KR103504GH93","매도수익률")</t>
        </is>
      </c>
      <c r="E15" s="8" t="inlineStr">
        <is>
          <t>(%)</t>
        </is>
      </c>
    </row>
    <row r="16"/>
    <row r="17">
      <c r="A17" s="4" t="inlineStr">
        <is>
          <t>RP(레포) 조달금리</t>
        </is>
      </c>
      <c r="B17" s="6" t="inlineStr"/>
      <c r="C17" s="7" t="n">
        <v>2.6</v>
      </c>
      <c r="D17" s="8" t="inlineStr">
        <is>
          <t>=IMFX("RP1D","금리")</t>
        </is>
      </c>
      <c r="E17" s="8" t="inlineStr">
        <is>
          <t>[설정]에서 '실시간' 선택 시 사용 (%)</t>
        </is>
      </c>
    </row>
    <row r="18">
      <c r="A18" s="4" t="inlineStr">
        <is>
          <t>CD 91일</t>
        </is>
      </c>
      <c r="B18" s="6" t="inlineStr"/>
      <c r="C18" s="7" t="n">
        <v>2.75</v>
      </c>
      <c r="D18" s="8" t="inlineStr">
        <is>
          <t>=IMFX("CD91","금리")</t>
        </is>
      </c>
      <c r="E18" s="8" t="inlineStr">
        <is>
          <t>참고 (%)</t>
        </is>
      </c>
    </row>
    <row r="19">
      <c r="A19" s="4" t="inlineStr">
        <is>
          <t>국고 3년 지표</t>
        </is>
      </c>
      <c r="B19" s="6" t="inlineStr"/>
      <c r="C19" s="7" t="n">
        <v>2.7</v>
      </c>
      <c r="D19" s="8" t="inlineStr">
        <is>
          <t>=IMFX("KTB3Y","수익률")</t>
        </is>
      </c>
      <c r="E19" s="8" t="inlineStr">
        <is>
          <t>참고 (%)</t>
        </is>
      </c>
    </row>
    <row r="20"/>
    <row r="21">
      <c r="A21" s="4" t="inlineStr">
        <is>
          <t>갱신시각</t>
        </is>
      </c>
      <c r="C21" s="10">
        <f>NOW()</f>
        <v/>
      </c>
    </row>
    <row r="22"/>
    <row r="23">
      <c r="A23" s="8" t="inlineStr">
        <is>
          <t>※ 현재 들어있는 숫자는 형식 확인용 더미값입니다. 실거래 전 반드시 벤더 수식으로 교체하세요. 수식 예시는 [연동가이드] 시트 참조.</t>
        </is>
      </c>
    </row>
    <row r="24">
      <c r="A24" s="8" t="inlineStr">
        <is>
          <t>※ 채권 수익률은 '딜러 매수호가(Bid)=높은 수익률/낮은 가격', '딜러 매도호가(Ask)=낮은 수익률/높은 가격' 입니다. 내가 바스켓을 매수하면 Ask수익률이 체결 기준입니다.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52" customWidth="1" min="4" max="4"/>
    <col width="10" customWidth="1" min="5" max="5"/>
    <col width="10" customWidth="1" min="6" max="6"/>
  </cols>
  <sheetData>
    <row r="1" ht="22" customHeight="1">
      <c r="A1" s="1" t="inlineStr">
        <is>
          <t>설정  ―  노란 셀만 입력하십시오</t>
        </is>
      </c>
      <c r="B1" s="2" t="n"/>
      <c r="C1" s="2" t="n"/>
      <c r="D1" s="2" t="n"/>
      <c r="E1" s="2" t="n"/>
      <c r="F1" s="2" t="n"/>
    </row>
    <row r="2"/>
    <row r="3">
      <c r="A3" s="11" t="inlineStr">
        <is>
          <t>[1] 선물 계약 사양</t>
        </is>
      </c>
      <c r="B3" s="12" t="n"/>
      <c r="C3" s="12" t="n"/>
      <c r="D3" s="12" t="n"/>
      <c r="E3" s="12" t="n"/>
      <c r="F3" s="13" t="inlineStr">
        <is>
          <t>▼ 매핑표(수정금지)</t>
        </is>
      </c>
    </row>
    <row r="4">
      <c r="A4" s="4" t="inlineStr">
        <is>
          <t>대상 선물</t>
        </is>
      </c>
      <c r="B4" s="14" t="inlineStr">
        <is>
          <t>10년</t>
        </is>
      </c>
      <c r="D4" s="8" t="inlineStr">
        <is>
          <t>3년 / 5년 / 10년 / 30년</t>
        </is>
      </c>
      <c r="F4" s="8" t="inlineStr">
        <is>
          <t>3년</t>
        </is>
      </c>
      <c r="G4" s="8" t="n">
        <v>3</v>
      </c>
    </row>
    <row r="5">
      <c r="A5" s="4" t="inlineStr">
        <is>
          <t>표준물 만기</t>
        </is>
      </c>
      <c r="B5" s="15">
        <f>IFERROR(VLOOKUP($B$4,$F$4:$G$7,2,FALSE),10)</f>
        <v/>
      </c>
      <c r="C5" s="8" t="inlineStr">
        <is>
          <t>년</t>
        </is>
      </c>
      <c r="F5" s="8" t="inlineStr">
        <is>
          <t>5년</t>
        </is>
      </c>
      <c r="G5" s="8" t="n">
        <v>5</v>
      </c>
    </row>
    <row r="6">
      <c r="A6" s="4" t="inlineStr">
        <is>
          <t>표준물 표면금리</t>
        </is>
      </c>
      <c r="B6" s="16" t="n">
        <v>0.05</v>
      </c>
      <c r="D6" s="8" t="inlineStr">
        <is>
          <t>KRX 표준물 규격: 연 5%</t>
        </is>
      </c>
      <c r="F6" s="8" t="inlineStr">
        <is>
          <t>10년</t>
        </is>
      </c>
      <c r="G6" s="8" t="n">
        <v>10</v>
      </c>
    </row>
    <row r="7">
      <c r="A7" s="4" t="inlineStr">
        <is>
          <t>이표주기</t>
        </is>
      </c>
      <c r="B7" s="17" t="n">
        <v>2</v>
      </c>
      <c r="C7" s="8" t="inlineStr">
        <is>
          <t>회/년</t>
        </is>
      </c>
      <c r="D7" s="8" t="inlineStr">
        <is>
          <t>6개월 이표</t>
        </is>
      </c>
      <c r="F7" s="8" t="inlineStr">
        <is>
          <t>30년</t>
        </is>
      </c>
      <c r="G7" s="8" t="n">
        <v>30</v>
      </c>
    </row>
    <row r="8">
      <c r="A8" s="4" t="inlineStr">
        <is>
          <t>거래단위(액면)</t>
        </is>
      </c>
      <c r="B8" s="17" t="n">
        <v>100000000</v>
      </c>
      <c r="C8" s="8" t="inlineStr">
        <is>
          <t>원</t>
        </is>
      </c>
      <c r="D8" s="8" t="inlineStr">
        <is>
          <t>KRX 명세 확인 필수</t>
        </is>
      </c>
    </row>
    <row r="9">
      <c r="A9" s="4" t="inlineStr">
        <is>
          <t>가격 1.00포인트 가치</t>
        </is>
      </c>
      <c r="B9" s="15">
        <f>B8/100</f>
        <v/>
      </c>
      <c r="C9" s="8" t="inlineStr">
        <is>
          <t>원</t>
        </is>
      </c>
    </row>
    <row r="10">
      <c r="A10" s="4" t="inlineStr">
        <is>
          <t>호가단위(틱)</t>
        </is>
      </c>
      <c r="B10" s="18" t="n">
        <v>0.01</v>
      </c>
    </row>
    <row r="11">
      <c r="A11" s="4" t="inlineStr">
        <is>
          <t>1틱 가치</t>
        </is>
      </c>
      <c r="B11" s="15">
        <f>B10*B9</f>
        <v/>
      </c>
      <c r="C11" s="8" t="inlineStr">
        <is>
          <t>원</t>
        </is>
      </c>
    </row>
    <row r="12"/>
    <row r="13">
      <c r="A13" s="11" t="inlineStr">
        <is>
          <t>[2] 결제 일정</t>
        </is>
      </c>
      <c r="B13" s="12" t="n"/>
      <c r="C13" s="12" t="n"/>
      <c r="D13" s="12" t="n"/>
      <c r="E13" s="12" t="n"/>
      <c r="F13" s="12" t="n"/>
    </row>
    <row r="14">
      <c r="A14" s="4" t="inlineStr">
        <is>
          <t>결제 연도</t>
        </is>
      </c>
      <c r="B14" s="17" t="n">
        <v>2026</v>
      </c>
    </row>
    <row r="15">
      <c r="A15" s="4" t="inlineStr">
        <is>
          <t>결제 월</t>
        </is>
      </c>
      <c r="B15" s="17" t="n">
        <v>9</v>
      </c>
      <c r="D15" s="8" t="inlineStr">
        <is>
          <t>3 / 6 / 9 / 12</t>
        </is>
      </c>
    </row>
    <row r="16">
      <c r="A16" s="4" t="inlineStr">
        <is>
          <t>최종거래일(자동: 세번째 화요일)</t>
        </is>
      </c>
      <c r="B16" s="19">
        <f>DATE(B14,B15,1)+MOD(2-WEEKDAY(DATE(B14,B15,1),2)+7,7)+14</f>
        <v/>
      </c>
    </row>
    <row r="17">
      <c r="A17" s="4" t="inlineStr">
        <is>
          <t>최종거래일(수동 override)</t>
        </is>
      </c>
      <c r="B17" s="20" t="n"/>
      <c r="D17" s="8" t="inlineStr">
        <is>
          <t>공휴일 등으로 조정 시 입력</t>
        </is>
      </c>
    </row>
    <row r="18">
      <c r="A18" s="4" t="inlineStr">
        <is>
          <t>▶ 적용 최종거래일</t>
        </is>
      </c>
      <c r="B18" s="21">
        <f>IF(B17="",B16,B17)</f>
        <v/>
      </c>
    </row>
    <row r="19">
      <c r="A19" s="4" t="inlineStr">
        <is>
          <t>최종결제일(자동: 익영업일)</t>
        </is>
      </c>
      <c r="B19" s="19">
        <f>WORKDAY(B18,1)</f>
        <v/>
      </c>
    </row>
    <row r="20">
      <c r="A20" s="4" t="inlineStr">
        <is>
          <t>최종결제일(수동 override)</t>
        </is>
      </c>
      <c r="B20" s="20" t="n"/>
    </row>
    <row r="21">
      <c r="A21" s="4" t="inlineStr">
        <is>
          <t>▶ 적용 최종결제일 (H)</t>
        </is>
      </c>
      <c r="B21" s="21">
        <f>IF(B20="",B19,B20)</f>
        <v/>
      </c>
      <c r="D21" s="8" t="inlineStr">
        <is>
          <t>현물 청산 결제일 = 손익 확정 시점</t>
        </is>
      </c>
    </row>
    <row r="22"/>
    <row r="23">
      <c r="A23" s="11" t="inlineStr">
        <is>
          <t>[3] 평가일 / 금리</t>
        </is>
      </c>
      <c r="B23" s="12" t="n"/>
      <c r="C23" s="12" t="n"/>
      <c r="D23" s="12" t="n"/>
      <c r="E23" s="12" t="n"/>
      <c r="F23" s="12" t="n"/>
    </row>
    <row r="24">
      <c r="A24" s="4" t="inlineStr">
        <is>
          <t>평가일(오늘)</t>
        </is>
      </c>
      <c r="B24" s="19">
        <f>TODAY()</f>
        <v/>
      </c>
    </row>
    <row r="25">
      <c r="A25" s="4" t="inlineStr">
        <is>
          <t>현물 결제일(자동: T+1)</t>
        </is>
      </c>
      <c r="B25" s="19">
        <f>WORKDAY(B24,1)</f>
        <v/>
      </c>
      <c r="D25" s="8" t="inlineStr">
        <is>
          <t>국고채 장외 익일결제 관행</t>
        </is>
      </c>
    </row>
    <row r="26">
      <c r="A26" s="4" t="inlineStr">
        <is>
          <t>현물 결제일(수동 override)</t>
        </is>
      </c>
      <c r="B26" s="20" t="n"/>
    </row>
    <row r="27">
      <c r="A27" s="4" t="inlineStr">
        <is>
          <t>▶ 적용 현물결제일 (S0)</t>
        </is>
      </c>
      <c r="B27" s="21">
        <f>IF(B26="",B25,B26)</f>
        <v/>
      </c>
    </row>
    <row r="28">
      <c r="A28" s="4" t="inlineStr">
        <is>
          <t>보유일수 (S0 → H)</t>
        </is>
      </c>
      <c r="B28" s="22">
        <f>B21-B27</f>
        <v/>
      </c>
      <c r="C28" s="8" t="inlineStr">
        <is>
          <t>일</t>
        </is>
      </c>
    </row>
    <row r="29">
      <c r="A29" s="4" t="inlineStr">
        <is>
          <t>조달금리 소스</t>
        </is>
      </c>
      <c r="B29" s="14" t="inlineStr">
        <is>
          <t>수동</t>
        </is>
      </c>
      <c r="D29" s="8" t="inlineStr">
        <is>
          <t>수동 / 실시간</t>
        </is>
      </c>
    </row>
    <row r="30">
      <c r="A30" s="4" t="inlineStr">
        <is>
          <t>조달금리(수동)</t>
        </is>
      </c>
      <c r="B30" s="23" t="n">
        <v>2.6</v>
      </c>
      <c r="C30" s="8" t="inlineStr">
        <is>
          <t>%</t>
        </is>
      </c>
      <c r="D30" s="8" t="inlineStr">
        <is>
          <t>레포(RP) 실효 조달금리</t>
        </is>
      </c>
    </row>
    <row r="31">
      <c r="A31" s="4" t="inlineStr">
        <is>
          <t>▶ 적용 조달금리</t>
        </is>
      </c>
      <c r="B31" s="24">
        <f>IF(B29="실시간",실시간!C17,B30)</f>
        <v/>
      </c>
      <c r="C31" s="8" t="inlineStr">
        <is>
          <t>%</t>
        </is>
      </c>
    </row>
    <row r="32">
      <c r="A32" s="4" t="inlineStr">
        <is>
          <t>적용 조달금리(소수)</t>
        </is>
      </c>
      <c r="B32" s="25">
        <f>B31/100</f>
        <v/>
      </c>
    </row>
    <row r="33">
      <c r="A33" s="4" t="inlineStr">
        <is>
          <t>쿠폰 재투자금리</t>
        </is>
      </c>
      <c r="B33" s="9">
        <f>B31</f>
        <v/>
      </c>
      <c r="C33" s="8" t="inlineStr">
        <is>
          <t>%</t>
        </is>
      </c>
      <c r="D33" s="8" t="inlineStr">
        <is>
          <t>기본: 조달금리와 동일</t>
        </is>
      </c>
    </row>
    <row r="34">
      <c r="A34" s="4" t="inlineStr">
        <is>
          <t>적용 재투자금리(소수)</t>
        </is>
      </c>
      <c r="B34" s="25">
        <f>B33/100</f>
        <v/>
      </c>
    </row>
    <row r="35">
      <c r="A35" s="4" t="inlineStr">
        <is>
          <t>이자 일수기준</t>
        </is>
      </c>
      <c r="B35" s="17" t="n">
        <v>365</v>
      </c>
      <c r="C35" s="8" t="inlineStr">
        <is>
          <t>일</t>
        </is>
      </c>
      <c r="D35" s="8" t="inlineStr">
        <is>
          <t>actual/365 단리</t>
        </is>
      </c>
    </row>
    <row r="36"/>
    <row r="37">
      <c r="A37" s="11" t="inlineStr">
        <is>
          <t>[4] 포지션 / 헤지</t>
        </is>
      </c>
      <c r="B37" s="12" t="n"/>
      <c r="C37" s="12" t="n"/>
      <c r="D37" s="12" t="n"/>
      <c r="E37" s="12" t="n"/>
      <c r="F37" s="12" t="n"/>
    </row>
    <row r="38">
      <c r="A38" s="4" t="inlineStr">
        <is>
          <t>포지션 방향</t>
        </is>
      </c>
      <c r="B38" s="14" t="inlineStr">
        <is>
          <t>선물매도+현물매수</t>
        </is>
      </c>
      <c r="D38" s="8" t="inlineStr">
        <is>
          <t>선물매도+현물매수 / 선물매수+현물매도</t>
        </is>
      </c>
    </row>
    <row r="39">
      <c r="A39" s="4" t="inlineStr">
        <is>
          <t>방향계수</t>
        </is>
      </c>
      <c r="B39" s="15">
        <f>IF(B38="선물매도+현물매수",1,-1)</f>
        <v/>
      </c>
    </row>
    <row r="40">
      <c r="A40" s="4" t="inlineStr">
        <is>
          <t>계약수 (Q)</t>
        </is>
      </c>
      <c r="B40" s="17" t="n">
        <v>10</v>
      </c>
      <c r="C40" s="8" t="inlineStr">
        <is>
          <t>계약</t>
        </is>
      </c>
    </row>
    <row r="41">
      <c r="A41" s="4" t="inlineStr">
        <is>
          <t>선물 진입가격</t>
        </is>
      </c>
      <c r="B41" s="18" t="n"/>
      <c r="D41" s="8" t="inlineStr">
        <is>
          <t>미입력 시 현재가 사용</t>
        </is>
      </c>
    </row>
    <row r="42">
      <c r="A42" s="4" t="inlineStr">
        <is>
          <t>▶ 적용 선물 진입가</t>
        </is>
      </c>
      <c r="B42" s="26">
        <f>IF(B41="",실시간!C5,B41)</f>
        <v/>
      </c>
    </row>
    <row r="43">
      <c r="A43" s="4" t="inlineStr">
        <is>
          <t>진입일</t>
        </is>
      </c>
      <c r="B43" s="20" t="n"/>
      <c r="D43" s="8" t="inlineStr">
        <is>
          <t>미입력 시 오늘</t>
        </is>
      </c>
    </row>
    <row r="44">
      <c r="A44" s="4" t="inlineStr">
        <is>
          <t>▶ 적용 진입일</t>
        </is>
      </c>
      <c r="B44" s="21">
        <f>IF(B43="",B24,B43)</f>
        <v/>
      </c>
    </row>
    <row r="45">
      <c r="A45" s="4" t="inlineStr">
        <is>
          <t>헤지액면 자동사용</t>
        </is>
      </c>
      <c r="B45" s="14" t="inlineStr">
        <is>
          <t>예</t>
        </is>
      </c>
      <c r="D45" s="8" t="inlineStr">
        <is>
          <t>예 = 선도BPV 기준 이론액면 / 아니오 = 실제 보유액면</t>
        </is>
      </c>
    </row>
    <row r="46">
      <c r="A46" s="4" t="inlineStr">
        <is>
          <t>수익률 적용 기준</t>
        </is>
      </c>
      <c r="B46" s="14" t="inlineStr">
        <is>
          <t>호가</t>
        </is>
      </c>
      <c r="D46" s="8" t="inlineStr">
        <is>
          <t>호가 = 체결가능측 / 미드 = 중간값</t>
        </is>
      </c>
    </row>
    <row r="47"/>
    <row r="48">
      <c r="A48" s="11" t="inlineStr">
        <is>
          <t>[5] 거래비용 (계약당)</t>
        </is>
      </c>
      <c r="B48" s="12" t="n"/>
      <c r="C48" s="12" t="n"/>
      <c r="D48" s="12" t="n"/>
      <c r="E48" s="12" t="n"/>
      <c r="F48" s="12" t="n"/>
    </row>
    <row r="49">
      <c r="A49" s="4" t="inlineStr">
        <is>
          <t>선물 왕복 수수료</t>
        </is>
      </c>
      <c r="B49" s="17" t="n">
        <v>3000</v>
      </c>
      <c r="C49" s="8" t="inlineStr">
        <is>
          <t>원/계약</t>
        </is>
      </c>
      <c r="D49" s="8" t="inlineStr">
        <is>
          <t>증권사 위탁+거래소 수수료</t>
        </is>
      </c>
    </row>
    <row r="50">
      <c r="A50" s="4" t="inlineStr">
        <is>
          <t>채권 매매비용(왕복)</t>
        </is>
      </c>
      <c r="B50" s="18" t="n">
        <v>1</v>
      </c>
      <c r="C50" s="8" t="inlineStr">
        <is>
          <t>bp</t>
        </is>
      </c>
      <c r="D50" s="8" t="inlineStr">
        <is>
          <t>장외 스프레드·슬리피지 가정. 호가수익률 사용 시 중복 주의</t>
        </is>
      </c>
    </row>
    <row r="51">
      <c r="A51" s="4" t="inlineStr">
        <is>
          <t>채권 매매비용</t>
        </is>
      </c>
      <c r="B51" s="15">
        <f>B50*0.0001*B8</f>
        <v/>
      </c>
      <c r="C51" s="8" t="inlineStr">
        <is>
          <t>원/계약</t>
        </is>
      </c>
    </row>
    <row r="52">
      <c r="A52" s="4" t="inlineStr">
        <is>
          <t>기타 비용(결제·최종결제 슬리피지 등)</t>
        </is>
      </c>
      <c r="B52" s="17" t="n">
        <v>0</v>
      </c>
      <c r="C52" s="8" t="inlineStr">
        <is>
          <t>원/계약</t>
        </is>
      </c>
    </row>
    <row r="53">
      <c r="A53" s="4" t="inlineStr">
        <is>
          <t>▶ 총 거래비용</t>
        </is>
      </c>
      <c r="B53" s="22">
        <f>B49+B51+B52</f>
        <v/>
      </c>
      <c r="C53" s="8" t="inlineStr">
        <is>
          <t>원/계약</t>
        </is>
      </c>
    </row>
    <row r="54"/>
    <row r="55">
      <c r="A55" s="8" t="inlineStr">
        <is>
          <t>※ B8(거래단위), B10(호가단위), B16(최종거래일 규칙)은 KRX 파생상품 상품명세를 기준으로 한 값입니다. 특히 30년물은 명세를 반드시 재확인하십시오.</t>
        </is>
      </c>
    </row>
    <row r="56">
      <c r="A56" s="8" t="inlineStr">
        <is>
          <t>※ B50(채권 매매비용)과 [실시간]의 Bid/Ask 호가를 동시에 쓰면 스프레드가 이중 계상됩니다. B46='호가'면 B50=0 권장.</t>
        </is>
      </c>
    </row>
  </sheetData>
  <dataValidations count="5">
    <dataValidation sqref="B4" showDropDown="0" showInputMessage="0" showErrorMessage="0" allowBlank="1" type="list">
      <formula1>"3년,5년,10년,30년"</formula1>
    </dataValidation>
    <dataValidation sqref="B29" showDropDown="0" showInputMessage="0" showErrorMessage="0" allowBlank="1" type="list">
      <formula1>"수동,실시간"</formula1>
    </dataValidation>
    <dataValidation sqref="B38" showDropDown="0" showInputMessage="0" showErrorMessage="0" allowBlank="1" type="list">
      <formula1>"선물매도+현물매수,선물매수+현물매도"</formula1>
    </dataValidation>
    <dataValidation sqref="B45" showDropDown="0" showInputMessage="0" showErrorMessage="0" allowBlank="1" type="list">
      <formula1>"예,아니오"</formula1>
    </dataValidation>
    <dataValidation sqref="B46" showDropDown="0" showInputMessage="0" showErrorMessage="0" allowBlank="1" type="list">
      <formula1>"호가,미드"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4" customWidth="1" min="2" max="2"/>
    <col width="20" customWidth="1" min="3" max="3"/>
    <col width="20" customWidth="1" min="4" max="4"/>
    <col width="20" customWidth="1" min="5" max="5"/>
    <col width="22" customWidth="1" min="6" max="6"/>
    <col width="44" customWidth="1" min="7" max="7"/>
  </cols>
  <sheetData>
    <row r="1" ht="22" customHeight="1">
      <c r="A1" s="1" t="inlineStr">
        <is>
          <t>바스켓 채권 (최종결제기준채권)  ―  노란 셀 입력</t>
        </is>
      </c>
      <c r="B1" s="2" t="n"/>
      <c r="C1" s="2" t="n"/>
      <c r="D1" s="2" t="n"/>
      <c r="E1" s="2" t="n"/>
      <c r="F1" s="2" t="n"/>
      <c r="G1" s="2" t="n"/>
    </row>
    <row r="2"/>
    <row r="3">
      <c r="A3" s="5" t="inlineStr">
        <is>
          <t>항목</t>
        </is>
      </c>
      <c r="B3" s="5" t="inlineStr">
        <is>
          <t>단위</t>
        </is>
      </c>
      <c r="C3" s="5" t="inlineStr">
        <is>
          <t>종목1</t>
        </is>
      </c>
      <c r="D3" s="5" t="inlineStr">
        <is>
          <t>종목2</t>
        </is>
      </c>
      <c r="E3" s="5" t="inlineStr">
        <is>
          <t>종목3</t>
        </is>
      </c>
      <c r="F3" s="5" t="inlineStr">
        <is>
          <t>합계/검증</t>
        </is>
      </c>
      <c r="G3" s="5" t="inlineStr">
        <is>
          <t>비고</t>
        </is>
      </c>
    </row>
    <row r="4">
      <c r="A4" s="4" t="inlineStr">
        <is>
          <t>종목코드</t>
        </is>
      </c>
      <c r="B4" s="8" t="inlineStr"/>
      <c r="C4" s="14" t="inlineStr">
        <is>
          <t>KR103502GE97</t>
        </is>
      </c>
      <c r="D4" s="14" t="inlineStr">
        <is>
          <t>KR103503GF95</t>
        </is>
      </c>
      <c r="E4" s="14" t="inlineStr">
        <is>
          <t>KR103504GH93</t>
        </is>
      </c>
    </row>
    <row r="5">
      <c r="A5" s="4" t="inlineStr">
        <is>
          <t>종목명</t>
        </is>
      </c>
      <c r="B5" s="8" t="inlineStr"/>
      <c r="C5" s="14" t="inlineStr">
        <is>
          <t>국고03000-3506(25-3)</t>
        </is>
      </c>
      <c r="D5" s="14" t="inlineStr">
        <is>
          <t>국고02875-3509(25-6)</t>
        </is>
      </c>
      <c r="E5" s="14" t="inlineStr">
        <is>
          <t>국고03125-3512(25-9)</t>
        </is>
      </c>
    </row>
    <row r="6">
      <c r="A6" s="4" t="inlineStr">
        <is>
          <t>발행일</t>
        </is>
      </c>
      <c r="B6" s="8" t="inlineStr"/>
      <c r="C6" s="20" t="n">
        <v>45818</v>
      </c>
      <c r="D6" s="20" t="n">
        <v>45910</v>
      </c>
      <c r="E6" s="20" t="n">
        <v>46001</v>
      </c>
      <c r="G6" s="8" t="inlineStr">
        <is>
          <t>이표일 생성 기준</t>
        </is>
      </c>
    </row>
    <row r="7">
      <c r="A7" s="4" t="inlineStr">
        <is>
          <t>만기일</t>
        </is>
      </c>
      <c r="B7" s="8" t="inlineStr"/>
      <c r="C7" s="20" t="n">
        <v>49470</v>
      </c>
      <c r="D7" s="20" t="n">
        <v>49562</v>
      </c>
      <c r="E7" s="20" t="n">
        <v>49653</v>
      </c>
      <c r="G7" s="8" t="inlineStr">
        <is>
          <t>이표일을 만기에서 6개월씩 역산</t>
        </is>
      </c>
    </row>
    <row r="8">
      <c r="A8" s="4" t="inlineStr">
        <is>
          <t>표면금리</t>
        </is>
      </c>
      <c r="B8" s="8" t="inlineStr">
        <is>
          <t>%</t>
        </is>
      </c>
      <c r="C8" s="23" t="n">
        <v>3</v>
      </c>
      <c r="D8" s="23" t="n">
        <v>2.875</v>
      </c>
      <c r="E8" s="23" t="n">
        <v>3.125</v>
      </c>
    </row>
    <row r="9">
      <c r="A9" s="4" t="inlineStr">
        <is>
          <t>이표주기</t>
        </is>
      </c>
      <c r="B9" s="8" t="inlineStr">
        <is>
          <t>회/년</t>
        </is>
      </c>
      <c r="C9" s="17" t="n">
        <v>2</v>
      </c>
      <c r="D9" s="17" t="n">
        <v>2</v>
      </c>
      <c r="E9" s="17" t="n">
        <v>2</v>
      </c>
    </row>
    <row r="10">
      <c r="A10" s="4" t="inlineStr">
        <is>
          <t>가중치 w</t>
        </is>
      </c>
      <c r="B10" s="8" t="inlineStr"/>
      <c r="C10" s="23">
        <f>1/3</f>
        <v/>
      </c>
      <c r="D10" s="23">
        <f>1/3</f>
        <v/>
      </c>
      <c r="E10" s="23">
        <f>1/3</f>
        <v/>
      </c>
      <c r="F10" s="27">
        <f>SUM(C10:E10)</f>
        <v/>
      </c>
      <c r="G10" s="8" t="inlineStr">
        <is>
          <t>KRX 최종결제기준가격은 종목별 수익률의 단순평균 → 기본 1/3. 미사용 종목은 0</t>
        </is>
      </c>
    </row>
    <row r="11"/>
    <row r="12">
      <c r="A12" s="11" t="inlineStr">
        <is>
          <t>[실시간 수익률]</t>
        </is>
      </c>
      <c r="B12" s="12" t="n"/>
      <c r="C12" s="12" t="n"/>
      <c r="D12" s="12" t="n"/>
      <c r="E12" s="12" t="n"/>
      <c r="F12" s="12" t="n"/>
      <c r="G12" s="12" t="n"/>
    </row>
    <row r="13">
      <c r="A13" s="4" t="inlineStr">
        <is>
          <t>Bid 수익률 (딜러 매수호가)</t>
        </is>
      </c>
      <c r="B13" s="8" t="inlineStr">
        <is>
          <t>%</t>
        </is>
      </c>
      <c r="C13" s="28">
        <f>실시간!C10</f>
        <v/>
      </c>
      <c r="D13" s="28">
        <f>실시간!C12</f>
        <v/>
      </c>
      <c r="E13" s="28">
        <f>실시간!C14</f>
        <v/>
      </c>
    </row>
    <row r="14">
      <c r="A14" s="4" t="inlineStr">
        <is>
          <t>Ask 수익률 (딜러 매도호가)</t>
        </is>
      </c>
      <c r="B14" s="8" t="inlineStr">
        <is>
          <t>%</t>
        </is>
      </c>
      <c r="C14" s="28">
        <f>실시간!C11</f>
        <v/>
      </c>
      <c r="D14" s="28">
        <f>실시간!C13</f>
        <v/>
      </c>
      <c r="E14" s="28">
        <f>실시간!C15</f>
        <v/>
      </c>
    </row>
    <row r="15">
      <c r="A15" s="4" t="inlineStr">
        <is>
          <t>Mid 수익률</t>
        </is>
      </c>
      <c r="B15" s="8" t="inlineStr">
        <is>
          <t>%</t>
        </is>
      </c>
      <c r="C15" s="9">
        <f>AVERAGE(C13:C14)</f>
        <v/>
      </c>
      <c r="D15" s="9">
        <f>AVERAGE(D13:D14)</f>
        <v/>
      </c>
      <c r="E15" s="9">
        <f>AVERAGE(E13:E14)</f>
        <v/>
      </c>
    </row>
    <row r="16">
      <c r="A16" s="4" t="inlineStr">
        <is>
          <t>▶ 적용 수익률</t>
        </is>
      </c>
      <c r="B16" s="8" t="inlineStr">
        <is>
          <t>%</t>
        </is>
      </c>
      <c r="C16" s="24">
        <f>IF(설정!$B$46="미드",C15,IF(설정!$B$39=1,C14,C13))</f>
        <v/>
      </c>
      <c r="D16" s="24">
        <f>IF(설정!$B$46="미드",D15,IF(설정!$B$39=1,D14,D13))</f>
        <v/>
      </c>
      <c r="E16" s="24">
        <f>IF(설정!$B$46="미드",E15,IF(설정!$B$39=1,E14,E13))</f>
        <v/>
      </c>
      <c r="G16" s="8" t="inlineStr">
        <is>
          <t>현물 매수(방향=1)면 Ask, 매도면 Bid 적용</t>
        </is>
      </c>
    </row>
    <row r="17">
      <c r="A17" s="4" t="inlineStr">
        <is>
          <t>적용 수익률(소수)</t>
        </is>
      </c>
      <c r="B17" s="8" t="inlineStr"/>
      <c r="C17" s="25">
        <f>C16/100</f>
        <v/>
      </c>
      <c r="D17" s="25">
        <f>D16/100</f>
        <v/>
      </c>
      <c r="E17" s="25">
        <f>E16/100</f>
        <v/>
      </c>
    </row>
    <row r="18"/>
    <row r="19">
      <c r="A19" s="11" t="inlineStr">
        <is>
          <t>[현물 평가 — 결제일 S0]</t>
        </is>
      </c>
      <c r="B19" s="12" t="n"/>
      <c r="C19" s="12" t="n"/>
      <c r="D19" s="12" t="n"/>
      <c r="E19" s="12" t="n"/>
      <c r="F19" s="12" t="n"/>
      <c r="G19" s="12" t="n"/>
    </row>
    <row r="20">
      <c r="A20" s="4" t="inlineStr">
        <is>
          <t>잔존 이표 횟수</t>
        </is>
      </c>
      <c r="B20" s="8" t="inlineStr">
        <is>
          <t>회</t>
        </is>
      </c>
      <c r="C20" s="15">
        <f>현금흐름!$B$79</f>
        <v/>
      </c>
      <c r="D20" s="15">
        <f>현금흐름!$V$79</f>
        <v/>
      </c>
      <c r="E20" s="15">
        <f>현금흐름!$AP$79</f>
        <v/>
      </c>
    </row>
    <row r="21">
      <c r="A21" s="4" t="inlineStr">
        <is>
          <t>다음 이표일</t>
        </is>
      </c>
      <c r="B21" s="8" t="inlineStr"/>
      <c r="C21" s="19">
        <f>현금흐름!$B$80</f>
        <v/>
      </c>
      <c r="D21" s="19">
        <f>현금흐름!$V$80</f>
        <v/>
      </c>
      <c r="E21" s="19">
        <f>현금흐름!$AP$80</f>
        <v/>
      </c>
    </row>
    <row r="22">
      <c r="A22" s="4" t="inlineStr">
        <is>
          <t>직전 이표일</t>
        </is>
      </c>
      <c r="B22" s="8" t="inlineStr"/>
      <c r="C22" s="19">
        <f>현금흐름!$B$81</f>
        <v/>
      </c>
      <c r="D22" s="19">
        <f>현금흐름!$V$81</f>
        <v/>
      </c>
      <c r="E22" s="19">
        <f>현금흐름!$AP$81</f>
        <v/>
      </c>
    </row>
    <row r="23">
      <c r="A23" s="4" t="inlineStr">
        <is>
          <t>d (결제일→다음이표일)</t>
        </is>
      </c>
      <c r="B23" s="8" t="inlineStr">
        <is>
          <t>일</t>
        </is>
      </c>
      <c r="C23" s="15">
        <f>현금흐름!$B$82</f>
        <v/>
      </c>
      <c r="D23" s="15">
        <f>현금흐름!$V$82</f>
        <v/>
      </c>
      <c r="E23" s="15">
        <f>현금흐름!$AP$82</f>
        <v/>
      </c>
    </row>
    <row r="24">
      <c r="A24" s="4" t="inlineStr">
        <is>
          <t>T (이표기간 일수)</t>
        </is>
      </c>
      <c r="B24" s="8" t="inlineStr">
        <is>
          <t>일</t>
        </is>
      </c>
      <c r="C24" s="15">
        <f>현금흐름!$B$83</f>
        <v/>
      </c>
      <c r="D24" s="15">
        <f>현금흐름!$V$83</f>
        <v/>
      </c>
      <c r="E24" s="15">
        <f>현금흐름!$AP$83</f>
        <v/>
      </c>
    </row>
    <row r="25">
      <c r="A25" s="4" t="inlineStr">
        <is>
          <t>▶ 단가 (더티, 100 기준)</t>
        </is>
      </c>
      <c r="B25" s="8" t="inlineStr"/>
      <c r="C25" s="24">
        <f>현금흐름!$B$85</f>
        <v/>
      </c>
      <c r="D25" s="24">
        <f>현금흐름!$V$85</f>
        <v/>
      </c>
      <c r="E25" s="24">
        <f>현금흐름!$AP$85</f>
        <v/>
      </c>
    </row>
    <row r="26">
      <c r="A26" s="4" t="inlineStr">
        <is>
          <t>경과이자 (참고)</t>
        </is>
      </c>
      <c r="B26" s="8" t="inlineStr"/>
      <c r="C26" s="9">
        <f>현금흐름!$B$91</f>
        <v/>
      </c>
      <c r="D26" s="9">
        <f>현금흐름!$V$91</f>
        <v/>
      </c>
      <c r="E26" s="9">
        <f>현금흐름!$AP$91</f>
        <v/>
      </c>
    </row>
    <row r="27">
      <c r="A27" s="4" t="inlineStr">
        <is>
          <t>클린가 (참고)</t>
        </is>
      </c>
      <c r="B27" s="8" t="inlineStr"/>
      <c r="C27" s="9">
        <f>현금흐름!$B$92</f>
        <v/>
      </c>
      <c r="D27" s="9">
        <f>현금흐름!$V$92</f>
        <v/>
      </c>
      <c r="E27" s="9">
        <f>현금흐름!$AP$92</f>
        <v/>
      </c>
    </row>
    <row r="28">
      <c r="A28" s="4" t="inlineStr">
        <is>
          <t>현물 BPV</t>
        </is>
      </c>
      <c r="B28" s="8" t="inlineStr">
        <is>
          <t>포인트/1bp</t>
        </is>
      </c>
      <c r="C28" s="25">
        <f>현금흐름!$B$88</f>
        <v/>
      </c>
      <c r="D28" s="25">
        <f>현금흐름!$V$88</f>
        <v/>
      </c>
      <c r="E28" s="25">
        <f>현금흐름!$AP$88</f>
        <v/>
      </c>
    </row>
    <row r="29">
      <c r="A29" s="4" t="inlineStr">
        <is>
          <t>현물 BPV (액면 1억 기준)</t>
        </is>
      </c>
      <c r="B29" s="8" t="inlineStr">
        <is>
          <t>원/1bp</t>
        </is>
      </c>
      <c r="C29" s="29">
        <f>C28*설정!$B$9</f>
        <v/>
      </c>
      <c r="D29" s="29">
        <f>D28*설정!$B$9</f>
        <v/>
      </c>
      <c r="E29" s="29">
        <f>E28*설정!$B$9</f>
        <v/>
      </c>
    </row>
    <row r="30">
      <c r="A30" s="4" t="inlineStr">
        <is>
          <t>수정듀레이션</t>
        </is>
      </c>
      <c r="B30" s="8" t="inlineStr">
        <is>
          <t>년</t>
        </is>
      </c>
      <c r="C30" s="9">
        <f>현금흐름!$B$89</f>
        <v/>
      </c>
      <c r="D30" s="9">
        <f>현금흐름!$V$89</f>
        <v/>
      </c>
      <c r="E30" s="9">
        <f>현금흐름!$AP$89</f>
        <v/>
      </c>
    </row>
    <row r="31"/>
    <row r="32">
      <c r="A32" s="11" t="inlineStr">
        <is>
          <t>[선도 평가 — 최종결제일 H]</t>
        </is>
      </c>
      <c r="B32" s="12" t="n"/>
      <c r="C32" s="12" t="n"/>
      <c r="D32" s="12" t="n"/>
      <c r="E32" s="12" t="n"/>
      <c r="F32" s="12" t="n"/>
      <c r="G32" s="12" t="n"/>
    </row>
    <row r="33">
      <c r="A33" s="4" t="inlineStr">
        <is>
          <t>보유일수 (S0→H)</t>
        </is>
      </c>
      <c r="B33" s="8" t="inlineStr">
        <is>
          <t>일</t>
        </is>
      </c>
      <c r="C33" s="15">
        <f>설정!$B$28</f>
        <v/>
      </c>
      <c r="D33" s="15">
        <f>설정!$B$28</f>
        <v/>
      </c>
      <c r="E33" s="15">
        <f>설정!$B$28</f>
        <v/>
      </c>
    </row>
    <row r="34">
      <c r="A34" s="4" t="inlineStr">
        <is>
          <t>기간중 쿠폰 재투자FV</t>
        </is>
      </c>
      <c r="B34" s="8" t="inlineStr"/>
      <c r="C34" s="9">
        <f>현금흐름!$B$100</f>
        <v/>
      </c>
      <c r="D34" s="9">
        <f>현금흐름!$V$100</f>
        <v/>
      </c>
      <c r="E34" s="9">
        <f>현금흐름!$AP$100</f>
        <v/>
      </c>
    </row>
    <row r="35">
      <c r="A35" s="4" t="inlineStr">
        <is>
          <t>조달이자</t>
        </is>
      </c>
      <c r="B35" s="8" t="inlineStr"/>
      <c r="C35" s="9">
        <f>현금흐름!$B$102</f>
        <v/>
      </c>
      <c r="D35" s="9">
        <f>현금흐름!$V$102</f>
        <v/>
      </c>
      <c r="E35" s="9">
        <f>현금흐름!$AP$102</f>
        <v/>
      </c>
    </row>
    <row r="36">
      <c r="A36" s="4" t="inlineStr">
        <is>
          <t>▶ 선도 목표단가 (더티)</t>
        </is>
      </c>
      <c r="B36" s="8" t="inlineStr"/>
      <c r="C36" s="24">
        <f>현금흐름!$B$103</f>
        <v/>
      </c>
      <c r="D36" s="24">
        <f>현금흐름!$V$103</f>
        <v/>
      </c>
      <c r="E36" s="24">
        <f>현금흐름!$AP$103</f>
        <v/>
      </c>
      <c r="G36" s="8" t="inlineStr">
        <is>
          <t>현물단가 + 조달이자 − 쿠폰FV</t>
        </is>
      </c>
    </row>
    <row r="37">
      <c r="A37" s="4" t="inlineStr">
        <is>
          <t>▶ 선도 수익률</t>
        </is>
      </c>
      <c r="B37" s="8" t="inlineStr">
        <is>
          <t>%</t>
        </is>
      </c>
      <c r="C37" s="24">
        <f>현금흐름!$B$111*100</f>
        <v/>
      </c>
      <c r="D37" s="24">
        <f>현금흐름!$V$111*100</f>
        <v/>
      </c>
      <c r="E37" s="24">
        <f>현금흐름!$AP$111*100</f>
        <v/>
      </c>
    </row>
    <row r="38">
      <c r="A38" s="4" t="inlineStr">
        <is>
          <t>수렴 잔차 (0에 근접해야 정상)</t>
        </is>
      </c>
      <c r="B38" s="8" t="inlineStr"/>
      <c r="C38" s="30">
        <f>현금흐름!$B$113</f>
        <v/>
      </c>
      <c r="D38" s="30">
        <f>현금흐름!$V$113</f>
        <v/>
      </c>
      <c r="E38" s="30">
        <f>현금흐름!$AP$113</f>
        <v/>
      </c>
    </row>
    <row r="39">
      <c r="A39" s="4" t="inlineStr">
        <is>
          <t>선도 BPV</t>
        </is>
      </c>
      <c r="B39" s="8" t="inlineStr">
        <is>
          <t>포인트/1bp</t>
        </is>
      </c>
      <c r="C39" s="25">
        <f>현금흐름!$B$116</f>
        <v/>
      </c>
      <c r="D39" s="25">
        <f>현금흐름!$V$116</f>
        <v/>
      </c>
      <c r="E39" s="25">
        <f>현금흐름!$AP$116</f>
        <v/>
      </c>
    </row>
    <row r="40">
      <c r="A40" s="4" t="inlineStr">
        <is>
          <t>선도 BPV (액면 1억 기준)</t>
        </is>
      </c>
      <c r="B40" s="8" t="inlineStr">
        <is>
          <t>원/1bp</t>
        </is>
      </c>
      <c r="C40" s="29">
        <f>C39*설정!$B$9</f>
        <v/>
      </c>
      <c r="D40" s="29">
        <f>D39*설정!$B$9</f>
        <v/>
      </c>
      <c r="E40" s="29">
        <f>E39*설정!$B$9</f>
        <v/>
      </c>
    </row>
    <row r="41">
      <c r="A41" s="4" t="inlineStr">
        <is>
          <t>선도 2차미분 P''</t>
        </is>
      </c>
      <c r="B41" s="8" t="inlineStr"/>
      <c r="C41" s="31">
        <f>현금흐름!$B$117</f>
        <v/>
      </c>
      <c r="D41" s="31">
        <f>현금흐름!$V$117</f>
        <v/>
      </c>
      <c r="E41" s="31">
        <f>현금흐름!$AP$117</f>
        <v/>
      </c>
    </row>
    <row r="42">
      <c r="A42" s="4" t="inlineStr">
        <is>
          <t>선도 잔존만기</t>
        </is>
      </c>
      <c r="B42" s="8" t="inlineStr">
        <is>
          <t>년</t>
        </is>
      </c>
      <c r="C42" s="9">
        <f>현금흐름!$B$118</f>
        <v/>
      </c>
      <c r="D42" s="9">
        <f>현금흐름!$V$118</f>
        <v/>
      </c>
      <c r="E42" s="9">
        <f>현금흐름!$AP$118</f>
        <v/>
      </c>
    </row>
    <row r="43">
      <c r="A43" s="4" t="inlineStr">
        <is>
          <t>캐리 (선도−현물)</t>
        </is>
      </c>
      <c r="B43" s="8" t="inlineStr">
        <is>
          <t>bp</t>
        </is>
      </c>
      <c r="C43" s="31">
        <f>(C37-C16)*100</f>
        <v/>
      </c>
      <c r="D43" s="31">
        <f>(D37-D16)*100</f>
        <v/>
      </c>
      <c r="E43" s="31">
        <f>(E37-E16)*100</f>
        <v/>
      </c>
      <c r="G43" s="8" t="inlineStr">
        <is>
          <t>양수 = 선도수익률이 높음 = 네거티브 캐리</t>
        </is>
      </c>
    </row>
    <row r="44"/>
    <row r="45">
      <c r="A45" s="11" t="inlineStr">
        <is>
          <t>[헤지 / 포지션]</t>
        </is>
      </c>
      <c r="B45" s="12" t="n"/>
      <c r="C45" s="12" t="n"/>
      <c r="D45" s="12" t="n"/>
      <c r="E45" s="12" t="n"/>
      <c r="F45" s="12" t="n"/>
      <c r="G45" s="12" t="n"/>
    </row>
    <row r="46">
      <c r="A46" s="4" t="inlineStr">
        <is>
          <t>이론 액면 (선물 1계약당)</t>
        </is>
      </c>
      <c r="B46" s="8" t="inlineStr">
        <is>
          <t>원</t>
        </is>
      </c>
      <c r="C46" s="22">
        <f>IFERROR(C10*(이론가!$B$18/C39)*설정!$B$8,0)</f>
        <v/>
      </c>
      <c r="D46" s="22">
        <f>IFERROR(D10*(이론가!$B$18/D39)*설정!$B$8,0)</f>
        <v/>
      </c>
      <c r="E46" s="22">
        <f>IFERROR(E10*(이론가!$B$18/E39)*설정!$B$8,0)</f>
        <v/>
      </c>
      <c r="F46" s="32">
        <f>SUM(C46:E46)</f>
        <v/>
      </c>
      <c r="G46" s="8" t="inlineStr">
        <is>
          <t>w × (표준물BPV / 선도BPV) × 거래단위  → 종목별 수익률 리스크 완전중립</t>
        </is>
      </c>
    </row>
    <row r="47">
      <c r="A47" s="4" t="inlineStr">
        <is>
          <t>이론 액면 총계</t>
        </is>
      </c>
      <c r="B47" s="8" t="inlineStr">
        <is>
          <t>원</t>
        </is>
      </c>
      <c r="C47" s="15">
        <f>C46*설정!$B$40</f>
        <v/>
      </c>
      <c r="D47" s="15">
        <f>D46*설정!$B$40</f>
        <v/>
      </c>
      <c r="E47" s="15">
        <f>E46*설정!$B$40</f>
        <v/>
      </c>
      <c r="F47" s="32">
        <f>SUM(C47:E47)</f>
        <v/>
      </c>
    </row>
    <row r="48">
      <c r="A48" s="4" t="inlineStr">
        <is>
          <t>실제 보유액면</t>
        </is>
      </c>
      <c r="B48" s="8" t="inlineStr">
        <is>
          <t>원</t>
        </is>
      </c>
      <c r="C48" s="17" t="n">
        <v>0</v>
      </c>
      <c r="D48" s="17" t="n">
        <v>0</v>
      </c>
      <c r="E48" s="17" t="n">
        <v>0</v>
      </c>
      <c r="F48" s="32">
        <f>SUM(C48:E48)</f>
        <v/>
      </c>
    </row>
    <row r="49">
      <c r="A49" s="4" t="inlineStr">
        <is>
          <t>▶ 적용 액면</t>
        </is>
      </c>
      <c r="B49" s="8" t="inlineStr">
        <is>
          <t>원</t>
        </is>
      </c>
      <c r="C49" s="22">
        <f>IF(설정!$B$45="예",C47,C48)</f>
        <v/>
      </c>
      <c r="D49" s="22">
        <f>IF(설정!$B$45="예",D47,D48)</f>
        <v/>
      </c>
      <c r="E49" s="22">
        <f>IF(설정!$B$45="예",E47,E48)</f>
        <v/>
      </c>
      <c r="F49" s="32">
        <f>SUM(C49:E49)</f>
        <v/>
      </c>
    </row>
    <row r="50">
      <c r="A50" s="4" t="inlineStr">
        <is>
          <t>진입 결제금액 (실제 체결)</t>
        </is>
      </c>
      <c r="B50" s="8" t="inlineStr">
        <is>
          <t>원</t>
        </is>
      </c>
      <c r="C50" s="17" t="n"/>
      <c r="D50" s="17" t="n"/>
      <c r="E50" s="17" t="n"/>
      <c r="F50" s="32">
        <f>SUM(C50:E50)</f>
        <v/>
      </c>
      <c r="G50" s="8" t="inlineStr">
        <is>
          <t>미입력 시 현재 단가 기준으로 자동 산출</t>
        </is>
      </c>
    </row>
    <row r="51">
      <c r="A51" s="4" t="inlineStr">
        <is>
          <t>▶ 적용 진입금액</t>
        </is>
      </c>
      <c r="B51" s="8" t="inlineStr">
        <is>
          <t>원</t>
        </is>
      </c>
      <c r="C51" s="22">
        <f>IF(C50="",C25/100*C49,C50)</f>
        <v/>
      </c>
      <c r="D51" s="22">
        <f>IF(D50="",D25/100*D49,D50)</f>
        <v/>
      </c>
      <c r="E51" s="22">
        <f>IF(E50="",E25/100*E49,E50)</f>
        <v/>
      </c>
      <c r="F51" s="32">
        <f>SUM(C51:E51)</f>
        <v/>
      </c>
    </row>
    <row r="52">
      <c r="A52" s="4" t="inlineStr">
        <is>
          <t>진입 환산단가 (더티)</t>
        </is>
      </c>
      <c r="B52" s="8" t="inlineStr"/>
      <c r="C52" s="9">
        <f>IFERROR(C51/C49*100,0)</f>
        <v/>
      </c>
      <c r="D52" s="9">
        <f>IFERROR(D51/D49*100,0)</f>
        <v/>
      </c>
      <c r="E52" s="9">
        <f>IFERROR(E51/E49*100,0)</f>
        <v/>
      </c>
    </row>
    <row r="53">
      <c r="A53" s="4" t="inlineStr">
        <is>
          <t>현재 평가금액</t>
        </is>
      </c>
      <c r="B53" s="8" t="inlineStr">
        <is>
          <t>원</t>
        </is>
      </c>
      <c r="C53" s="15">
        <f>C25/100*C49</f>
        <v/>
      </c>
      <c r="D53" s="15">
        <f>D25/100*D49</f>
        <v/>
      </c>
      <c r="E53" s="15">
        <f>E25/100*E49</f>
        <v/>
      </c>
      <c r="F53" s="32">
        <f>SUM(C53:E53)</f>
        <v/>
      </c>
    </row>
    <row r="54">
      <c r="A54" s="4" t="inlineStr">
        <is>
          <t>현재 평가손익 (방향반영)</t>
        </is>
      </c>
      <c r="B54" s="8" t="inlineStr">
        <is>
          <t>원</t>
        </is>
      </c>
      <c r="C54" s="15">
        <f>(C53-C51)*설정!$B$39</f>
        <v/>
      </c>
      <c r="D54" s="15">
        <f>(D53-D51)*설정!$B$39</f>
        <v/>
      </c>
      <c r="E54" s="15">
        <f>(E53-E51)*설정!$B$39</f>
        <v/>
      </c>
      <c r="F54" s="32">
        <f>SUM(C54:E54)</f>
        <v/>
      </c>
    </row>
    <row r="55"/>
    <row r="56">
      <c r="A56" s="8" t="inlineStr">
        <is>
          <t>※ 46행 헤지액면: 각 종목의 수익률 1bp 변동이 선물 leg와 정확히 상쇄되도록 산출합니다. 가중치 합이 1이고 BPV가 비슷하면 3종목 합계는 대략 계약수 × 1억원이 됩니다.</t>
        </is>
      </c>
    </row>
    <row r="57">
      <c r="A57" s="8" t="inlineStr">
        <is>
          <t>※ 종목을 2개만 쓸 경우: 미사용 종목의 가중치(10행)를 0으로 두되, 발행일/만기일/표면금리는 유효한 값을 유지해야 오류가 없습니다.</t>
        </is>
      </c>
    </row>
    <row r="58">
      <c r="A58" s="8" t="inlineStr">
        <is>
          <t>※ 4~8행 종목정보 출처: 한국거래소가 결제월별로 공시하는 최종결제기준채권. 현재 값은 형식 예시용 더미입니다.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56" customWidth="1" min="4" max="4"/>
    <col width="10" customWidth="1" min="5" max="5"/>
    <col width="10" customWidth="1" min="6" max="6"/>
  </cols>
  <sheetData>
    <row r="1" ht="22" customHeight="1">
      <c r="A1" s="1" t="inlineStr">
        <is>
          <t>이론 선물가격 · 베이시스 · 차익 판정</t>
        </is>
      </c>
      <c r="B1" s="2" t="n"/>
      <c r="C1" s="2" t="n"/>
      <c r="D1" s="2" t="n"/>
      <c r="E1" s="2" t="n"/>
      <c r="F1" s="2" t="n"/>
    </row>
    <row r="2"/>
    <row r="3">
      <c r="A3" s="11" t="inlineStr">
        <is>
          <t>[1] 바스켓 선도수익률</t>
        </is>
      </c>
      <c r="B3" s="12" t="n"/>
      <c r="C3" s="33" t="inlineStr">
        <is>
          <t>가중치</t>
        </is>
      </c>
      <c r="D3" s="12" t="n"/>
      <c r="E3" s="12" t="n"/>
      <c r="F3" s="12" t="n"/>
    </row>
    <row r="4">
      <c r="A4" s="4" t="inlineStr">
        <is>
          <t>종목1 선도수익률</t>
        </is>
      </c>
      <c r="B4" s="28">
        <f>바스켓!C37</f>
        <v/>
      </c>
      <c r="C4" s="34">
        <f>바스켓!C10</f>
        <v/>
      </c>
    </row>
    <row r="5">
      <c r="A5" s="4" t="inlineStr">
        <is>
          <t>종목2 선도수익률</t>
        </is>
      </c>
      <c r="B5" s="28">
        <f>바스켓!D37</f>
        <v/>
      </c>
      <c r="C5" s="34">
        <f>바스켓!D10</f>
        <v/>
      </c>
    </row>
    <row r="6">
      <c r="A6" s="4" t="inlineStr">
        <is>
          <t>종목3 선도수익률</t>
        </is>
      </c>
      <c r="B6" s="28">
        <f>바스켓!E37</f>
        <v/>
      </c>
      <c r="C6" s="34">
        <f>바스켓!E10</f>
        <v/>
      </c>
    </row>
    <row r="7">
      <c r="A7" s="4" t="inlineStr">
        <is>
          <t>▶ 가중평균 선도수익률</t>
        </is>
      </c>
      <c r="B7" s="24">
        <f>SUMPRODUCT(B4:B6,C4:C6)/SUM(C4:C6)</f>
        <v/>
      </c>
      <c r="C7" s="8" t="inlineStr">
        <is>
          <t>%</t>
        </is>
      </c>
    </row>
    <row r="8">
      <c r="A8" s="4" t="inlineStr">
        <is>
          <t>(소수)</t>
        </is>
      </c>
      <c r="B8" s="35">
        <f>B7/100</f>
        <v/>
      </c>
    </row>
    <row r="9"/>
    <row r="10">
      <c r="A10" s="11" t="inlineStr">
        <is>
          <t>[2] 표준물 가격 = 최종결제기준가격 산식</t>
        </is>
      </c>
      <c r="B10" s="12" t="n"/>
      <c r="C10" s="12" t="n"/>
      <c r="D10" s="12" t="n"/>
      <c r="E10" s="12" t="n"/>
      <c r="F10" s="12" t="n"/>
    </row>
    <row r="11">
      <c r="A11" s="4" t="inlineStr">
        <is>
          <t>표준물 만기</t>
        </is>
      </c>
      <c r="B11" s="36">
        <f>설정!$B$5</f>
        <v/>
      </c>
      <c r="C11" s="8" t="inlineStr">
        <is>
          <t>년</t>
        </is>
      </c>
    </row>
    <row r="12">
      <c r="A12" s="4" t="inlineStr">
        <is>
          <t>반기 기간수 N</t>
        </is>
      </c>
      <c r="B12" s="15">
        <f>B11*설정!$B$7</f>
        <v/>
      </c>
    </row>
    <row r="13">
      <c r="A13" s="4" t="inlineStr">
        <is>
          <t>반기 쿠폰</t>
        </is>
      </c>
      <c r="B13" s="9">
        <f>설정!$B$6*100/설정!$B$7</f>
        <v/>
      </c>
    </row>
    <row r="14">
      <c r="A14" s="4" t="inlineStr">
        <is>
          <t>▶ 이론 선물가격</t>
        </is>
      </c>
      <c r="B14" s="24">
        <f>(설정!$B$6*100/($B$8))*(1-(1/(1+($B$8)/2))^$B$12)+100*(1/(1+($B$8)/2))^$B$12</f>
        <v/>
      </c>
    </row>
    <row r="15">
      <c r="A15" s="4" t="inlineStr">
        <is>
          <t>이론가 (호가단위 반올림)</t>
        </is>
      </c>
      <c r="B15" s="31">
        <f>ROUND(B14/설정!$B$10,0)*설정!$B$10</f>
        <v/>
      </c>
    </row>
    <row r="16">
      <c r="A16" s="4" t="inlineStr">
        <is>
          <t>P(ȳ+1bp)</t>
        </is>
      </c>
      <c r="B16" s="25">
        <f>(설정!$B$6*100/($B$8+0.0001))*(1-(1/(1+($B$8+0.0001)/2))^$B$12)+100*(1/(1+($B$8+0.0001)/2))^$B$12</f>
        <v/>
      </c>
    </row>
    <row r="17">
      <c r="A17" s="4" t="inlineStr">
        <is>
          <t>P(ȳ−1bp)</t>
        </is>
      </c>
      <c r="B17" s="25">
        <f>(설정!$B$6*100/($B$8-0.0001))*(1-(1/(1+($B$8-0.0001)/2))^$B$12)+100*(1/(1+($B$8-0.0001)/2))^$B$12</f>
        <v/>
      </c>
    </row>
    <row r="18">
      <c r="A18" s="4" t="inlineStr">
        <is>
          <t>▶ 표준물 BPV</t>
        </is>
      </c>
      <c r="B18" s="37">
        <f>(B17-B16)/2</f>
        <v/>
      </c>
      <c r="C18" s="8" t="inlineStr">
        <is>
          <t>포인트/1bp</t>
        </is>
      </c>
    </row>
    <row r="19">
      <c r="A19" s="4" t="inlineStr">
        <is>
          <t>표준물 BPV (원/1bp/계약)</t>
        </is>
      </c>
      <c r="B19" s="29">
        <f>B18*설정!$B$9</f>
        <v/>
      </c>
      <c r="C19" s="8" t="inlineStr">
        <is>
          <t>원</t>
        </is>
      </c>
    </row>
    <row r="20">
      <c r="A20" s="4" t="inlineStr">
        <is>
          <t>표준물 수정듀레이션</t>
        </is>
      </c>
      <c r="B20" s="9">
        <f>B18*10000/B14</f>
        <v/>
      </c>
      <c r="C20" s="8" t="inlineStr">
        <is>
          <t>년</t>
        </is>
      </c>
    </row>
    <row r="21"/>
    <row r="22">
      <c r="A22" s="11" t="inlineStr">
        <is>
          <t>[3] 시장 선물가격 → 내재수익률 (뉴턴 2회)</t>
        </is>
      </c>
      <c r="B22" s="12" t="n"/>
      <c r="C22" s="12" t="n"/>
      <c r="D22" s="12" t="n"/>
      <c r="E22" s="12" t="n"/>
      <c r="F22" s="12" t="n"/>
    </row>
    <row r="23">
      <c r="A23" s="4" t="inlineStr">
        <is>
          <t>시장 선물가격</t>
        </is>
      </c>
      <c r="B23" s="38">
        <f>실시간!C5</f>
        <v/>
      </c>
    </row>
    <row r="24">
      <c r="A24" s="4" t="inlineStr">
        <is>
          <t>ya (초기값)</t>
        </is>
      </c>
      <c r="B24" s="35">
        <f>B8</f>
        <v/>
      </c>
    </row>
    <row r="25">
      <c r="A25" s="4" t="inlineStr">
        <is>
          <t>P(ya)</t>
        </is>
      </c>
      <c r="B25" s="25">
        <f>B14</f>
        <v/>
      </c>
    </row>
    <row r="26">
      <c r="A26" s="4" t="inlineStr">
        <is>
          <t>|dP/dy|</t>
        </is>
      </c>
      <c r="B26" s="25">
        <f>B18*10000</f>
        <v/>
      </c>
    </row>
    <row r="27">
      <c r="A27" s="4" t="inlineStr">
        <is>
          <t>yb</t>
        </is>
      </c>
      <c r="B27" s="35">
        <f>B24+(B25-B23)/B26</f>
        <v/>
      </c>
    </row>
    <row r="28">
      <c r="A28" s="4" t="inlineStr">
        <is>
          <t>P(yb)</t>
        </is>
      </c>
      <c r="B28" s="25">
        <f>(설정!$B$6*100/($B$27))*(1-(1/(1+($B$27)/2))^$B$12)+100*(1/(1+($B$27)/2))^$B$12</f>
        <v/>
      </c>
    </row>
    <row r="29">
      <c r="A29" s="4" t="inlineStr">
        <is>
          <t>yc</t>
        </is>
      </c>
      <c r="B29" s="35">
        <f>B27+(B28-B23)/B26</f>
        <v/>
      </c>
    </row>
    <row r="30">
      <c r="A30" s="4" t="inlineStr">
        <is>
          <t>P(yc)</t>
        </is>
      </c>
      <c r="B30" s="25">
        <f>(설정!$B$6*100/($B$29))*(1-(1/(1+($B$29)/2))^$B$12)+100*(1/(1+($B$29)/2))^$B$12</f>
        <v/>
      </c>
    </row>
    <row r="31">
      <c r="A31" s="4" t="inlineStr">
        <is>
          <t>▶ 선물 내재수익률</t>
        </is>
      </c>
      <c r="B31" s="24">
        <f>B29*100</f>
        <v/>
      </c>
      <c r="C31" s="8" t="inlineStr">
        <is>
          <t>%</t>
        </is>
      </c>
    </row>
    <row r="32">
      <c r="A32" s="4" t="inlineStr">
        <is>
          <t>수렴 잔차</t>
        </is>
      </c>
      <c r="B32" s="30">
        <f>B30-B23</f>
        <v/>
      </c>
    </row>
    <row r="33"/>
    <row r="34">
      <c r="A34" s="11" t="inlineStr">
        <is>
          <t>[4] 베이시스 및 차익 판정</t>
        </is>
      </c>
      <c r="B34" s="12" t="n"/>
      <c r="C34" s="12" t="n"/>
      <c r="D34" s="12" t="n"/>
      <c r="E34" s="12" t="n"/>
      <c r="F34" s="12" t="n"/>
    </row>
    <row r="35">
      <c r="A35" s="4" t="inlineStr">
        <is>
          <t>▶ 베이시스 (시장가 − 이론가)</t>
        </is>
      </c>
      <c r="B35" s="24">
        <f>B23-B14</f>
        <v/>
      </c>
      <c r="C35" s="8" t="inlineStr">
        <is>
          <t>포인트</t>
        </is>
      </c>
    </row>
    <row r="36">
      <c r="A36" s="4" t="inlineStr">
        <is>
          <t>베이시스</t>
        </is>
      </c>
      <c r="B36" s="31">
        <f>B35/설정!$B$10</f>
        <v/>
      </c>
      <c r="C36" s="8" t="inlineStr">
        <is>
          <t>틱</t>
        </is>
      </c>
    </row>
    <row r="37">
      <c r="A37" s="4" t="inlineStr">
        <is>
          <t>▶ 베이시스</t>
        </is>
      </c>
      <c r="B37" s="22">
        <f>B35*설정!$B$9</f>
        <v/>
      </c>
      <c r="C37" s="8" t="inlineStr">
        <is>
          <t>원/계약</t>
        </is>
      </c>
    </row>
    <row r="38">
      <c r="A38" s="4" t="inlineStr">
        <is>
          <t>수익률 스프레드 (선도평균 − 내재)</t>
        </is>
      </c>
      <c r="B38" s="31">
        <f>(B7-B31)*100</f>
        <v/>
      </c>
      <c r="C38" s="8" t="inlineStr">
        <is>
          <t>bp</t>
        </is>
      </c>
      <c r="D38" s="8" t="inlineStr">
        <is>
          <t>양수 = 선물 고평가</t>
        </is>
      </c>
    </row>
    <row r="39">
      <c r="A39" s="4" t="inlineStr">
        <is>
          <t>총 거래비용</t>
        </is>
      </c>
      <c r="B39" s="36">
        <f>설정!$B$53</f>
        <v/>
      </c>
      <c r="C39" s="8" t="inlineStr">
        <is>
          <t>원/계약</t>
        </is>
      </c>
    </row>
    <row r="40">
      <c r="A40" s="4" t="inlineStr">
        <is>
          <t>▶ 순차익 (비용 차감후)</t>
        </is>
      </c>
      <c r="B40" s="22">
        <f>ABS(B37)-B39</f>
        <v/>
      </c>
      <c r="C40" s="8" t="inlineStr">
        <is>
          <t>원/계약</t>
        </is>
      </c>
    </row>
    <row r="41">
      <c r="A41" s="4" t="inlineStr">
        <is>
          <t>계약수</t>
        </is>
      </c>
      <c r="B41" s="36">
        <f>설정!$B$40</f>
        <v/>
      </c>
      <c r="C41" s="8" t="inlineStr">
        <is>
          <t>계약</t>
        </is>
      </c>
    </row>
    <row r="42">
      <c r="A42" s="4" t="inlineStr">
        <is>
          <t>▶ 총 순차익</t>
        </is>
      </c>
      <c r="B42" s="22">
        <f>B40*B41</f>
        <v/>
      </c>
      <c r="C42" s="8" t="inlineStr">
        <is>
          <t>원</t>
        </is>
      </c>
    </row>
    <row r="43">
      <c r="A43" s="4" t="inlineStr">
        <is>
          <t>권장 포지션</t>
        </is>
      </c>
      <c r="B43" s="39">
        <f>IF(B37&gt;0,"선물 매도 + 바스켓 매수 (선물 고평가)",IF(B37&lt;0,"선물 매수 + 바스켓 매도 (선물 저평가)","중립"))</f>
        <v/>
      </c>
    </row>
    <row r="44">
      <c r="A44" s="4" t="inlineStr">
        <is>
          <t>설정된 방향과 일치?</t>
        </is>
      </c>
      <c r="B44" s="39">
        <f>IF(OR(AND(B37&gt;0,설정!$B$39=1),AND(B37&lt;0,설정!$B$39=-1)),"○ 일치","✕ 설정!B38 방향 확인")</f>
        <v/>
      </c>
    </row>
    <row r="45">
      <c r="A45" s="4" t="inlineStr">
        <is>
          <t>판정</t>
        </is>
      </c>
      <c r="B45" s="39">
        <f>IF(B40&gt;0,"차익거래 가능","비용 미달 — 관망")</f>
        <v/>
      </c>
    </row>
    <row r="46"/>
    <row r="47">
      <c r="A47" s="8" t="inlineStr">
        <is>
          <t>※ 베이시스가 양수(선물 고평가)면 선물 매도 + 바스켓 매수(cash-and-carry), 음수면 반대(reverse cash-and-carry) 입니다.</t>
        </is>
      </c>
    </row>
    <row r="48">
      <c r="A48" s="8" t="inlineStr">
        <is>
          <t>※ 40행은 절대값 기준입니다. 실제 진입 시에는 [설정] B38의 방향이 43행 권장과 일치하는지 44행에서 확인하십시오.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2" customWidth="1" min="3" max="3"/>
    <col width="56" customWidth="1" min="4" max="4"/>
    <col width="10" customWidth="1" min="5" max="5"/>
    <col width="10" customWidth="1" min="6" max="6"/>
  </cols>
  <sheetData>
    <row r="1" ht="22" customHeight="1">
      <c r="A1" s="1" t="inlineStr">
        <is>
          <t>만기 손익  ―  바스켓 1단위 = 선물 1계약 대응</t>
        </is>
      </c>
      <c r="B1" s="2" t="n"/>
      <c r="C1" s="2" t="n"/>
      <c r="D1" s="2" t="n"/>
      <c r="E1" s="2" t="n"/>
      <c r="F1" s="2" t="n"/>
    </row>
    <row r="2"/>
    <row r="3">
      <c r="A3" s="11" t="inlineStr">
        <is>
          <t>[A] 실시간 락인 손익 (지금 진입 → 만기 보유 가정)</t>
        </is>
      </c>
      <c r="B3" s="12" t="n"/>
      <c r="C3" s="12" t="n"/>
      <c r="D3" s="12" t="n"/>
      <c r="E3" s="12" t="n"/>
      <c r="F3" s="12" t="n"/>
    </row>
    <row r="4">
      <c r="A4" s="4" t="inlineStr">
        <is>
          <t>베이시스</t>
        </is>
      </c>
      <c r="B4" s="36">
        <f>이론가!B37</f>
        <v/>
      </c>
      <c r="C4" s="8" t="inlineStr">
        <is>
          <t>원/계약</t>
        </is>
      </c>
    </row>
    <row r="5">
      <c r="A5" s="4" t="inlineStr">
        <is>
          <t>총 거래비용</t>
        </is>
      </c>
      <c r="B5" s="36">
        <f>설정!$B$53</f>
        <v/>
      </c>
      <c r="C5" s="8" t="inlineStr">
        <is>
          <t>원/계약</t>
        </is>
      </c>
    </row>
    <row r="6">
      <c r="A6" s="4" t="inlineStr">
        <is>
          <t>▶ 순차익</t>
        </is>
      </c>
      <c r="B6" s="22">
        <f>이론가!B40</f>
        <v/>
      </c>
      <c r="C6" s="8" t="inlineStr">
        <is>
          <t>원/계약</t>
        </is>
      </c>
    </row>
    <row r="7">
      <c r="A7" s="4" t="inlineStr">
        <is>
          <t>계약수 Q</t>
        </is>
      </c>
      <c r="B7" s="36">
        <f>설정!$B$40</f>
        <v/>
      </c>
      <c r="C7" s="8" t="inlineStr">
        <is>
          <t>계약</t>
        </is>
      </c>
    </row>
    <row r="8">
      <c r="A8" s="4" t="inlineStr">
        <is>
          <t>▶ 총 순차익</t>
        </is>
      </c>
      <c r="B8" s="22">
        <f>B6*B7</f>
        <v/>
      </c>
      <c r="C8" s="8" t="inlineStr">
        <is>
          <t>원</t>
        </is>
      </c>
    </row>
    <row r="9">
      <c r="A9" s="4" t="inlineStr">
        <is>
          <t>바스켓 투자금액 (현물 매입액)</t>
        </is>
      </c>
      <c r="B9" s="36">
        <f>SUM(바스켓!C53:E53)</f>
        <v/>
      </c>
      <c r="C9" s="8" t="inlineStr">
        <is>
          <t>원</t>
        </is>
      </c>
    </row>
    <row r="10">
      <c r="A10" s="4" t="inlineStr">
        <is>
          <t>보유일수</t>
        </is>
      </c>
      <c r="B10" s="36">
        <f>설정!$B$28</f>
        <v/>
      </c>
      <c r="C10" s="8" t="inlineStr">
        <is>
          <t>일</t>
        </is>
      </c>
    </row>
    <row r="11">
      <c r="A11" s="4" t="inlineStr">
        <is>
          <t>▶ 연환산 수익률</t>
        </is>
      </c>
      <c r="B11" s="24">
        <f>IF(AND(B9&gt;0,B10&gt;0),B8/B9*365/B10*100,"")</f>
        <v/>
      </c>
      <c r="C11" s="8" t="inlineStr">
        <is>
          <t>%</t>
        </is>
      </c>
    </row>
    <row r="12">
      <c r="A12" s="4" t="inlineStr">
        <is>
          <t>조달금리 대비 초과</t>
        </is>
      </c>
      <c r="B12" s="24">
        <f>IF(B11="","",B11-설정!$B$31)</f>
        <v/>
      </c>
      <c r="C12" s="8" t="inlineStr">
        <is>
          <t>%p</t>
        </is>
      </c>
      <c r="D12" s="8" t="inlineStr">
        <is>
          <t>레포로 100% 조달 시 이 값이 순마진</t>
        </is>
      </c>
    </row>
    <row r="13"/>
    <row r="14">
      <c r="A14" s="11" t="inlineStr">
        <is>
          <t>[B] 현재 미실현 손익 (보유 포지션 마킹)</t>
        </is>
      </c>
      <c r="B14" s="12" t="n"/>
      <c r="C14" s="12" t="n"/>
      <c r="D14" s="12" t="n"/>
      <c r="E14" s="12" t="n"/>
      <c r="F14" s="12" t="n"/>
    </row>
    <row r="15">
      <c r="A15" s="4" t="inlineStr">
        <is>
          <t>선물 진입가</t>
        </is>
      </c>
      <c r="B15" s="38">
        <f>설정!$B$42</f>
        <v/>
      </c>
    </row>
    <row r="16">
      <c r="A16" s="4" t="inlineStr">
        <is>
          <t>선물 현재가</t>
        </is>
      </c>
      <c r="B16" s="38">
        <f>실시간!C5</f>
        <v/>
      </c>
    </row>
    <row r="17">
      <c r="A17" s="4" t="inlineStr">
        <is>
          <t>선물 평가손익</t>
        </is>
      </c>
      <c r="B17" s="15">
        <f>(B15-B16)*설정!$B$39*설정!$B$9*설정!$B$40</f>
        <v/>
      </c>
      <c r="C17" s="8" t="inlineStr">
        <is>
          <t>원</t>
        </is>
      </c>
    </row>
    <row r="18">
      <c r="A18" s="4" t="inlineStr">
        <is>
          <t>현물 평가손익</t>
        </is>
      </c>
      <c r="B18" s="36">
        <f>바스켓!F54</f>
        <v/>
      </c>
      <c r="C18" s="8" t="inlineStr">
        <is>
          <t>원</t>
        </is>
      </c>
    </row>
    <row r="19">
      <c r="A19" s="4" t="inlineStr">
        <is>
          <t>진입 경과일수</t>
        </is>
      </c>
      <c r="B19" s="15">
        <f>MAX(0,설정!$B$27-설정!$B$44)</f>
        <v/>
      </c>
      <c r="C19" s="8" t="inlineStr">
        <is>
          <t>일</t>
        </is>
      </c>
    </row>
    <row r="20">
      <c r="A20" s="4" t="inlineStr">
        <is>
          <t>경과 조달이자</t>
        </is>
      </c>
      <c r="B20" s="15">
        <f>-바스켓!F51*설정!$B$32*B19/365*설정!$B$39</f>
        <v/>
      </c>
      <c r="C20" s="8" t="inlineStr">
        <is>
          <t>원</t>
        </is>
      </c>
    </row>
    <row r="21">
      <c r="A21" s="4" t="inlineStr">
        <is>
          <t>▶ 미실현 손익 합계</t>
        </is>
      </c>
      <c r="B21" s="22">
        <f>B17+B18+B20</f>
        <v/>
      </c>
      <c r="C21" s="8" t="inlineStr">
        <is>
          <t>원</t>
        </is>
      </c>
    </row>
    <row r="22"/>
    <row r="23">
      <c r="A23" s="11" t="inlineStr">
        <is>
          <t>[C] 만기 손익 — 시나리오</t>
        </is>
      </c>
      <c r="B23" s="12" t="n"/>
      <c r="C23" s="12" t="n"/>
      <c r="D23" s="12" t="n"/>
      <c r="E23" s="12" t="n"/>
      <c r="F23" s="12" t="n"/>
    </row>
    <row r="24">
      <c r="A24" s="4" t="inlineStr">
        <is>
          <t>만기 수익률 평행이동</t>
        </is>
      </c>
      <c r="B24" s="18" t="n">
        <v>0</v>
      </c>
      <c r="C24" s="8" t="inlineStr">
        <is>
          <t>bp</t>
        </is>
      </c>
      <c r="D24" s="8" t="inlineStr">
        <is>
          <t>만기시점 바스켓 수익률 shift</t>
        </is>
      </c>
    </row>
    <row r="25">
      <c r="A25" s="4" t="inlineStr">
        <is>
          <t>만기 바스켓 평균수익률</t>
        </is>
      </c>
      <c r="B25" s="9">
        <f>이론가!B7+B24/100</f>
        <v/>
      </c>
      <c r="C25" s="8" t="inlineStr">
        <is>
          <t>%</t>
        </is>
      </c>
    </row>
    <row r="26">
      <c r="A26" s="4" t="inlineStr">
        <is>
          <t>▶ 최종결제기준가격</t>
        </is>
      </c>
      <c r="B26" s="24">
        <f>(설정!$B$6*100/($B$25/100))*(1-(1/(1+($B$25/100)/2))^이론가!$B$12)+100*(1/(1+($B$25/100)/2))^이론가!$B$12</f>
        <v/>
      </c>
    </row>
    <row r="27">
      <c r="A27" s="4" t="inlineStr">
        <is>
          <t>종목1 만기 단가(더티)</t>
        </is>
      </c>
      <c r="B27" s="9">
        <f>바스켓!C36-바스켓!C39*$B$24+0.5*바스켓!C41*($B$24/10000)^2</f>
        <v/>
      </c>
    </row>
    <row r="28">
      <c r="A28" s="4" t="inlineStr">
        <is>
          <t>종목2 만기 단가(더티)</t>
        </is>
      </c>
      <c r="B28" s="9">
        <f>바스켓!D36-바스켓!D39*$B$24+0.5*바스켓!D41*($B$24/10000)^2</f>
        <v/>
      </c>
    </row>
    <row r="29">
      <c r="A29" s="4" t="inlineStr">
        <is>
          <t>종목3 만기 단가(더티)</t>
        </is>
      </c>
      <c r="B29" s="9">
        <f>바스켓!E36-바스켓!E39*$B$24+0.5*바스켓!E41*($B$24/10000)^2</f>
        <v/>
      </c>
    </row>
    <row r="30"/>
    <row r="31">
      <c r="A31" s="40" t="inlineStr">
        <is>
          <t>── C-1. 현재 시장가로 신규 진입한다고 가정 ──</t>
        </is>
      </c>
    </row>
    <row r="32">
      <c r="A32" s="4" t="inlineStr">
        <is>
          <t>선물 leg</t>
        </is>
      </c>
      <c r="B32" s="15">
        <f>(이론가!B23-B26)*설정!$B$39*설정!$B$9*설정!$B$40</f>
        <v/>
      </c>
      <c r="C32" s="8" t="inlineStr">
        <is>
          <t>원</t>
        </is>
      </c>
    </row>
    <row r="33">
      <c r="A33" s="4" t="inlineStr">
        <is>
          <t>현물 leg</t>
        </is>
      </c>
      <c r="B33" s="15">
        <f>설정!$B$39*(($B$27-바스켓!C36)/100*바스켓!C49+($B$28-바스켓!D36)/100*바스켓!D49+($B$29-바스켓!E36)/100*바스켓!E49)</f>
        <v/>
      </c>
      <c r="C33" s="8" t="inlineStr">
        <is>
          <t>원</t>
        </is>
      </c>
      <c r="D33" s="8" t="inlineStr">
        <is>
          <t>선도 목표단가 대비 처분손익. 조달이자·쿠폰FV는 선도단가에 이미 반영됨</t>
        </is>
      </c>
    </row>
    <row r="34">
      <c r="A34" s="4" t="inlineStr">
        <is>
          <t>거래비용</t>
        </is>
      </c>
      <c r="B34" s="15">
        <f>-설정!$B$53*설정!$B$40</f>
        <v/>
      </c>
      <c r="C34" s="8" t="inlineStr">
        <is>
          <t>원</t>
        </is>
      </c>
    </row>
    <row r="35">
      <c r="A35" s="4" t="inlineStr">
        <is>
          <t>▶ 순 만기손익</t>
        </is>
      </c>
      <c r="B35" s="22">
        <f>B32+B33+B34</f>
        <v/>
      </c>
      <c r="C35" s="8" t="inlineStr">
        <is>
          <t>원</t>
        </is>
      </c>
    </row>
    <row r="36">
      <c r="A36" s="4" t="inlineStr">
        <is>
          <t>▶ 바스켓 1단위당 (=계약당)</t>
        </is>
      </c>
      <c r="B36" s="22">
        <f>IFERROR(B35/설정!$B$40,0)</f>
        <v/>
      </c>
      <c r="C36" s="8" t="inlineStr">
        <is>
          <t>원</t>
        </is>
      </c>
    </row>
    <row r="37">
      <c r="A37" s="4" t="inlineStr">
        <is>
          <t>▶ 액면 1억원당</t>
        </is>
      </c>
      <c r="B37" s="22">
        <f>B36</f>
        <v/>
      </c>
      <c r="C37" s="8" t="inlineStr">
        <is>
          <t>원</t>
        </is>
      </c>
    </row>
    <row r="38"/>
    <row r="39">
      <c r="A39" s="40" t="inlineStr">
        <is>
          <t>── C-2. 실제 보유 포지션 기준 ──</t>
        </is>
      </c>
    </row>
    <row r="40">
      <c r="A40" s="4" t="inlineStr">
        <is>
          <t>선물 leg</t>
        </is>
      </c>
      <c r="B40" s="15">
        <f>(설정!$B$42-B26)*설정!$B$39*설정!$B$9*설정!$B$40</f>
        <v/>
      </c>
      <c r="C40" s="8" t="inlineStr">
        <is>
          <t>원</t>
        </is>
      </c>
    </row>
    <row r="41">
      <c r="A41" s="4" t="inlineStr">
        <is>
          <t>현물 취득금액</t>
        </is>
      </c>
      <c r="B41" s="36">
        <f>바스켓!F51</f>
        <v/>
      </c>
      <c r="C41" s="8" t="inlineStr">
        <is>
          <t>원</t>
        </is>
      </c>
    </row>
    <row r="42">
      <c r="A42" s="4" t="inlineStr">
        <is>
          <t>조달일수 (진입일→H)</t>
        </is>
      </c>
      <c r="B42" s="15">
        <f>MAX(0,설정!$B$21-설정!$B$44)</f>
        <v/>
      </c>
      <c r="C42" s="8" t="inlineStr">
        <is>
          <t>일</t>
        </is>
      </c>
    </row>
    <row r="43">
      <c r="A43" s="4" t="inlineStr">
        <is>
          <t>조달 원리금 상환</t>
        </is>
      </c>
      <c r="B43" s="15">
        <f>-B41*(1+설정!$B$32*B42/365)</f>
        <v/>
      </c>
      <c r="C43" s="8" t="inlineStr">
        <is>
          <t>원</t>
        </is>
      </c>
    </row>
    <row r="44">
      <c r="A44" s="4" t="inlineStr">
        <is>
          <t>만기 처분금액</t>
        </is>
      </c>
      <c r="B44" s="15">
        <f>$B$27/100*바스켓!C49+$B$28/100*바스켓!D49+$B$29/100*바스켓!E49</f>
        <v/>
      </c>
      <c r="C44" s="8" t="inlineStr">
        <is>
          <t>원</t>
        </is>
      </c>
    </row>
    <row r="45">
      <c r="A45" s="4" t="inlineStr">
        <is>
          <t>쿠폰 재투자 수입</t>
        </is>
      </c>
      <c r="B45" s="15">
        <f>바스켓!C34/100*바스켓!C49+바스켓!D34/100*바스켓!D49+바스켓!E34/100*바스켓!E49</f>
        <v/>
      </c>
      <c r="C45" s="8" t="inlineStr">
        <is>
          <t>원</t>
        </is>
      </c>
    </row>
    <row r="46">
      <c r="A46" s="4" t="inlineStr">
        <is>
          <t>현물 leg</t>
        </is>
      </c>
      <c r="B46" s="15">
        <f>(B44+B45+B43)*설정!$B$39</f>
        <v/>
      </c>
      <c r="C46" s="8" t="inlineStr">
        <is>
          <t>원</t>
        </is>
      </c>
    </row>
    <row r="47">
      <c r="A47" s="4" t="inlineStr">
        <is>
          <t>거래비용</t>
        </is>
      </c>
      <c r="B47" s="15">
        <f>-설정!$B$53*설정!$B$40</f>
        <v/>
      </c>
      <c r="C47" s="8" t="inlineStr">
        <is>
          <t>원</t>
        </is>
      </c>
    </row>
    <row r="48">
      <c r="A48" s="4" t="inlineStr">
        <is>
          <t>▶ 순 만기손익</t>
        </is>
      </c>
      <c r="B48" s="22">
        <f>B40+B46+B47</f>
        <v/>
      </c>
      <c r="C48" s="8" t="inlineStr">
        <is>
          <t>원</t>
        </is>
      </c>
    </row>
    <row r="49">
      <c r="A49" s="4" t="inlineStr">
        <is>
          <t>▶ 바스켓 1단위당</t>
        </is>
      </c>
      <c r="B49" s="22">
        <f>IFERROR(B48/설정!$B$40,0)</f>
        <v/>
      </c>
      <c r="C49" s="8" t="inlineStr">
        <is>
          <t>원</t>
        </is>
      </c>
    </row>
    <row r="50"/>
    <row r="51">
      <c r="A51" s="8" t="inlineStr">
        <is>
          <t>※ C-1은 '지금 이 순간 진입하면 만기에 얼마를 확정하는가' 이고, 헤지가 정확하면 B24(수익률 shift)를 바꿔도 B35가 거의 변하지 않아야 합니다 ([시나리오] 시트에서 확인).</t>
        </is>
      </c>
    </row>
    <row r="52">
      <c r="A52" s="8" t="inlineStr">
        <is>
          <t>※ C-2는 이미 체결한 가격(설정!B41, 바스켓!50행)을 기준으로 하며, 진입 이후 시장 변동으로 인한 실현 차이가 반영됩니다.</t>
        </is>
      </c>
    </row>
    <row r="53">
      <c r="A53" s="8" t="inlineStr">
        <is>
          <t>※ 27~29행 만기단가는 선도 BPV + 컨벡시티 2차 테일러 근사입니다. |shift| &gt; 200bp 에서는 오차가 커집니다.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8" customWidth="1" min="4" max="4"/>
    <col width="18" customWidth="1" min="5" max="5"/>
    <col width="16" customWidth="1" min="6" max="6"/>
    <col width="18" customWidth="1" min="7" max="7"/>
    <col width="20" customWidth="1" min="8" max="8"/>
    <col width="6" customWidth="1" min="9" max="9"/>
  </cols>
  <sheetData>
    <row r="1" ht="22" customHeight="1">
      <c r="A1" s="1" t="inlineStr">
        <is>
          <t>만기 손익 민감도  ―  바스켓 수익률 평행이동 (헤지 유효성 점검)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3">
      <c r="A3" s="41" t="inlineStr">
        <is>
          <t>shift (bp)</t>
        </is>
      </c>
      <c r="B3" s="41" t="inlineStr">
        <is>
          <t>만기 평균수익률(%)</t>
        </is>
      </c>
      <c r="C3" s="41" t="inlineStr">
        <is>
          <t>최종결제가격</t>
        </is>
      </c>
      <c r="D3" s="41" t="inlineStr">
        <is>
          <t>선물 leg (원)</t>
        </is>
      </c>
      <c r="E3" s="41" t="inlineStr">
        <is>
          <t>현물 leg (원)</t>
        </is>
      </c>
      <c r="F3" s="41" t="inlineStr">
        <is>
          <t>거래비용 (원)</t>
        </is>
      </c>
      <c r="G3" s="41" t="inlineStr">
        <is>
          <t>순 만기손익 (원)</t>
        </is>
      </c>
      <c r="H3" s="41" t="inlineStr">
        <is>
          <t>바스켓 1단위당 (원)</t>
        </is>
      </c>
    </row>
    <row r="4">
      <c r="A4" s="42" t="n">
        <v>-100</v>
      </c>
      <c r="B4" s="9">
        <f>이론가!$B$7+$A4/100</f>
        <v/>
      </c>
      <c r="C4" s="9">
        <f>(설정!$B$6*100/($B4/100))*(1-(1/(1+($B4/100)/2))^이론가!$B$12)+100*(1/(1+($B4/100)/2))^이론가!$B$12</f>
        <v/>
      </c>
      <c r="D4" s="15">
        <f>(이론가!$B$23-$C4)*설정!$B$39*설정!$B$9*설정!$B$40</f>
        <v/>
      </c>
      <c r="E4" s="15">
        <f>설정!$B$39*((-바스켓!C39*$A4+0.5*바스켓!C41*($A4/10000)^2)/100*바스켓!C49+(-바스켓!D39*$A4+0.5*바스켓!D41*($A4/10000)^2)/100*바스켓!D49+(-바스켓!E39*$A4+0.5*바스켓!E41*($A4/10000)^2)/100*바스켓!E49)</f>
        <v/>
      </c>
      <c r="F4" s="15">
        <f>-설정!$B$53*설정!$B$40</f>
        <v/>
      </c>
      <c r="G4" s="15">
        <f>$D4+$E4+$F4</f>
        <v/>
      </c>
      <c r="H4" s="15">
        <f>IFERROR($G4/설정!$B$40,0)</f>
        <v/>
      </c>
    </row>
    <row r="5">
      <c r="A5" s="42" t="n">
        <v>-90</v>
      </c>
      <c r="B5" s="9">
        <f>이론가!$B$7+$A5/100</f>
        <v/>
      </c>
      <c r="C5" s="9">
        <f>(설정!$B$6*100/($B5/100))*(1-(1/(1+($B5/100)/2))^이론가!$B$12)+100*(1/(1+($B5/100)/2))^이론가!$B$12</f>
        <v/>
      </c>
      <c r="D5" s="15">
        <f>(이론가!$B$23-$C5)*설정!$B$39*설정!$B$9*설정!$B$40</f>
        <v/>
      </c>
      <c r="E5" s="15">
        <f>설정!$B$39*((-바스켓!C39*$A5+0.5*바스켓!C41*($A5/10000)^2)/100*바스켓!C49+(-바스켓!D39*$A5+0.5*바스켓!D41*($A5/10000)^2)/100*바스켓!D49+(-바스켓!E39*$A5+0.5*바스켓!E41*($A5/10000)^2)/100*바스켓!E49)</f>
        <v/>
      </c>
      <c r="F5" s="15">
        <f>-설정!$B$53*설정!$B$40</f>
        <v/>
      </c>
      <c r="G5" s="15">
        <f>$D5+$E5+$F5</f>
        <v/>
      </c>
      <c r="H5" s="15">
        <f>IFERROR($G5/설정!$B$40,0)</f>
        <v/>
      </c>
    </row>
    <row r="6">
      <c r="A6" s="42" t="n">
        <v>-80</v>
      </c>
      <c r="B6" s="9">
        <f>이론가!$B$7+$A6/100</f>
        <v/>
      </c>
      <c r="C6" s="9">
        <f>(설정!$B$6*100/($B6/100))*(1-(1/(1+($B6/100)/2))^이론가!$B$12)+100*(1/(1+($B6/100)/2))^이론가!$B$12</f>
        <v/>
      </c>
      <c r="D6" s="15">
        <f>(이론가!$B$23-$C6)*설정!$B$39*설정!$B$9*설정!$B$40</f>
        <v/>
      </c>
      <c r="E6" s="15">
        <f>설정!$B$39*((-바스켓!C39*$A6+0.5*바스켓!C41*($A6/10000)^2)/100*바스켓!C49+(-바스켓!D39*$A6+0.5*바스켓!D41*($A6/10000)^2)/100*바스켓!D49+(-바스켓!E39*$A6+0.5*바스켓!E41*($A6/10000)^2)/100*바스켓!E49)</f>
        <v/>
      </c>
      <c r="F6" s="15">
        <f>-설정!$B$53*설정!$B$40</f>
        <v/>
      </c>
      <c r="G6" s="15">
        <f>$D6+$E6+$F6</f>
        <v/>
      </c>
      <c r="H6" s="15">
        <f>IFERROR($G6/설정!$B$40,0)</f>
        <v/>
      </c>
    </row>
    <row r="7">
      <c r="A7" s="42" t="n">
        <v>-70</v>
      </c>
      <c r="B7" s="9">
        <f>이론가!$B$7+$A7/100</f>
        <v/>
      </c>
      <c r="C7" s="9">
        <f>(설정!$B$6*100/($B7/100))*(1-(1/(1+($B7/100)/2))^이론가!$B$12)+100*(1/(1+($B7/100)/2))^이론가!$B$12</f>
        <v/>
      </c>
      <c r="D7" s="15">
        <f>(이론가!$B$23-$C7)*설정!$B$39*설정!$B$9*설정!$B$40</f>
        <v/>
      </c>
      <c r="E7" s="15">
        <f>설정!$B$39*((-바스켓!C39*$A7+0.5*바스켓!C41*($A7/10000)^2)/100*바스켓!C49+(-바스켓!D39*$A7+0.5*바스켓!D41*($A7/10000)^2)/100*바스켓!D49+(-바스켓!E39*$A7+0.5*바스켓!E41*($A7/10000)^2)/100*바스켓!E49)</f>
        <v/>
      </c>
      <c r="F7" s="15">
        <f>-설정!$B$53*설정!$B$40</f>
        <v/>
      </c>
      <c r="G7" s="15">
        <f>$D7+$E7+$F7</f>
        <v/>
      </c>
      <c r="H7" s="15">
        <f>IFERROR($G7/설정!$B$40,0)</f>
        <v/>
      </c>
    </row>
    <row r="8">
      <c r="A8" s="42" t="n">
        <v>-60</v>
      </c>
      <c r="B8" s="9">
        <f>이론가!$B$7+$A8/100</f>
        <v/>
      </c>
      <c r="C8" s="9">
        <f>(설정!$B$6*100/($B8/100))*(1-(1/(1+($B8/100)/2))^이론가!$B$12)+100*(1/(1+($B8/100)/2))^이론가!$B$12</f>
        <v/>
      </c>
      <c r="D8" s="15">
        <f>(이론가!$B$23-$C8)*설정!$B$39*설정!$B$9*설정!$B$40</f>
        <v/>
      </c>
      <c r="E8" s="15">
        <f>설정!$B$39*((-바스켓!C39*$A8+0.5*바스켓!C41*($A8/10000)^2)/100*바스켓!C49+(-바스켓!D39*$A8+0.5*바스켓!D41*($A8/10000)^2)/100*바스켓!D49+(-바스켓!E39*$A8+0.5*바스켓!E41*($A8/10000)^2)/100*바스켓!E49)</f>
        <v/>
      </c>
      <c r="F8" s="15">
        <f>-설정!$B$53*설정!$B$40</f>
        <v/>
      </c>
      <c r="G8" s="15">
        <f>$D8+$E8+$F8</f>
        <v/>
      </c>
      <c r="H8" s="15">
        <f>IFERROR($G8/설정!$B$40,0)</f>
        <v/>
      </c>
    </row>
    <row r="9">
      <c r="A9" s="42" t="n">
        <v>-50</v>
      </c>
      <c r="B9" s="9">
        <f>이론가!$B$7+$A9/100</f>
        <v/>
      </c>
      <c r="C9" s="9">
        <f>(설정!$B$6*100/($B9/100))*(1-(1/(1+($B9/100)/2))^이론가!$B$12)+100*(1/(1+($B9/100)/2))^이론가!$B$12</f>
        <v/>
      </c>
      <c r="D9" s="15">
        <f>(이론가!$B$23-$C9)*설정!$B$39*설정!$B$9*설정!$B$40</f>
        <v/>
      </c>
      <c r="E9" s="15">
        <f>설정!$B$39*((-바스켓!C39*$A9+0.5*바스켓!C41*($A9/10000)^2)/100*바스켓!C49+(-바스켓!D39*$A9+0.5*바스켓!D41*($A9/10000)^2)/100*바스켓!D49+(-바스켓!E39*$A9+0.5*바스켓!E41*($A9/10000)^2)/100*바스켓!E49)</f>
        <v/>
      </c>
      <c r="F9" s="15">
        <f>-설정!$B$53*설정!$B$40</f>
        <v/>
      </c>
      <c r="G9" s="15">
        <f>$D9+$E9+$F9</f>
        <v/>
      </c>
      <c r="H9" s="15">
        <f>IFERROR($G9/설정!$B$40,0)</f>
        <v/>
      </c>
    </row>
    <row r="10">
      <c r="A10" s="42" t="n">
        <v>-40</v>
      </c>
      <c r="B10" s="9">
        <f>이론가!$B$7+$A10/100</f>
        <v/>
      </c>
      <c r="C10" s="9">
        <f>(설정!$B$6*100/($B10/100))*(1-(1/(1+($B10/100)/2))^이론가!$B$12)+100*(1/(1+($B10/100)/2))^이론가!$B$12</f>
        <v/>
      </c>
      <c r="D10" s="15">
        <f>(이론가!$B$23-$C10)*설정!$B$39*설정!$B$9*설정!$B$40</f>
        <v/>
      </c>
      <c r="E10" s="15">
        <f>설정!$B$39*((-바스켓!C39*$A10+0.5*바스켓!C41*($A10/10000)^2)/100*바스켓!C49+(-바스켓!D39*$A10+0.5*바스켓!D41*($A10/10000)^2)/100*바스켓!D49+(-바스켓!E39*$A10+0.5*바스켓!E41*($A10/10000)^2)/100*바스켓!E49)</f>
        <v/>
      </c>
      <c r="F10" s="15">
        <f>-설정!$B$53*설정!$B$40</f>
        <v/>
      </c>
      <c r="G10" s="15">
        <f>$D10+$E10+$F10</f>
        <v/>
      </c>
      <c r="H10" s="15">
        <f>IFERROR($G10/설정!$B$40,0)</f>
        <v/>
      </c>
    </row>
    <row r="11">
      <c r="A11" s="42" t="n">
        <v>-30</v>
      </c>
      <c r="B11" s="9">
        <f>이론가!$B$7+$A11/100</f>
        <v/>
      </c>
      <c r="C11" s="9">
        <f>(설정!$B$6*100/($B11/100))*(1-(1/(1+($B11/100)/2))^이론가!$B$12)+100*(1/(1+($B11/100)/2))^이론가!$B$12</f>
        <v/>
      </c>
      <c r="D11" s="15">
        <f>(이론가!$B$23-$C11)*설정!$B$39*설정!$B$9*설정!$B$40</f>
        <v/>
      </c>
      <c r="E11" s="15">
        <f>설정!$B$39*((-바스켓!C39*$A11+0.5*바스켓!C41*($A11/10000)^2)/100*바스켓!C49+(-바스켓!D39*$A11+0.5*바스켓!D41*($A11/10000)^2)/100*바스켓!D49+(-바스켓!E39*$A11+0.5*바스켓!E41*($A11/10000)^2)/100*바스켓!E49)</f>
        <v/>
      </c>
      <c r="F11" s="15">
        <f>-설정!$B$53*설정!$B$40</f>
        <v/>
      </c>
      <c r="G11" s="15">
        <f>$D11+$E11+$F11</f>
        <v/>
      </c>
      <c r="H11" s="15">
        <f>IFERROR($G11/설정!$B$40,0)</f>
        <v/>
      </c>
    </row>
    <row r="12">
      <c r="A12" s="42" t="n">
        <v>-20</v>
      </c>
      <c r="B12" s="9">
        <f>이론가!$B$7+$A12/100</f>
        <v/>
      </c>
      <c r="C12" s="9">
        <f>(설정!$B$6*100/($B12/100))*(1-(1/(1+($B12/100)/2))^이론가!$B$12)+100*(1/(1+($B12/100)/2))^이론가!$B$12</f>
        <v/>
      </c>
      <c r="D12" s="15">
        <f>(이론가!$B$23-$C12)*설정!$B$39*설정!$B$9*설정!$B$40</f>
        <v/>
      </c>
      <c r="E12" s="15">
        <f>설정!$B$39*((-바스켓!C39*$A12+0.5*바스켓!C41*($A12/10000)^2)/100*바스켓!C49+(-바스켓!D39*$A12+0.5*바스켓!D41*($A12/10000)^2)/100*바스켓!D49+(-바스켓!E39*$A12+0.5*바스켓!E41*($A12/10000)^2)/100*바스켓!E49)</f>
        <v/>
      </c>
      <c r="F12" s="15">
        <f>-설정!$B$53*설정!$B$40</f>
        <v/>
      </c>
      <c r="G12" s="15">
        <f>$D12+$E12+$F12</f>
        <v/>
      </c>
      <c r="H12" s="15">
        <f>IFERROR($G12/설정!$B$40,0)</f>
        <v/>
      </c>
    </row>
    <row r="13">
      <c r="A13" s="42" t="n">
        <v>-10</v>
      </c>
      <c r="B13" s="9">
        <f>이론가!$B$7+$A13/100</f>
        <v/>
      </c>
      <c r="C13" s="9">
        <f>(설정!$B$6*100/($B13/100))*(1-(1/(1+($B13/100)/2))^이론가!$B$12)+100*(1/(1+($B13/100)/2))^이론가!$B$12</f>
        <v/>
      </c>
      <c r="D13" s="15">
        <f>(이론가!$B$23-$C13)*설정!$B$39*설정!$B$9*설정!$B$40</f>
        <v/>
      </c>
      <c r="E13" s="15">
        <f>설정!$B$39*((-바스켓!C39*$A13+0.5*바스켓!C41*($A13/10000)^2)/100*바스켓!C49+(-바스켓!D39*$A13+0.5*바스켓!D41*($A13/10000)^2)/100*바스켓!D49+(-바스켓!E39*$A13+0.5*바스켓!E41*($A13/10000)^2)/100*바스켓!E49)</f>
        <v/>
      </c>
      <c r="F13" s="15">
        <f>-설정!$B$53*설정!$B$40</f>
        <v/>
      </c>
      <c r="G13" s="15">
        <f>$D13+$E13+$F13</f>
        <v/>
      </c>
      <c r="H13" s="15">
        <f>IFERROR($G13/설정!$B$40,0)</f>
        <v/>
      </c>
    </row>
    <row r="14">
      <c r="A14" s="43" t="n">
        <v>0</v>
      </c>
      <c r="B14" s="44">
        <f>이론가!$B$7+$A14/100</f>
        <v/>
      </c>
      <c r="C14" s="44">
        <f>(설정!$B$6*100/($B14/100))*(1-(1/(1+($B14/100)/2))^이론가!$B$12)+100*(1/(1+($B14/100)/2))^이론가!$B$12</f>
        <v/>
      </c>
      <c r="D14" s="45">
        <f>(이론가!$B$23-$C14)*설정!$B$39*설정!$B$9*설정!$B$40</f>
        <v/>
      </c>
      <c r="E14" s="45">
        <f>설정!$B$39*((-바스켓!C39*$A14+0.5*바스켓!C41*($A14/10000)^2)/100*바스켓!C49+(-바스켓!D39*$A14+0.5*바스켓!D41*($A14/10000)^2)/100*바스켓!D49+(-바스켓!E39*$A14+0.5*바스켓!E41*($A14/10000)^2)/100*바스켓!E49)</f>
        <v/>
      </c>
      <c r="F14" s="45">
        <f>-설정!$B$53*설정!$B$40</f>
        <v/>
      </c>
      <c r="G14" s="45">
        <f>$D14+$E14+$F14</f>
        <v/>
      </c>
      <c r="H14" s="45">
        <f>IFERROR($G14/설정!$B$40,0)</f>
        <v/>
      </c>
    </row>
    <row r="15">
      <c r="A15" s="42" t="n">
        <v>10</v>
      </c>
      <c r="B15" s="9">
        <f>이론가!$B$7+$A15/100</f>
        <v/>
      </c>
      <c r="C15" s="9">
        <f>(설정!$B$6*100/($B15/100))*(1-(1/(1+($B15/100)/2))^이론가!$B$12)+100*(1/(1+($B15/100)/2))^이론가!$B$12</f>
        <v/>
      </c>
      <c r="D15" s="15">
        <f>(이론가!$B$23-$C15)*설정!$B$39*설정!$B$9*설정!$B$40</f>
        <v/>
      </c>
      <c r="E15" s="15">
        <f>설정!$B$39*((-바스켓!C39*$A15+0.5*바스켓!C41*($A15/10000)^2)/100*바스켓!C49+(-바스켓!D39*$A15+0.5*바스켓!D41*($A15/10000)^2)/100*바스켓!D49+(-바스켓!E39*$A15+0.5*바스켓!E41*($A15/10000)^2)/100*바스켓!E49)</f>
        <v/>
      </c>
      <c r="F15" s="15">
        <f>-설정!$B$53*설정!$B$40</f>
        <v/>
      </c>
      <c r="G15" s="15">
        <f>$D15+$E15+$F15</f>
        <v/>
      </c>
      <c r="H15" s="15">
        <f>IFERROR($G15/설정!$B$40,0)</f>
        <v/>
      </c>
    </row>
    <row r="16">
      <c r="A16" s="42" t="n">
        <v>20</v>
      </c>
      <c r="B16" s="9">
        <f>이론가!$B$7+$A16/100</f>
        <v/>
      </c>
      <c r="C16" s="9">
        <f>(설정!$B$6*100/($B16/100))*(1-(1/(1+($B16/100)/2))^이론가!$B$12)+100*(1/(1+($B16/100)/2))^이론가!$B$12</f>
        <v/>
      </c>
      <c r="D16" s="15">
        <f>(이론가!$B$23-$C16)*설정!$B$39*설정!$B$9*설정!$B$40</f>
        <v/>
      </c>
      <c r="E16" s="15">
        <f>설정!$B$39*((-바스켓!C39*$A16+0.5*바스켓!C41*($A16/10000)^2)/100*바스켓!C49+(-바스켓!D39*$A16+0.5*바스켓!D41*($A16/10000)^2)/100*바스켓!D49+(-바스켓!E39*$A16+0.5*바스켓!E41*($A16/10000)^2)/100*바스켓!E49)</f>
        <v/>
      </c>
      <c r="F16" s="15">
        <f>-설정!$B$53*설정!$B$40</f>
        <v/>
      </c>
      <c r="G16" s="15">
        <f>$D16+$E16+$F16</f>
        <v/>
      </c>
      <c r="H16" s="15">
        <f>IFERROR($G16/설정!$B$40,0)</f>
        <v/>
      </c>
    </row>
    <row r="17">
      <c r="A17" s="42" t="n">
        <v>30</v>
      </c>
      <c r="B17" s="9">
        <f>이론가!$B$7+$A17/100</f>
        <v/>
      </c>
      <c r="C17" s="9">
        <f>(설정!$B$6*100/($B17/100))*(1-(1/(1+($B17/100)/2))^이론가!$B$12)+100*(1/(1+($B17/100)/2))^이론가!$B$12</f>
        <v/>
      </c>
      <c r="D17" s="15">
        <f>(이론가!$B$23-$C17)*설정!$B$39*설정!$B$9*설정!$B$40</f>
        <v/>
      </c>
      <c r="E17" s="15">
        <f>설정!$B$39*((-바스켓!C39*$A17+0.5*바스켓!C41*($A17/10000)^2)/100*바스켓!C49+(-바스켓!D39*$A17+0.5*바스켓!D41*($A17/10000)^2)/100*바스켓!D49+(-바스켓!E39*$A17+0.5*바스켓!E41*($A17/10000)^2)/100*바스켓!E49)</f>
        <v/>
      </c>
      <c r="F17" s="15">
        <f>-설정!$B$53*설정!$B$40</f>
        <v/>
      </c>
      <c r="G17" s="15">
        <f>$D17+$E17+$F17</f>
        <v/>
      </c>
      <c r="H17" s="15">
        <f>IFERROR($G17/설정!$B$40,0)</f>
        <v/>
      </c>
    </row>
    <row r="18">
      <c r="A18" s="42" t="n">
        <v>40</v>
      </c>
      <c r="B18" s="9">
        <f>이론가!$B$7+$A18/100</f>
        <v/>
      </c>
      <c r="C18" s="9">
        <f>(설정!$B$6*100/($B18/100))*(1-(1/(1+($B18/100)/2))^이론가!$B$12)+100*(1/(1+($B18/100)/2))^이론가!$B$12</f>
        <v/>
      </c>
      <c r="D18" s="15">
        <f>(이론가!$B$23-$C18)*설정!$B$39*설정!$B$9*설정!$B$40</f>
        <v/>
      </c>
      <c r="E18" s="15">
        <f>설정!$B$39*((-바스켓!C39*$A18+0.5*바스켓!C41*($A18/10000)^2)/100*바스켓!C49+(-바스켓!D39*$A18+0.5*바스켓!D41*($A18/10000)^2)/100*바스켓!D49+(-바스켓!E39*$A18+0.5*바스켓!E41*($A18/10000)^2)/100*바스켓!E49)</f>
        <v/>
      </c>
      <c r="F18" s="15">
        <f>-설정!$B$53*설정!$B$40</f>
        <v/>
      </c>
      <c r="G18" s="15">
        <f>$D18+$E18+$F18</f>
        <v/>
      </c>
      <c r="H18" s="15">
        <f>IFERROR($G18/설정!$B$40,0)</f>
        <v/>
      </c>
    </row>
    <row r="19">
      <c r="A19" s="42" t="n">
        <v>50</v>
      </c>
      <c r="B19" s="9">
        <f>이론가!$B$7+$A19/100</f>
        <v/>
      </c>
      <c r="C19" s="9">
        <f>(설정!$B$6*100/($B19/100))*(1-(1/(1+($B19/100)/2))^이론가!$B$12)+100*(1/(1+($B19/100)/2))^이론가!$B$12</f>
        <v/>
      </c>
      <c r="D19" s="15">
        <f>(이론가!$B$23-$C19)*설정!$B$39*설정!$B$9*설정!$B$40</f>
        <v/>
      </c>
      <c r="E19" s="15">
        <f>설정!$B$39*((-바스켓!C39*$A19+0.5*바스켓!C41*($A19/10000)^2)/100*바스켓!C49+(-바스켓!D39*$A19+0.5*바스켓!D41*($A19/10000)^2)/100*바스켓!D49+(-바스켓!E39*$A19+0.5*바스켓!E41*($A19/10000)^2)/100*바스켓!E49)</f>
        <v/>
      </c>
      <c r="F19" s="15">
        <f>-설정!$B$53*설정!$B$40</f>
        <v/>
      </c>
      <c r="G19" s="15">
        <f>$D19+$E19+$F19</f>
        <v/>
      </c>
      <c r="H19" s="15">
        <f>IFERROR($G19/설정!$B$40,0)</f>
        <v/>
      </c>
    </row>
    <row r="20">
      <c r="A20" s="42" t="n">
        <v>60</v>
      </c>
      <c r="B20" s="9">
        <f>이론가!$B$7+$A20/100</f>
        <v/>
      </c>
      <c r="C20" s="9">
        <f>(설정!$B$6*100/($B20/100))*(1-(1/(1+($B20/100)/2))^이론가!$B$12)+100*(1/(1+($B20/100)/2))^이론가!$B$12</f>
        <v/>
      </c>
      <c r="D20" s="15">
        <f>(이론가!$B$23-$C20)*설정!$B$39*설정!$B$9*설정!$B$40</f>
        <v/>
      </c>
      <c r="E20" s="15">
        <f>설정!$B$39*((-바스켓!C39*$A20+0.5*바스켓!C41*($A20/10000)^2)/100*바스켓!C49+(-바스켓!D39*$A20+0.5*바스켓!D41*($A20/10000)^2)/100*바스켓!D49+(-바스켓!E39*$A20+0.5*바스켓!E41*($A20/10000)^2)/100*바스켓!E49)</f>
        <v/>
      </c>
      <c r="F20" s="15">
        <f>-설정!$B$53*설정!$B$40</f>
        <v/>
      </c>
      <c r="G20" s="15">
        <f>$D20+$E20+$F20</f>
        <v/>
      </c>
      <c r="H20" s="15">
        <f>IFERROR($G20/설정!$B$40,0)</f>
        <v/>
      </c>
    </row>
    <row r="21">
      <c r="A21" s="42" t="n">
        <v>70</v>
      </c>
      <c r="B21" s="9">
        <f>이론가!$B$7+$A21/100</f>
        <v/>
      </c>
      <c r="C21" s="9">
        <f>(설정!$B$6*100/($B21/100))*(1-(1/(1+($B21/100)/2))^이론가!$B$12)+100*(1/(1+($B21/100)/2))^이론가!$B$12</f>
        <v/>
      </c>
      <c r="D21" s="15">
        <f>(이론가!$B$23-$C21)*설정!$B$39*설정!$B$9*설정!$B$40</f>
        <v/>
      </c>
      <c r="E21" s="15">
        <f>설정!$B$39*((-바스켓!C39*$A21+0.5*바스켓!C41*($A21/10000)^2)/100*바스켓!C49+(-바스켓!D39*$A21+0.5*바스켓!D41*($A21/10000)^2)/100*바스켓!D49+(-바스켓!E39*$A21+0.5*바스켓!E41*($A21/10000)^2)/100*바스켓!E49)</f>
        <v/>
      </c>
      <c r="F21" s="15">
        <f>-설정!$B$53*설정!$B$40</f>
        <v/>
      </c>
      <c r="G21" s="15">
        <f>$D21+$E21+$F21</f>
        <v/>
      </c>
      <c r="H21" s="15">
        <f>IFERROR($G21/설정!$B$40,0)</f>
        <v/>
      </c>
    </row>
    <row r="22">
      <c r="A22" s="42" t="n">
        <v>80</v>
      </c>
      <c r="B22" s="9">
        <f>이론가!$B$7+$A22/100</f>
        <v/>
      </c>
      <c r="C22" s="9">
        <f>(설정!$B$6*100/($B22/100))*(1-(1/(1+($B22/100)/2))^이론가!$B$12)+100*(1/(1+($B22/100)/2))^이론가!$B$12</f>
        <v/>
      </c>
      <c r="D22" s="15">
        <f>(이론가!$B$23-$C22)*설정!$B$39*설정!$B$9*설정!$B$40</f>
        <v/>
      </c>
      <c r="E22" s="15">
        <f>설정!$B$39*((-바스켓!C39*$A22+0.5*바스켓!C41*($A22/10000)^2)/100*바스켓!C49+(-바스켓!D39*$A22+0.5*바스켓!D41*($A22/10000)^2)/100*바스켓!D49+(-바스켓!E39*$A22+0.5*바스켓!E41*($A22/10000)^2)/100*바스켓!E49)</f>
        <v/>
      </c>
      <c r="F22" s="15">
        <f>-설정!$B$53*설정!$B$40</f>
        <v/>
      </c>
      <c r="G22" s="15">
        <f>$D22+$E22+$F22</f>
        <v/>
      </c>
      <c r="H22" s="15">
        <f>IFERROR($G22/설정!$B$40,0)</f>
        <v/>
      </c>
    </row>
    <row r="23">
      <c r="A23" s="42" t="n">
        <v>90</v>
      </c>
      <c r="B23" s="9">
        <f>이론가!$B$7+$A23/100</f>
        <v/>
      </c>
      <c r="C23" s="9">
        <f>(설정!$B$6*100/($B23/100))*(1-(1/(1+($B23/100)/2))^이론가!$B$12)+100*(1/(1+($B23/100)/2))^이론가!$B$12</f>
        <v/>
      </c>
      <c r="D23" s="15">
        <f>(이론가!$B$23-$C23)*설정!$B$39*설정!$B$9*설정!$B$40</f>
        <v/>
      </c>
      <c r="E23" s="15">
        <f>설정!$B$39*((-바스켓!C39*$A23+0.5*바스켓!C41*($A23/10000)^2)/100*바스켓!C49+(-바스켓!D39*$A23+0.5*바스켓!D41*($A23/10000)^2)/100*바스켓!D49+(-바스켓!E39*$A23+0.5*바스켓!E41*($A23/10000)^2)/100*바스켓!E49)</f>
        <v/>
      </c>
      <c r="F23" s="15">
        <f>-설정!$B$53*설정!$B$40</f>
        <v/>
      </c>
      <c r="G23" s="15">
        <f>$D23+$E23+$F23</f>
        <v/>
      </c>
      <c r="H23" s="15">
        <f>IFERROR($G23/설정!$B$40,0)</f>
        <v/>
      </c>
    </row>
    <row r="24">
      <c r="A24" s="42" t="n">
        <v>100</v>
      </c>
      <c r="B24" s="9">
        <f>이론가!$B$7+$A24/100</f>
        <v/>
      </c>
      <c r="C24" s="9">
        <f>(설정!$B$6*100/($B24/100))*(1-(1/(1+($B24/100)/2))^이론가!$B$12)+100*(1/(1+($B24/100)/2))^이론가!$B$12</f>
        <v/>
      </c>
      <c r="D24" s="15">
        <f>(이론가!$B$23-$C24)*설정!$B$39*설정!$B$9*설정!$B$40</f>
        <v/>
      </c>
      <c r="E24" s="15">
        <f>설정!$B$39*((-바스켓!C39*$A24+0.5*바스켓!C41*($A24/10000)^2)/100*바스켓!C49+(-바스켓!D39*$A24+0.5*바스켓!D41*($A24/10000)^2)/100*바스켓!D49+(-바스켓!E39*$A24+0.5*바스켓!E41*($A24/10000)^2)/100*바스켓!E49)</f>
        <v/>
      </c>
      <c r="F24" s="15">
        <f>-설정!$B$53*설정!$B$40</f>
        <v/>
      </c>
      <c r="G24" s="15">
        <f>$D24+$E24+$F24</f>
        <v/>
      </c>
      <c r="H24" s="15">
        <f>IFERROR($G24/설정!$B$40,0)</f>
        <v/>
      </c>
    </row>
    <row r="27">
      <c r="A27" s="4" t="inlineStr">
        <is>
          <t>손익 최대값</t>
        </is>
      </c>
      <c r="B27" s="22">
        <f>MAX(G4:G24)</f>
        <v/>
      </c>
      <c r="C27" s="8" t="inlineStr">
        <is>
          <t>원</t>
        </is>
      </c>
    </row>
    <row r="28">
      <c r="A28" s="4" t="inlineStr">
        <is>
          <t>손익 최소값</t>
        </is>
      </c>
      <c r="B28" s="22">
        <f>MIN(G4:G24)</f>
        <v/>
      </c>
      <c r="C28" s="8" t="inlineStr">
        <is>
          <t>원</t>
        </is>
      </c>
    </row>
    <row r="29">
      <c r="A29" s="4" t="inlineStr">
        <is>
          <t>변동폭 (헤지 잔여리스크)</t>
        </is>
      </c>
      <c r="B29" s="22">
        <f>B27-B28</f>
        <v/>
      </c>
      <c r="C29" s="8" t="inlineStr">
        <is>
          <t>원</t>
        </is>
      </c>
    </row>
    <row r="30">
      <c r="A30" s="4" t="inlineStr">
        <is>
          <t>변동폭 ÷ shift0 손익</t>
        </is>
      </c>
      <c r="B30" s="24">
        <f>IFERROR(B29/ABS(G14),0)</f>
        <v/>
      </c>
      <c r="C30" s="8" t="inlineStr">
        <is>
          <t>배</t>
        </is>
      </c>
    </row>
    <row r="31">
      <c r="A31" s="4" t="inlineStr">
        <is>
          <t>shift 0 기준 손익</t>
        </is>
      </c>
      <c r="B31" s="22">
        <f>G14</f>
        <v/>
      </c>
      <c r="C31" s="8" t="inlineStr">
        <is>
          <t>원</t>
        </is>
      </c>
    </row>
    <row r="33">
      <c r="A33" s="8" t="inlineStr">
        <is>
          <t>※ BPV 헤지가 정확하면 위 표의 '순 만기손익'은 shift와 무관하게 거의 평평해야 합니다. 잔여 변동은 컨벡시티 불일치(2차 효과)이며, 이는 헤지로 제거되지 않는 구조적 잔여리스크입니다.</t>
        </is>
      </c>
    </row>
    <row r="34">
      <c r="A34" s="8" t="inlineStr">
        <is>
          <t>※ 평행이동만 가정합니다. 바스켓 종목 간 상대수익률(커브) 변화는 종목별 BPV 헤지로 이미 중립화되어 있습니다.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F118"/>
  <sheetViews>
    <sheetView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22" customWidth="1" min="21" max="21"/>
    <col width="15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22" customWidth="1" min="41" max="41"/>
    <col width="15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</cols>
  <sheetData>
    <row r="1" ht="22" customHeight="1">
      <c r="A1" s="1" t="inlineStr">
        <is>
          <t>현금흐름 스케줄 &amp; 단가 계산 엔진  (직접 수정 금지)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4" t="inlineStr">
        <is>
          <t>만기일</t>
        </is>
      </c>
      <c r="B2" s="46">
        <f>바스켓!C7</f>
        <v/>
      </c>
      <c r="U2" s="4" t="inlineStr">
        <is>
          <t>만기일</t>
        </is>
      </c>
      <c r="V2" s="46">
        <f>바스켓!D7</f>
        <v/>
      </c>
      <c r="AO2" s="4" t="inlineStr">
        <is>
          <t>만기일</t>
        </is>
      </c>
      <c r="AP2" s="46">
        <f>바스켓!E7</f>
        <v/>
      </c>
    </row>
    <row r="3">
      <c r="A3" s="4" t="inlineStr">
        <is>
          <t>발행일</t>
        </is>
      </c>
      <c r="B3" s="46">
        <f>바스켓!C6</f>
        <v/>
      </c>
      <c r="U3" s="4" t="inlineStr">
        <is>
          <t>발행일</t>
        </is>
      </c>
      <c r="V3" s="46">
        <f>바스켓!D6</f>
        <v/>
      </c>
      <c r="AO3" s="4" t="inlineStr">
        <is>
          <t>발행일</t>
        </is>
      </c>
      <c r="AP3" s="46">
        <f>바스켓!E6</f>
        <v/>
      </c>
    </row>
    <row r="4">
      <c r="A4" s="4" t="inlineStr">
        <is>
          <t>표면금리(소수)</t>
        </is>
      </c>
      <c r="B4" s="47">
        <f>바스켓!C8/100</f>
        <v/>
      </c>
      <c r="U4" s="4" t="inlineStr">
        <is>
          <t>표면금리(소수)</t>
        </is>
      </c>
      <c r="V4" s="47">
        <f>바스켓!D8/100</f>
        <v/>
      </c>
      <c r="AO4" s="4" t="inlineStr">
        <is>
          <t>표면금리(소수)</t>
        </is>
      </c>
      <c r="AP4" s="47">
        <f>바스켓!E8/100</f>
        <v/>
      </c>
    </row>
    <row r="5">
      <c r="A5" s="4" t="inlineStr">
        <is>
          <t>반기 쿠폰액</t>
        </is>
      </c>
      <c r="B5" s="28">
        <f>B4*100/바스켓!C9</f>
        <v/>
      </c>
      <c r="U5" s="4" t="inlineStr">
        <is>
          <t>반기 쿠폰액</t>
        </is>
      </c>
      <c r="V5" s="28">
        <f>V4*100/바스켓!D9</f>
        <v/>
      </c>
      <c r="AO5" s="4" t="inlineStr">
        <is>
          <t>반기 쿠폰액</t>
        </is>
      </c>
      <c r="AP5" s="28">
        <f>AP4*100/바스켓!E9</f>
        <v/>
      </c>
    </row>
    <row r="6">
      <c r="A6" s="4" t="inlineStr">
        <is>
          <t>현물결제일 S0</t>
        </is>
      </c>
      <c r="B6" s="46">
        <f>설정!$B$27</f>
        <v/>
      </c>
      <c r="U6" s="4" t="inlineStr">
        <is>
          <t>현물결제일 S0</t>
        </is>
      </c>
      <c r="V6" s="46">
        <f>설정!$B$27</f>
        <v/>
      </c>
      <c r="AO6" s="4" t="inlineStr">
        <is>
          <t>현물결제일 S0</t>
        </is>
      </c>
      <c r="AP6" s="46">
        <f>설정!$B$27</f>
        <v/>
      </c>
    </row>
    <row r="7">
      <c r="A7" s="4" t="inlineStr">
        <is>
          <t>최종결제일 H</t>
        </is>
      </c>
      <c r="B7" s="46">
        <f>설정!$B$21</f>
        <v/>
      </c>
      <c r="U7" s="4" t="inlineStr">
        <is>
          <t>최종결제일 H</t>
        </is>
      </c>
      <c r="V7" s="46">
        <f>설정!$B$21</f>
        <v/>
      </c>
      <c r="AO7" s="4" t="inlineStr">
        <is>
          <t>최종결제일 H</t>
        </is>
      </c>
      <c r="AP7" s="46">
        <f>설정!$B$21</f>
        <v/>
      </c>
    </row>
    <row r="8">
      <c r="A8" s="4" t="inlineStr">
        <is>
          <t>현물 수익률(소수)</t>
        </is>
      </c>
      <c r="B8" s="48">
        <f>바스켓!C17</f>
        <v/>
      </c>
      <c r="U8" s="4" t="inlineStr">
        <is>
          <t>현물 수익률(소수)</t>
        </is>
      </c>
      <c r="V8" s="48">
        <f>바스켓!D17</f>
        <v/>
      </c>
      <c r="AO8" s="4" t="inlineStr">
        <is>
          <t>현물 수익률(소수)</t>
        </is>
      </c>
      <c r="AP8" s="48">
        <f>바스켓!E17</f>
        <v/>
      </c>
    </row>
    <row r="9">
      <c r="A9" s="4" t="inlineStr">
        <is>
          <t>조달금리(소수)</t>
        </is>
      </c>
      <c r="B9" s="48">
        <f>설정!$B$32</f>
        <v/>
      </c>
      <c r="U9" s="4" t="inlineStr">
        <is>
          <t>조달금리(소수)</t>
        </is>
      </c>
      <c r="V9" s="48">
        <f>설정!$B$32</f>
        <v/>
      </c>
      <c r="AO9" s="4" t="inlineStr">
        <is>
          <t>조달금리(소수)</t>
        </is>
      </c>
      <c r="AP9" s="48">
        <f>설정!$B$32</f>
        <v/>
      </c>
    </row>
    <row r="10">
      <c r="A10" s="4" t="inlineStr">
        <is>
          <t>재투자금리(소수)</t>
        </is>
      </c>
      <c r="B10" s="48">
        <f>설정!$B$34</f>
        <v/>
      </c>
      <c r="U10" s="4" t="inlineStr">
        <is>
          <t>재투자금리(소수)</t>
        </is>
      </c>
      <c r="V10" s="48">
        <f>설정!$B$34</f>
        <v/>
      </c>
      <c r="AO10" s="4" t="inlineStr">
        <is>
          <t>재투자금리(소수)</t>
        </is>
      </c>
      <c r="AP10" s="48">
        <f>설정!$B$34</f>
        <v/>
      </c>
    </row>
    <row r="11">
      <c r="A11" s="4" t="inlineStr">
        <is>
          <t>이자일수기준</t>
        </is>
      </c>
      <c r="B11" s="36">
        <f>설정!$B$35</f>
        <v/>
      </c>
      <c r="U11" s="4" t="inlineStr">
        <is>
          <t>이자일수기준</t>
        </is>
      </c>
      <c r="V11" s="36">
        <f>설정!$B$35</f>
        <v/>
      </c>
      <c r="AO11" s="4" t="inlineStr">
        <is>
          <t>이자일수기준</t>
        </is>
      </c>
      <c r="AP11" s="36">
        <f>설정!$B$35</f>
        <v/>
      </c>
    </row>
    <row r="12">
      <c r="A12" s="3" t="inlineStr">
        <is>
          <t>■ 종목1 이표 스케줄</t>
        </is>
      </c>
      <c r="U12" s="3" t="inlineStr">
        <is>
          <t>■ 종목2 이표 스케줄</t>
        </is>
      </c>
      <c r="AO12" s="3" t="inlineStr">
        <is>
          <t>■ 종목3 이표 스케줄</t>
        </is>
      </c>
    </row>
    <row r="14">
      <c r="A14" s="41" t="inlineStr">
        <is>
          <t>k</t>
        </is>
      </c>
      <c r="B14" s="41" t="inlineStr">
        <is>
          <t>이표일</t>
        </is>
      </c>
      <c r="C14" s="41" t="inlineStr">
        <is>
          <t>CF(100기준)</t>
        </is>
      </c>
      <c r="D14" s="41" t="inlineStr">
        <is>
          <t>현물포함</t>
        </is>
      </c>
      <c r="E14" s="41" t="inlineStr">
        <is>
          <t>현물idx</t>
        </is>
      </c>
      <c r="F14" s="41" t="inlineStr">
        <is>
          <t>PV@y</t>
        </is>
      </c>
      <c r="G14" s="41" t="inlineStr">
        <is>
          <t>PV@y+1bp</t>
        </is>
      </c>
      <c r="H14" s="41" t="inlineStr">
        <is>
          <t>PV@y-1bp</t>
        </is>
      </c>
      <c r="I14" s="41" t="inlineStr">
        <is>
          <t>선도포함</t>
        </is>
      </c>
      <c r="J14" s="41" t="inlineStr">
        <is>
          <t>선도idx</t>
        </is>
      </c>
      <c r="K14" s="41" t="inlineStr">
        <is>
          <t>PV_H@y0</t>
        </is>
      </c>
      <c r="L14" s="41" t="inlineStr">
        <is>
          <t>PV_H@y0+</t>
        </is>
      </c>
      <c r="M14" s="41" t="inlineStr">
        <is>
          <t>PV_H@y0-</t>
        </is>
      </c>
      <c r="N14" s="41" t="inlineStr">
        <is>
          <t>PV_H@y1</t>
        </is>
      </c>
      <c r="O14" s="41" t="inlineStr">
        <is>
          <t>PV_H@y2</t>
        </is>
      </c>
      <c r="P14" s="41" t="inlineStr">
        <is>
          <t>PV_H@y2+</t>
        </is>
      </c>
      <c r="Q14" s="41" t="inlineStr">
        <is>
          <t>PV_H@y2-</t>
        </is>
      </c>
      <c r="R14" s="41" t="inlineStr">
        <is>
          <t>쿠폰재투자FV</t>
        </is>
      </c>
      <c r="U14" s="41" t="inlineStr">
        <is>
          <t>k</t>
        </is>
      </c>
      <c r="V14" s="41" t="inlineStr">
        <is>
          <t>이표일</t>
        </is>
      </c>
      <c r="W14" s="41" t="inlineStr">
        <is>
          <t>CF(100기준)</t>
        </is>
      </c>
      <c r="X14" s="41" t="inlineStr">
        <is>
          <t>현물포함</t>
        </is>
      </c>
      <c r="Y14" s="41" t="inlineStr">
        <is>
          <t>현물idx</t>
        </is>
      </c>
      <c r="Z14" s="41" t="inlineStr">
        <is>
          <t>PV@y</t>
        </is>
      </c>
      <c r="AA14" s="41" t="inlineStr">
        <is>
          <t>PV@y+1bp</t>
        </is>
      </c>
      <c r="AB14" s="41" t="inlineStr">
        <is>
          <t>PV@y-1bp</t>
        </is>
      </c>
      <c r="AC14" s="41" t="inlineStr">
        <is>
          <t>선도포함</t>
        </is>
      </c>
      <c r="AD14" s="41" t="inlineStr">
        <is>
          <t>선도idx</t>
        </is>
      </c>
      <c r="AE14" s="41" t="inlineStr">
        <is>
          <t>PV_H@y0</t>
        </is>
      </c>
      <c r="AF14" s="41" t="inlineStr">
        <is>
          <t>PV_H@y0+</t>
        </is>
      </c>
      <c r="AG14" s="41" t="inlineStr">
        <is>
          <t>PV_H@y0-</t>
        </is>
      </c>
      <c r="AH14" s="41" t="inlineStr">
        <is>
          <t>PV_H@y1</t>
        </is>
      </c>
      <c r="AI14" s="41" t="inlineStr">
        <is>
          <t>PV_H@y2</t>
        </is>
      </c>
      <c r="AJ14" s="41" t="inlineStr">
        <is>
          <t>PV_H@y2+</t>
        </is>
      </c>
      <c r="AK14" s="41" t="inlineStr">
        <is>
          <t>PV_H@y2-</t>
        </is>
      </c>
      <c r="AL14" s="41" t="inlineStr">
        <is>
          <t>쿠폰재투자FV</t>
        </is>
      </c>
      <c r="AO14" s="41" t="inlineStr">
        <is>
          <t>k</t>
        </is>
      </c>
      <c r="AP14" s="41" t="inlineStr">
        <is>
          <t>이표일</t>
        </is>
      </c>
      <c r="AQ14" s="41" t="inlineStr">
        <is>
          <t>CF(100기준)</t>
        </is>
      </c>
      <c r="AR14" s="41" t="inlineStr">
        <is>
          <t>현물포함</t>
        </is>
      </c>
      <c r="AS14" s="41" t="inlineStr">
        <is>
          <t>현물idx</t>
        </is>
      </c>
      <c r="AT14" s="41" t="inlineStr">
        <is>
          <t>PV@y</t>
        </is>
      </c>
      <c r="AU14" s="41" t="inlineStr">
        <is>
          <t>PV@y+1bp</t>
        </is>
      </c>
      <c r="AV14" s="41" t="inlineStr">
        <is>
          <t>PV@y-1bp</t>
        </is>
      </c>
      <c r="AW14" s="41" t="inlineStr">
        <is>
          <t>선도포함</t>
        </is>
      </c>
      <c r="AX14" s="41" t="inlineStr">
        <is>
          <t>선도idx</t>
        </is>
      </c>
      <c r="AY14" s="41" t="inlineStr">
        <is>
          <t>PV_H@y0</t>
        </is>
      </c>
      <c r="AZ14" s="41" t="inlineStr">
        <is>
          <t>PV_H@y0+</t>
        </is>
      </c>
      <c r="BA14" s="41" t="inlineStr">
        <is>
          <t>PV_H@y0-</t>
        </is>
      </c>
      <c r="BB14" s="41" t="inlineStr">
        <is>
          <t>PV_H@y1</t>
        </is>
      </c>
      <c r="BC14" s="41" t="inlineStr">
        <is>
          <t>PV_H@y2</t>
        </is>
      </c>
      <c r="BD14" s="41" t="inlineStr">
        <is>
          <t>PV_H@y2+</t>
        </is>
      </c>
      <c r="BE14" s="41" t="inlineStr">
        <is>
          <t>PV_H@y2-</t>
        </is>
      </c>
      <c r="BF14" s="41" t="inlineStr">
        <is>
          <t>쿠폰재투자FV</t>
        </is>
      </c>
    </row>
    <row r="15">
      <c r="A15" s="49" t="n">
        <v>1</v>
      </c>
      <c r="B15" s="50">
        <f>EDATE($B$2,-6*(62-$A15))</f>
        <v/>
      </c>
      <c r="C15" s="51">
        <f>IF(AND(B15&gt;$B$3,B15&lt;=$B$2),IF(B15=$B$2,$B$5+100,$B$5),0)</f>
        <v/>
      </c>
      <c r="D15" s="49">
        <f>IF(AND($C15&gt;0,B15&gt;$B$6),1,0)</f>
        <v/>
      </c>
      <c r="E15" s="49">
        <f>IF(D15=1,SUM($D$15:D15),"")</f>
        <v/>
      </c>
      <c r="F15" s="51">
        <f>IF(D15=1,$C15/(1+$B$8/2)^(E15-1),0)</f>
        <v/>
      </c>
      <c r="G15" s="51">
        <f>IF(D15=1,$C15/(1+($B$8+0.0001)/2)^(E15-1),0)</f>
        <v/>
      </c>
      <c r="H15" s="51">
        <f>IF(D15=1,$C15/(1+($B$8-0.0001)/2)^(E15-1),0)</f>
        <v/>
      </c>
      <c r="I15" s="49">
        <f>IF(AND($C15&gt;0,B15&gt;$B$7),1,0)</f>
        <v/>
      </c>
      <c r="J15" s="49">
        <f>IF(I15=1,SUM($I$15:I15),"")</f>
        <v/>
      </c>
      <c r="K15" s="51">
        <f>IF(I15=1,$C15/(1+$B$104/2)^(J15-1),0)</f>
        <v/>
      </c>
      <c r="L15" s="51">
        <f>IF(I15=1,$C15/(1+($B$104+0.0001)/2)^(J15-1),0)</f>
        <v/>
      </c>
      <c r="M15" s="51">
        <f>IF(I15=1,$C15/(1+($B$104-0.0001)/2)^(J15-1),0)</f>
        <v/>
      </c>
      <c r="N15" s="51">
        <f>IF(I15=1,$C15/(1+$B$109/2)^(J15-1),0)</f>
        <v/>
      </c>
      <c r="O15" s="51">
        <f>IF(I15=1,$C15/(1+$B$111/2)^(J15-1),0)</f>
        <v/>
      </c>
      <c r="P15" s="51">
        <f>IF(I15=1,$C15/(1+($B$111+0.0001)/2)^(J15-1),0)</f>
        <v/>
      </c>
      <c r="Q15" s="51">
        <f>IF(I15=1,$C15/(1+($B$111-0.0001)/2)^(J15-1),0)</f>
        <v/>
      </c>
      <c r="R15" s="51">
        <f>IF(AND($C15&gt;0,B15&gt;$B$6,B15&lt;=$B$7),$C15*(1+$B$10*($B$7-B15)/365),0)</f>
        <v/>
      </c>
      <c r="U15" s="49" t="n">
        <v>1</v>
      </c>
      <c r="V15" s="50">
        <f>EDATE($V$2,-6*(62-$U15))</f>
        <v/>
      </c>
      <c r="W15" s="51">
        <f>IF(AND(V15&gt;$V$3,V15&lt;=$V$2),IF(V15=$V$2,$V$5+100,$V$5),0)</f>
        <v/>
      </c>
      <c r="X15" s="49">
        <f>IF(AND($W15&gt;0,V15&gt;$V$6),1,0)</f>
        <v/>
      </c>
      <c r="Y15" s="49">
        <f>IF(X15=1,SUM($X$15:X15),"")</f>
        <v/>
      </c>
      <c r="Z15" s="51">
        <f>IF(X15=1,$W15/(1+$V$8/2)^(Y15-1),0)</f>
        <v/>
      </c>
      <c r="AA15" s="51">
        <f>IF(X15=1,$W15/(1+($V$8+0.0001)/2)^(Y15-1),0)</f>
        <v/>
      </c>
      <c r="AB15" s="51">
        <f>IF(X15=1,$W15/(1+($V$8-0.0001)/2)^(Y15-1),0)</f>
        <v/>
      </c>
      <c r="AC15" s="49">
        <f>IF(AND($W15&gt;0,V15&gt;$V$7),1,0)</f>
        <v/>
      </c>
      <c r="AD15" s="49">
        <f>IF(AC15=1,SUM($AC$15:AC15),"")</f>
        <v/>
      </c>
      <c r="AE15" s="51">
        <f>IF(AC15=1,$W15/(1+$V$104/2)^(AD15-1),0)</f>
        <v/>
      </c>
      <c r="AF15" s="51">
        <f>IF(AC15=1,$W15/(1+($V$104+0.0001)/2)^(AD15-1),0)</f>
        <v/>
      </c>
      <c r="AG15" s="51">
        <f>IF(AC15=1,$W15/(1+($V$104-0.0001)/2)^(AD15-1),0)</f>
        <v/>
      </c>
      <c r="AH15" s="51">
        <f>IF(AC15=1,$W15/(1+$V$109/2)^(AD15-1),0)</f>
        <v/>
      </c>
      <c r="AI15" s="51">
        <f>IF(AC15=1,$W15/(1+$V$111/2)^(AD15-1),0)</f>
        <v/>
      </c>
      <c r="AJ15" s="51">
        <f>IF(AC15=1,$W15/(1+($V$111+0.0001)/2)^(AD15-1),0)</f>
        <v/>
      </c>
      <c r="AK15" s="51">
        <f>IF(AC15=1,$W15/(1+($V$111-0.0001)/2)^(AD15-1),0)</f>
        <v/>
      </c>
      <c r="AL15" s="51">
        <f>IF(AND($W15&gt;0,V15&gt;$V$6,V15&lt;=$V$7),$W15*(1+$V$10*($V$7-V15)/365),0)</f>
        <v/>
      </c>
      <c r="AO15" s="49" t="n">
        <v>1</v>
      </c>
      <c r="AP15" s="50">
        <f>EDATE($AP$2,-6*(62-$AO15))</f>
        <v/>
      </c>
      <c r="AQ15" s="51">
        <f>IF(AND(AP15&gt;$AP$3,AP15&lt;=$AP$2),IF(AP15=$AP$2,$AP$5+100,$AP$5),0)</f>
        <v/>
      </c>
      <c r="AR15" s="49">
        <f>IF(AND($AQ15&gt;0,AP15&gt;$AP$6),1,0)</f>
        <v/>
      </c>
      <c r="AS15" s="49">
        <f>IF(AR15=1,SUM($AR$15:AR15),"")</f>
        <v/>
      </c>
      <c r="AT15" s="51">
        <f>IF(AR15=1,$AQ15/(1+$AP$8/2)^(AS15-1),0)</f>
        <v/>
      </c>
      <c r="AU15" s="51">
        <f>IF(AR15=1,$AQ15/(1+($AP$8+0.0001)/2)^(AS15-1),0)</f>
        <v/>
      </c>
      <c r="AV15" s="51">
        <f>IF(AR15=1,$AQ15/(1+($AP$8-0.0001)/2)^(AS15-1),0)</f>
        <v/>
      </c>
      <c r="AW15" s="49">
        <f>IF(AND($AQ15&gt;0,AP15&gt;$AP$7),1,0)</f>
        <v/>
      </c>
      <c r="AX15" s="49">
        <f>IF(AW15=1,SUM($AW$15:AW15),"")</f>
        <v/>
      </c>
      <c r="AY15" s="51">
        <f>IF(AW15=1,$AQ15/(1+$AP$104/2)^(AX15-1),0)</f>
        <v/>
      </c>
      <c r="AZ15" s="51">
        <f>IF(AW15=1,$AQ15/(1+($AP$104+0.0001)/2)^(AX15-1),0)</f>
        <v/>
      </c>
      <c r="BA15" s="51">
        <f>IF(AW15=1,$AQ15/(1+($AP$104-0.0001)/2)^(AX15-1),0)</f>
        <v/>
      </c>
      <c r="BB15" s="51">
        <f>IF(AW15=1,$AQ15/(1+$AP$109/2)^(AX15-1),0)</f>
        <v/>
      </c>
      <c r="BC15" s="51">
        <f>IF(AW15=1,$AQ15/(1+$AP$111/2)^(AX15-1),0)</f>
        <v/>
      </c>
      <c r="BD15" s="51">
        <f>IF(AW15=1,$AQ15/(1+($AP$111+0.0001)/2)^(AX15-1),0)</f>
        <v/>
      </c>
      <c r="BE15" s="51">
        <f>IF(AW15=1,$AQ15/(1+($AP$111-0.0001)/2)^(AX15-1),0)</f>
        <v/>
      </c>
      <c r="BF15" s="51">
        <f>IF(AND($AQ15&gt;0,AP15&gt;$AP$6,AP15&lt;=$AP$7),$AQ15*(1+$AP$10*($AP$7-AP15)/365),0)</f>
        <v/>
      </c>
    </row>
    <row r="16">
      <c r="A16" s="49" t="n">
        <v>2</v>
      </c>
      <c r="B16" s="50">
        <f>EDATE($B$2,-6*(62-$A16))</f>
        <v/>
      </c>
      <c r="C16" s="51">
        <f>IF(AND(B16&gt;$B$3,B16&lt;=$B$2),IF(B16=$B$2,$B$5+100,$B$5),0)</f>
        <v/>
      </c>
      <c r="D16" s="49">
        <f>IF(AND($C16&gt;0,B16&gt;$B$6),1,0)</f>
        <v/>
      </c>
      <c r="E16" s="49">
        <f>IF(D16=1,SUM($D$15:D16),"")</f>
        <v/>
      </c>
      <c r="F16" s="51">
        <f>IF(D16=1,$C16/(1+$B$8/2)^(E16-1),0)</f>
        <v/>
      </c>
      <c r="G16" s="51">
        <f>IF(D16=1,$C16/(1+($B$8+0.0001)/2)^(E16-1),0)</f>
        <v/>
      </c>
      <c r="H16" s="51">
        <f>IF(D16=1,$C16/(1+($B$8-0.0001)/2)^(E16-1),0)</f>
        <v/>
      </c>
      <c r="I16" s="49">
        <f>IF(AND($C16&gt;0,B16&gt;$B$7),1,0)</f>
        <v/>
      </c>
      <c r="J16" s="49">
        <f>IF(I16=1,SUM($I$15:I16),"")</f>
        <v/>
      </c>
      <c r="K16" s="51">
        <f>IF(I16=1,$C16/(1+$B$104/2)^(J16-1),0)</f>
        <v/>
      </c>
      <c r="L16" s="51">
        <f>IF(I16=1,$C16/(1+($B$104+0.0001)/2)^(J16-1),0)</f>
        <v/>
      </c>
      <c r="M16" s="51">
        <f>IF(I16=1,$C16/(1+($B$104-0.0001)/2)^(J16-1),0)</f>
        <v/>
      </c>
      <c r="N16" s="51">
        <f>IF(I16=1,$C16/(1+$B$109/2)^(J16-1),0)</f>
        <v/>
      </c>
      <c r="O16" s="51">
        <f>IF(I16=1,$C16/(1+$B$111/2)^(J16-1),0)</f>
        <v/>
      </c>
      <c r="P16" s="51">
        <f>IF(I16=1,$C16/(1+($B$111+0.0001)/2)^(J16-1),0)</f>
        <v/>
      </c>
      <c r="Q16" s="51">
        <f>IF(I16=1,$C16/(1+($B$111-0.0001)/2)^(J16-1),0)</f>
        <v/>
      </c>
      <c r="R16" s="51">
        <f>IF(AND($C16&gt;0,B16&gt;$B$6,B16&lt;=$B$7),$C16*(1+$B$10*($B$7-B16)/365),0)</f>
        <v/>
      </c>
      <c r="U16" s="49" t="n">
        <v>2</v>
      </c>
      <c r="V16" s="50">
        <f>EDATE($V$2,-6*(62-$U16))</f>
        <v/>
      </c>
      <c r="W16" s="51">
        <f>IF(AND(V16&gt;$V$3,V16&lt;=$V$2),IF(V16=$V$2,$V$5+100,$V$5),0)</f>
        <v/>
      </c>
      <c r="X16" s="49">
        <f>IF(AND($W16&gt;0,V16&gt;$V$6),1,0)</f>
        <v/>
      </c>
      <c r="Y16" s="49">
        <f>IF(X16=1,SUM($X$15:X16),"")</f>
        <v/>
      </c>
      <c r="Z16" s="51">
        <f>IF(X16=1,$W16/(1+$V$8/2)^(Y16-1),0)</f>
        <v/>
      </c>
      <c r="AA16" s="51">
        <f>IF(X16=1,$W16/(1+($V$8+0.0001)/2)^(Y16-1),0)</f>
        <v/>
      </c>
      <c r="AB16" s="51">
        <f>IF(X16=1,$W16/(1+($V$8-0.0001)/2)^(Y16-1),0)</f>
        <v/>
      </c>
      <c r="AC16" s="49">
        <f>IF(AND($W16&gt;0,V16&gt;$V$7),1,0)</f>
        <v/>
      </c>
      <c r="AD16" s="49">
        <f>IF(AC16=1,SUM($AC$15:AC16),"")</f>
        <v/>
      </c>
      <c r="AE16" s="51">
        <f>IF(AC16=1,$W16/(1+$V$104/2)^(AD16-1),0)</f>
        <v/>
      </c>
      <c r="AF16" s="51">
        <f>IF(AC16=1,$W16/(1+($V$104+0.0001)/2)^(AD16-1),0)</f>
        <v/>
      </c>
      <c r="AG16" s="51">
        <f>IF(AC16=1,$W16/(1+($V$104-0.0001)/2)^(AD16-1),0)</f>
        <v/>
      </c>
      <c r="AH16" s="51">
        <f>IF(AC16=1,$W16/(1+$V$109/2)^(AD16-1),0)</f>
        <v/>
      </c>
      <c r="AI16" s="51">
        <f>IF(AC16=1,$W16/(1+$V$111/2)^(AD16-1),0)</f>
        <v/>
      </c>
      <c r="AJ16" s="51">
        <f>IF(AC16=1,$W16/(1+($V$111+0.0001)/2)^(AD16-1),0)</f>
        <v/>
      </c>
      <c r="AK16" s="51">
        <f>IF(AC16=1,$W16/(1+($V$111-0.0001)/2)^(AD16-1),0)</f>
        <v/>
      </c>
      <c r="AL16" s="51">
        <f>IF(AND($W16&gt;0,V16&gt;$V$6,V16&lt;=$V$7),$W16*(1+$V$10*($V$7-V16)/365),0)</f>
        <v/>
      </c>
      <c r="AO16" s="49" t="n">
        <v>2</v>
      </c>
      <c r="AP16" s="50">
        <f>EDATE($AP$2,-6*(62-$AO16))</f>
        <v/>
      </c>
      <c r="AQ16" s="51">
        <f>IF(AND(AP16&gt;$AP$3,AP16&lt;=$AP$2),IF(AP16=$AP$2,$AP$5+100,$AP$5),0)</f>
        <v/>
      </c>
      <c r="AR16" s="49">
        <f>IF(AND($AQ16&gt;0,AP16&gt;$AP$6),1,0)</f>
        <v/>
      </c>
      <c r="AS16" s="49">
        <f>IF(AR16=1,SUM($AR$15:AR16),"")</f>
        <v/>
      </c>
      <c r="AT16" s="51">
        <f>IF(AR16=1,$AQ16/(1+$AP$8/2)^(AS16-1),0)</f>
        <v/>
      </c>
      <c r="AU16" s="51">
        <f>IF(AR16=1,$AQ16/(1+($AP$8+0.0001)/2)^(AS16-1),0)</f>
        <v/>
      </c>
      <c r="AV16" s="51">
        <f>IF(AR16=1,$AQ16/(1+($AP$8-0.0001)/2)^(AS16-1),0)</f>
        <v/>
      </c>
      <c r="AW16" s="49">
        <f>IF(AND($AQ16&gt;0,AP16&gt;$AP$7),1,0)</f>
        <v/>
      </c>
      <c r="AX16" s="49">
        <f>IF(AW16=1,SUM($AW$15:AW16),"")</f>
        <v/>
      </c>
      <c r="AY16" s="51">
        <f>IF(AW16=1,$AQ16/(1+$AP$104/2)^(AX16-1),0)</f>
        <v/>
      </c>
      <c r="AZ16" s="51">
        <f>IF(AW16=1,$AQ16/(1+($AP$104+0.0001)/2)^(AX16-1),0)</f>
        <v/>
      </c>
      <c r="BA16" s="51">
        <f>IF(AW16=1,$AQ16/(1+($AP$104-0.0001)/2)^(AX16-1),0)</f>
        <v/>
      </c>
      <c r="BB16" s="51">
        <f>IF(AW16=1,$AQ16/(1+$AP$109/2)^(AX16-1),0)</f>
        <v/>
      </c>
      <c r="BC16" s="51">
        <f>IF(AW16=1,$AQ16/(1+$AP$111/2)^(AX16-1),0)</f>
        <v/>
      </c>
      <c r="BD16" s="51">
        <f>IF(AW16=1,$AQ16/(1+($AP$111+0.0001)/2)^(AX16-1),0)</f>
        <v/>
      </c>
      <c r="BE16" s="51">
        <f>IF(AW16=1,$AQ16/(1+($AP$111-0.0001)/2)^(AX16-1),0)</f>
        <v/>
      </c>
      <c r="BF16" s="51">
        <f>IF(AND($AQ16&gt;0,AP16&gt;$AP$6,AP16&lt;=$AP$7),$AQ16*(1+$AP$10*($AP$7-AP16)/365),0)</f>
        <v/>
      </c>
    </row>
    <row r="17">
      <c r="A17" s="49" t="n">
        <v>3</v>
      </c>
      <c r="B17" s="50">
        <f>EDATE($B$2,-6*(62-$A17))</f>
        <v/>
      </c>
      <c r="C17" s="51">
        <f>IF(AND(B17&gt;$B$3,B17&lt;=$B$2),IF(B17=$B$2,$B$5+100,$B$5),0)</f>
        <v/>
      </c>
      <c r="D17" s="49">
        <f>IF(AND($C17&gt;0,B17&gt;$B$6),1,0)</f>
        <v/>
      </c>
      <c r="E17" s="49">
        <f>IF(D17=1,SUM($D$15:D17),"")</f>
        <v/>
      </c>
      <c r="F17" s="51">
        <f>IF(D17=1,$C17/(1+$B$8/2)^(E17-1),0)</f>
        <v/>
      </c>
      <c r="G17" s="51">
        <f>IF(D17=1,$C17/(1+($B$8+0.0001)/2)^(E17-1),0)</f>
        <v/>
      </c>
      <c r="H17" s="51">
        <f>IF(D17=1,$C17/(1+($B$8-0.0001)/2)^(E17-1),0)</f>
        <v/>
      </c>
      <c r="I17" s="49">
        <f>IF(AND($C17&gt;0,B17&gt;$B$7),1,0)</f>
        <v/>
      </c>
      <c r="J17" s="49">
        <f>IF(I17=1,SUM($I$15:I17),"")</f>
        <v/>
      </c>
      <c r="K17" s="51">
        <f>IF(I17=1,$C17/(1+$B$104/2)^(J17-1),0)</f>
        <v/>
      </c>
      <c r="L17" s="51">
        <f>IF(I17=1,$C17/(1+($B$104+0.0001)/2)^(J17-1),0)</f>
        <v/>
      </c>
      <c r="M17" s="51">
        <f>IF(I17=1,$C17/(1+($B$104-0.0001)/2)^(J17-1),0)</f>
        <v/>
      </c>
      <c r="N17" s="51">
        <f>IF(I17=1,$C17/(1+$B$109/2)^(J17-1),0)</f>
        <v/>
      </c>
      <c r="O17" s="51">
        <f>IF(I17=1,$C17/(1+$B$111/2)^(J17-1),0)</f>
        <v/>
      </c>
      <c r="P17" s="51">
        <f>IF(I17=1,$C17/(1+($B$111+0.0001)/2)^(J17-1),0)</f>
        <v/>
      </c>
      <c r="Q17" s="51">
        <f>IF(I17=1,$C17/(1+($B$111-0.0001)/2)^(J17-1),0)</f>
        <v/>
      </c>
      <c r="R17" s="51">
        <f>IF(AND($C17&gt;0,B17&gt;$B$6,B17&lt;=$B$7),$C17*(1+$B$10*($B$7-B17)/365),0)</f>
        <v/>
      </c>
      <c r="U17" s="49" t="n">
        <v>3</v>
      </c>
      <c r="V17" s="50">
        <f>EDATE($V$2,-6*(62-$U17))</f>
        <v/>
      </c>
      <c r="W17" s="51">
        <f>IF(AND(V17&gt;$V$3,V17&lt;=$V$2),IF(V17=$V$2,$V$5+100,$V$5),0)</f>
        <v/>
      </c>
      <c r="X17" s="49">
        <f>IF(AND($W17&gt;0,V17&gt;$V$6),1,0)</f>
        <v/>
      </c>
      <c r="Y17" s="49">
        <f>IF(X17=1,SUM($X$15:X17),"")</f>
        <v/>
      </c>
      <c r="Z17" s="51">
        <f>IF(X17=1,$W17/(1+$V$8/2)^(Y17-1),0)</f>
        <v/>
      </c>
      <c r="AA17" s="51">
        <f>IF(X17=1,$W17/(1+($V$8+0.0001)/2)^(Y17-1),0)</f>
        <v/>
      </c>
      <c r="AB17" s="51">
        <f>IF(X17=1,$W17/(1+($V$8-0.0001)/2)^(Y17-1),0)</f>
        <v/>
      </c>
      <c r="AC17" s="49">
        <f>IF(AND($W17&gt;0,V17&gt;$V$7),1,0)</f>
        <v/>
      </c>
      <c r="AD17" s="49">
        <f>IF(AC17=1,SUM($AC$15:AC17),"")</f>
        <v/>
      </c>
      <c r="AE17" s="51">
        <f>IF(AC17=1,$W17/(1+$V$104/2)^(AD17-1),0)</f>
        <v/>
      </c>
      <c r="AF17" s="51">
        <f>IF(AC17=1,$W17/(1+($V$104+0.0001)/2)^(AD17-1),0)</f>
        <v/>
      </c>
      <c r="AG17" s="51">
        <f>IF(AC17=1,$W17/(1+($V$104-0.0001)/2)^(AD17-1),0)</f>
        <v/>
      </c>
      <c r="AH17" s="51">
        <f>IF(AC17=1,$W17/(1+$V$109/2)^(AD17-1),0)</f>
        <v/>
      </c>
      <c r="AI17" s="51">
        <f>IF(AC17=1,$W17/(1+$V$111/2)^(AD17-1),0)</f>
        <v/>
      </c>
      <c r="AJ17" s="51">
        <f>IF(AC17=1,$W17/(1+($V$111+0.0001)/2)^(AD17-1),0)</f>
        <v/>
      </c>
      <c r="AK17" s="51">
        <f>IF(AC17=1,$W17/(1+($V$111-0.0001)/2)^(AD17-1),0)</f>
        <v/>
      </c>
      <c r="AL17" s="51">
        <f>IF(AND($W17&gt;0,V17&gt;$V$6,V17&lt;=$V$7),$W17*(1+$V$10*($V$7-V17)/365),0)</f>
        <v/>
      </c>
      <c r="AO17" s="49" t="n">
        <v>3</v>
      </c>
      <c r="AP17" s="50">
        <f>EDATE($AP$2,-6*(62-$AO17))</f>
        <v/>
      </c>
      <c r="AQ17" s="51">
        <f>IF(AND(AP17&gt;$AP$3,AP17&lt;=$AP$2),IF(AP17=$AP$2,$AP$5+100,$AP$5),0)</f>
        <v/>
      </c>
      <c r="AR17" s="49">
        <f>IF(AND($AQ17&gt;0,AP17&gt;$AP$6),1,0)</f>
        <v/>
      </c>
      <c r="AS17" s="49">
        <f>IF(AR17=1,SUM($AR$15:AR17),"")</f>
        <v/>
      </c>
      <c r="AT17" s="51">
        <f>IF(AR17=1,$AQ17/(1+$AP$8/2)^(AS17-1),0)</f>
        <v/>
      </c>
      <c r="AU17" s="51">
        <f>IF(AR17=1,$AQ17/(1+($AP$8+0.0001)/2)^(AS17-1),0)</f>
        <v/>
      </c>
      <c r="AV17" s="51">
        <f>IF(AR17=1,$AQ17/(1+($AP$8-0.0001)/2)^(AS17-1),0)</f>
        <v/>
      </c>
      <c r="AW17" s="49">
        <f>IF(AND($AQ17&gt;0,AP17&gt;$AP$7),1,0)</f>
        <v/>
      </c>
      <c r="AX17" s="49">
        <f>IF(AW17=1,SUM($AW$15:AW17),"")</f>
        <v/>
      </c>
      <c r="AY17" s="51">
        <f>IF(AW17=1,$AQ17/(1+$AP$104/2)^(AX17-1),0)</f>
        <v/>
      </c>
      <c r="AZ17" s="51">
        <f>IF(AW17=1,$AQ17/(1+($AP$104+0.0001)/2)^(AX17-1),0)</f>
        <v/>
      </c>
      <c r="BA17" s="51">
        <f>IF(AW17=1,$AQ17/(1+($AP$104-0.0001)/2)^(AX17-1),0)</f>
        <v/>
      </c>
      <c r="BB17" s="51">
        <f>IF(AW17=1,$AQ17/(1+$AP$109/2)^(AX17-1),0)</f>
        <v/>
      </c>
      <c r="BC17" s="51">
        <f>IF(AW17=1,$AQ17/(1+$AP$111/2)^(AX17-1),0)</f>
        <v/>
      </c>
      <c r="BD17" s="51">
        <f>IF(AW17=1,$AQ17/(1+($AP$111+0.0001)/2)^(AX17-1),0)</f>
        <v/>
      </c>
      <c r="BE17" s="51">
        <f>IF(AW17=1,$AQ17/(1+($AP$111-0.0001)/2)^(AX17-1),0)</f>
        <v/>
      </c>
      <c r="BF17" s="51">
        <f>IF(AND($AQ17&gt;0,AP17&gt;$AP$6,AP17&lt;=$AP$7),$AQ17*(1+$AP$10*($AP$7-AP17)/365),0)</f>
        <v/>
      </c>
    </row>
    <row r="18">
      <c r="A18" s="49" t="n">
        <v>4</v>
      </c>
      <c r="B18" s="50">
        <f>EDATE($B$2,-6*(62-$A18))</f>
        <v/>
      </c>
      <c r="C18" s="51">
        <f>IF(AND(B18&gt;$B$3,B18&lt;=$B$2),IF(B18=$B$2,$B$5+100,$B$5),0)</f>
        <v/>
      </c>
      <c r="D18" s="49">
        <f>IF(AND($C18&gt;0,B18&gt;$B$6),1,0)</f>
        <v/>
      </c>
      <c r="E18" s="49">
        <f>IF(D18=1,SUM($D$15:D18),"")</f>
        <v/>
      </c>
      <c r="F18" s="51">
        <f>IF(D18=1,$C18/(1+$B$8/2)^(E18-1),0)</f>
        <v/>
      </c>
      <c r="G18" s="51">
        <f>IF(D18=1,$C18/(1+($B$8+0.0001)/2)^(E18-1),0)</f>
        <v/>
      </c>
      <c r="H18" s="51">
        <f>IF(D18=1,$C18/(1+($B$8-0.0001)/2)^(E18-1),0)</f>
        <v/>
      </c>
      <c r="I18" s="49">
        <f>IF(AND($C18&gt;0,B18&gt;$B$7),1,0)</f>
        <v/>
      </c>
      <c r="J18" s="49">
        <f>IF(I18=1,SUM($I$15:I18),"")</f>
        <v/>
      </c>
      <c r="K18" s="51">
        <f>IF(I18=1,$C18/(1+$B$104/2)^(J18-1),0)</f>
        <v/>
      </c>
      <c r="L18" s="51">
        <f>IF(I18=1,$C18/(1+($B$104+0.0001)/2)^(J18-1),0)</f>
        <v/>
      </c>
      <c r="M18" s="51">
        <f>IF(I18=1,$C18/(1+($B$104-0.0001)/2)^(J18-1),0)</f>
        <v/>
      </c>
      <c r="N18" s="51">
        <f>IF(I18=1,$C18/(1+$B$109/2)^(J18-1),0)</f>
        <v/>
      </c>
      <c r="O18" s="51">
        <f>IF(I18=1,$C18/(1+$B$111/2)^(J18-1),0)</f>
        <v/>
      </c>
      <c r="P18" s="51">
        <f>IF(I18=1,$C18/(1+($B$111+0.0001)/2)^(J18-1),0)</f>
        <v/>
      </c>
      <c r="Q18" s="51">
        <f>IF(I18=1,$C18/(1+($B$111-0.0001)/2)^(J18-1),0)</f>
        <v/>
      </c>
      <c r="R18" s="51">
        <f>IF(AND($C18&gt;0,B18&gt;$B$6,B18&lt;=$B$7),$C18*(1+$B$10*($B$7-B18)/365),0)</f>
        <v/>
      </c>
      <c r="U18" s="49" t="n">
        <v>4</v>
      </c>
      <c r="V18" s="50">
        <f>EDATE($V$2,-6*(62-$U18))</f>
        <v/>
      </c>
      <c r="W18" s="51">
        <f>IF(AND(V18&gt;$V$3,V18&lt;=$V$2),IF(V18=$V$2,$V$5+100,$V$5),0)</f>
        <v/>
      </c>
      <c r="X18" s="49">
        <f>IF(AND($W18&gt;0,V18&gt;$V$6),1,0)</f>
        <v/>
      </c>
      <c r="Y18" s="49">
        <f>IF(X18=1,SUM($X$15:X18),"")</f>
        <v/>
      </c>
      <c r="Z18" s="51">
        <f>IF(X18=1,$W18/(1+$V$8/2)^(Y18-1),0)</f>
        <v/>
      </c>
      <c r="AA18" s="51">
        <f>IF(X18=1,$W18/(1+($V$8+0.0001)/2)^(Y18-1),0)</f>
        <v/>
      </c>
      <c r="AB18" s="51">
        <f>IF(X18=1,$W18/(1+($V$8-0.0001)/2)^(Y18-1),0)</f>
        <v/>
      </c>
      <c r="AC18" s="49">
        <f>IF(AND($W18&gt;0,V18&gt;$V$7),1,0)</f>
        <v/>
      </c>
      <c r="AD18" s="49">
        <f>IF(AC18=1,SUM($AC$15:AC18),"")</f>
        <v/>
      </c>
      <c r="AE18" s="51">
        <f>IF(AC18=1,$W18/(1+$V$104/2)^(AD18-1),0)</f>
        <v/>
      </c>
      <c r="AF18" s="51">
        <f>IF(AC18=1,$W18/(1+($V$104+0.0001)/2)^(AD18-1),0)</f>
        <v/>
      </c>
      <c r="AG18" s="51">
        <f>IF(AC18=1,$W18/(1+($V$104-0.0001)/2)^(AD18-1),0)</f>
        <v/>
      </c>
      <c r="AH18" s="51">
        <f>IF(AC18=1,$W18/(1+$V$109/2)^(AD18-1),0)</f>
        <v/>
      </c>
      <c r="AI18" s="51">
        <f>IF(AC18=1,$W18/(1+$V$111/2)^(AD18-1),0)</f>
        <v/>
      </c>
      <c r="AJ18" s="51">
        <f>IF(AC18=1,$W18/(1+($V$111+0.0001)/2)^(AD18-1),0)</f>
        <v/>
      </c>
      <c r="AK18" s="51">
        <f>IF(AC18=1,$W18/(1+($V$111-0.0001)/2)^(AD18-1),0)</f>
        <v/>
      </c>
      <c r="AL18" s="51">
        <f>IF(AND($W18&gt;0,V18&gt;$V$6,V18&lt;=$V$7),$W18*(1+$V$10*($V$7-V18)/365),0)</f>
        <v/>
      </c>
      <c r="AO18" s="49" t="n">
        <v>4</v>
      </c>
      <c r="AP18" s="50">
        <f>EDATE($AP$2,-6*(62-$AO18))</f>
        <v/>
      </c>
      <c r="AQ18" s="51">
        <f>IF(AND(AP18&gt;$AP$3,AP18&lt;=$AP$2),IF(AP18=$AP$2,$AP$5+100,$AP$5),0)</f>
        <v/>
      </c>
      <c r="AR18" s="49">
        <f>IF(AND($AQ18&gt;0,AP18&gt;$AP$6),1,0)</f>
        <v/>
      </c>
      <c r="AS18" s="49">
        <f>IF(AR18=1,SUM($AR$15:AR18),"")</f>
        <v/>
      </c>
      <c r="AT18" s="51">
        <f>IF(AR18=1,$AQ18/(1+$AP$8/2)^(AS18-1),0)</f>
        <v/>
      </c>
      <c r="AU18" s="51">
        <f>IF(AR18=1,$AQ18/(1+($AP$8+0.0001)/2)^(AS18-1),0)</f>
        <v/>
      </c>
      <c r="AV18" s="51">
        <f>IF(AR18=1,$AQ18/(1+($AP$8-0.0001)/2)^(AS18-1),0)</f>
        <v/>
      </c>
      <c r="AW18" s="49">
        <f>IF(AND($AQ18&gt;0,AP18&gt;$AP$7),1,0)</f>
        <v/>
      </c>
      <c r="AX18" s="49">
        <f>IF(AW18=1,SUM($AW$15:AW18),"")</f>
        <v/>
      </c>
      <c r="AY18" s="51">
        <f>IF(AW18=1,$AQ18/(1+$AP$104/2)^(AX18-1),0)</f>
        <v/>
      </c>
      <c r="AZ18" s="51">
        <f>IF(AW18=1,$AQ18/(1+($AP$104+0.0001)/2)^(AX18-1),0)</f>
        <v/>
      </c>
      <c r="BA18" s="51">
        <f>IF(AW18=1,$AQ18/(1+($AP$104-0.0001)/2)^(AX18-1),0)</f>
        <v/>
      </c>
      <c r="BB18" s="51">
        <f>IF(AW18=1,$AQ18/(1+$AP$109/2)^(AX18-1),0)</f>
        <v/>
      </c>
      <c r="BC18" s="51">
        <f>IF(AW18=1,$AQ18/(1+$AP$111/2)^(AX18-1),0)</f>
        <v/>
      </c>
      <c r="BD18" s="51">
        <f>IF(AW18=1,$AQ18/(1+($AP$111+0.0001)/2)^(AX18-1),0)</f>
        <v/>
      </c>
      <c r="BE18" s="51">
        <f>IF(AW18=1,$AQ18/(1+($AP$111-0.0001)/2)^(AX18-1),0)</f>
        <v/>
      </c>
      <c r="BF18" s="51">
        <f>IF(AND($AQ18&gt;0,AP18&gt;$AP$6,AP18&lt;=$AP$7),$AQ18*(1+$AP$10*($AP$7-AP18)/365),0)</f>
        <v/>
      </c>
    </row>
    <row r="19">
      <c r="A19" s="49" t="n">
        <v>5</v>
      </c>
      <c r="B19" s="50">
        <f>EDATE($B$2,-6*(62-$A19))</f>
        <v/>
      </c>
      <c r="C19" s="51">
        <f>IF(AND(B19&gt;$B$3,B19&lt;=$B$2),IF(B19=$B$2,$B$5+100,$B$5),0)</f>
        <v/>
      </c>
      <c r="D19" s="49">
        <f>IF(AND($C19&gt;0,B19&gt;$B$6),1,0)</f>
        <v/>
      </c>
      <c r="E19" s="49">
        <f>IF(D19=1,SUM($D$15:D19),"")</f>
        <v/>
      </c>
      <c r="F19" s="51">
        <f>IF(D19=1,$C19/(1+$B$8/2)^(E19-1),0)</f>
        <v/>
      </c>
      <c r="G19" s="51">
        <f>IF(D19=1,$C19/(1+($B$8+0.0001)/2)^(E19-1),0)</f>
        <v/>
      </c>
      <c r="H19" s="51">
        <f>IF(D19=1,$C19/(1+($B$8-0.0001)/2)^(E19-1),0)</f>
        <v/>
      </c>
      <c r="I19" s="49">
        <f>IF(AND($C19&gt;0,B19&gt;$B$7),1,0)</f>
        <v/>
      </c>
      <c r="J19" s="49">
        <f>IF(I19=1,SUM($I$15:I19),"")</f>
        <v/>
      </c>
      <c r="K19" s="51">
        <f>IF(I19=1,$C19/(1+$B$104/2)^(J19-1),0)</f>
        <v/>
      </c>
      <c r="L19" s="51">
        <f>IF(I19=1,$C19/(1+($B$104+0.0001)/2)^(J19-1),0)</f>
        <v/>
      </c>
      <c r="M19" s="51">
        <f>IF(I19=1,$C19/(1+($B$104-0.0001)/2)^(J19-1),0)</f>
        <v/>
      </c>
      <c r="N19" s="51">
        <f>IF(I19=1,$C19/(1+$B$109/2)^(J19-1),0)</f>
        <v/>
      </c>
      <c r="O19" s="51">
        <f>IF(I19=1,$C19/(1+$B$111/2)^(J19-1),0)</f>
        <v/>
      </c>
      <c r="P19" s="51">
        <f>IF(I19=1,$C19/(1+($B$111+0.0001)/2)^(J19-1),0)</f>
        <v/>
      </c>
      <c r="Q19" s="51">
        <f>IF(I19=1,$C19/(1+($B$111-0.0001)/2)^(J19-1),0)</f>
        <v/>
      </c>
      <c r="R19" s="51">
        <f>IF(AND($C19&gt;0,B19&gt;$B$6,B19&lt;=$B$7),$C19*(1+$B$10*($B$7-B19)/365),0)</f>
        <v/>
      </c>
      <c r="U19" s="49" t="n">
        <v>5</v>
      </c>
      <c r="V19" s="50">
        <f>EDATE($V$2,-6*(62-$U19))</f>
        <v/>
      </c>
      <c r="W19" s="51">
        <f>IF(AND(V19&gt;$V$3,V19&lt;=$V$2),IF(V19=$V$2,$V$5+100,$V$5),0)</f>
        <v/>
      </c>
      <c r="X19" s="49">
        <f>IF(AND($W19&gt;0,V19&gt;$V$6),1,0)</f>
        <v/>
      </c>
      <c r="Y19" s="49">
        <f>IF(X19=1,SUM($X$15:X19),"")</f>
        <v/>
      </c>
      <c r="Z19" s="51">
        <f>IF(X19=1,$W19/(1+$V$8/2)^(Y19-1),0)</f>
        <v/>
      </c>
      <c r="AA19" s="51">
        <f>IF(X19=1,$W19/(1+($V$8+0.0001)/2)^(Y19-1),0)</f>
        <v/>
      </c>
      <c r="AB19" s="51">
        <f>IF(X19=1,$W19/(1+($V$8-0.0001)/2)^(Y19-1),0)</f>
        <v/>
      </c>
      <c r="AC19" s="49">
        <f>IF(AND($W19&gt;0,V19&gt;$V$7),1,0)</f>
        <v/>
      </c>
      <c r="AD19" s="49">
        <f>IF(AC19=1,SUM($AC$15:AC19),"")</f>
        <v/>
      </c>
      <c r="AE19" s="51">
        <f>IF(AC19=1,$W19/(1+$V$104/2)^(AD19-1),0)</f>
        <v/>
      </c>
      <c r="AF19" s="51">
        <f>IF(AC19=1,$W19/(1+($V$104+0.0001)/2)^(AD19-1),0)</f>
        <v/>
      </c>
      <c r="AG19" s="51">
        <f>IF(AC19=1,$W19/(1+($V$104-0.0001)/2)^(AD19-1),0)</f>
        <v/>
      </c>
      <c r="AH19" s="51">
        <f>IF(AC19=1,$W19/(1+$V$109/2)^(AD19-1),0)</f>
        <v/>
      </c>
      <c r="AI19" s="51">
        <f>IF(AC19=1,$W19/(1+$V$111/2)^(AD19-1),0)</f>
        <v/>
      </c>
      <c r="AJ19" s="51">
        <f>IF(AC19=1,$W19/(1+($V$111+0.0001)/2)^(AD19-1),0)</f>
        <v/>
      </c>
      <c r="AK19" s="51">
        <f>IF(AC19=1,$W19/(1+($V$111-0.0001)/2)^(AD19-1),0)</f>
        <v/>
      </c>
      <c r="AL19" s="51">
        <f>IF(AND($W19&gt;0,V19&gt;$V$6,V19&lt;=$V$7),$W19*(1+$V$10*($V$7-V19)/365),0)</f>
        <v/>
      </c>
      <c r="AO19" s="49" t="n">
        <v>5</v>
      </c>
      <c r="AP19" s="50">
        <f>EDATE($AP$2,-6*(62-$AO19))</f>
        <v/>
      </c>
      <c r="AQ19" s="51">
        <f>IF(AND(AP19&gt;$AP$3,AP19&lt;=$AP$2),IF(AP19=$AP$2,$AP$5+100,$AP$5),0)</f>
        <v/>
      </c>
      <c r="AR19" s="49">
        <f>IF(AND($AQ19&gt;0,AP19&gt;$AP$6),1,0)</f>
        <v/>
      </c>
      <c r="AS19" s="49">
        <f>IF(AR19=1,SUM($AR$15:AR19),"")</f>
        <v/>
      </c>
      <c r="AT19" s="51">
        <f>IF(AR19=1,$AQ19/(1+$AP$8/2)^(AS19-1),0)</f>
        <v/>
      </c>
      <c r="AU19" s="51">
        <f>IF(AR19=1,$AQ19/(1+($AP$8+0.0001)/2)^(AS19-1),0)</f>
        <v/>
      </c>
      <c r="AV19" s="51">
        <f>IF(AR19=1,$AQ19/(1+($AP$8-0.0001)/2)^(AS19-1),0)</f>
        <v/>
      </c>
      <c r="AW19" s="49">
        <f>IF(AND($AQ19&gt;0,AP19&gt;$AP$7),1,0)</f>
        <v/>
      </c>
      <c r="AX19" s="49">
        <f>IF(AW19=1,SUM($AW$15:AW19),"")</f>
        <v/>
      </c>
      <c r="AY19" s="51">
        <f>IF(AW19=1,$AQ19/(1+$AP$104/2)^(AX19-1),0)</f>
        <v/>
      </c>
      <c r="AZ19" s="51">
        <f>IF(AW19=1,$AQ19/(1+($AP$104+0.0001)/2)^(AX19-1),0)</f>
        <v/>
      </c>
      <c r="BA19" s="51">
        <f>IF(AW19=1,$AQ19/(1+($AP$104-0.0001)/2)^(AX19-1),0)</f>
        <v/>
      </c>
      <c r="BB19" s="51">
        <f>IF(AW19=1,$AQ19/(1+$AP$109/2)^(AX19-1),0)</f>
        <v/>
      </c>
      <c r="BC19" s="51">
        <f>IF(AW19=1,$AQ19/(1+$AP$111/2)^(AX19-1),0)</f>
        <v/>
      </c>
      <c r="BD19" s="51">
        <f>IF(AW19=1,$AQ19/(1+($AP$111+0.0001)/2)^(AX19-1),0)</f>
        <v/>
      </c>
      <c r="BE19" s="51">
        <f>IF(AW19=1,$AQ19/(1+($AP$111-0.0001)/2)^(AX19-1),0)</f>
        <v/>
      </c>
      <c r="BF19" s="51">
        <f>IF(AND($AQ19&gt;0,AP19&gt;$AP$6,AP19&lt;=$AP$7),$AQ19*(1+$AP$10*($AP$7-AP19)/365),0)</f>
        <v/>
      </c>
    </row>
    <row r="20">
      <c r="A20" s="49" t="n">
        <v>6</v>
      </c>
      <c r="B20" s="50">
        <f>EDATE($B$2,-6*(62-$A20))</f>
        <v/>
      </c>
      <c r="C20" s="51">
        <f>IF(AND(B20&gt;$B$3,B20&lt;=$B$2),IF(B20=$B$2,$B$5+100,$B$5),0)</f>
        <v/>
      </c>
      <c r="D20" s="49">
        <f>IF(AND($C20&gt;0,B20&gt;$B$6),1,0)</f>
        <v/>
      </c>
      <c r="E20" s="49">
        <f>IF(D20=1,SUM($D$15:D20),"")</f>
        <v/>
      </c>
      <c r="F20" s="51">
        <f>IF(D20=1,$C20/(1+$B$8/2)^(E20-1),0)</f>
        <v/>
      </c>
      <c r="G20" s="51">
        <f>IF(D20=1,$C20/(1+($B$8+0.0001)/2)^(E20-1),0)</f>
        <v/>
      </c>
      <c r="H20" s="51">
        <f>IF(D20=1,$C20/(1+($B$8-0.0001)/2)^(E20-1),0)</f>
        <v/>
      </c>
      <c r="I20" s="49">
        <f>IF(AND($C20&gt;0,B20&gt;$B$7),1,0)</f>
        <v/>
      </c>
      <c r="J20" s="49">
        <f>IF(I20=1,SUM($I$15:I20),"")</f>
        <v/>
      </c>
      <c r="K20" s="51">
        <f>IF(I20=1,$C20/(1+$B$104/2)^(J20-1),0)</f>
        <v/>
      </c>
      <c r="L20" s="51">
        <f>IF(I20=1,$C20/(1+($B$104+0.0001)/2)^(J20-1),0)</f>
        <v/>
      </c>
      <c r="M20" s="51">
        <f>IF(I20=1,$C20/(1+($B$104-0.0001)/2)^(J20-1),0)</f>
        <v/>
      </c>
      <c r="N20" s="51">
        <f>IF(I20=1,$C20/(1+$B$109/2)^(J20-1),0)</f>
        <v/>
      </c>
      <c r="O20" s="51">
        <f>IF(I20=1,$C20/(1+$B$111/2)^(J20-1),0)</f>
        <v/>
      </c>
      <c r="P20" s="51">
        <f>IF(I20=1,$C20/(1+($B$111+0.0001)/2)^(J20-1),0)</f>
        <v/>
      </c>
      <c r="Q20" s="51">
        <f>IF(I20=1,$C20/(1+($B$111-0.0001)/2)^(J20-1),0)</f>
        <v/>
      </c>
      <c r="R20" s="51">
        <f>IF(AND($C20&gt;0,B20&gt;$B$6,B20&lt;=$B$7),$C20*(1+$B$10*($B$7-B20)/365),0)</f>
        <v/>
      </c>
      <c r="U20" s="49" t="n">
        <v>6</v>
      </c>
      <c r="V20" s="50">
        <f>EDATE($V$2,-6*(62-$U20))</f>
        <v/>
      </c>
      <c r="W20" s="51">
        <f>IF(AND(V20&gt;$V$3,V20&lt;=$V$2),IF(V20=$V$2,$V$5+100,$V$5),0)</f>
        <v/>
      </c>
      <c r="X20" s="49">
        <f>IF(AND($W20&gt;0,V20&gt;$V$6),1,0)</f>
        <v/>
      </c>
      <c r="Y20" s="49">
        <f>IF(X20=1,SUM($X$15:X20),"")</f>
        <v/>
      </c>
      <c r="Z20" s="51">
        <f>IF(X20=1,$W20/(1+$V$8/2)^(Y20-1),0)</f>
        <v/>
      </c>
      <c r="AA20" s="51">
        <f>IF(X20=1,$W20/(1+($V$8+0.0001)/2)^(Y20-1),0)</f>
        <v/>
      </c>
      <c r="AB20" s="51">
        <f>IF(X20=1,$W20/(1+($V$8-0.0001)/2)^(Y20-1),0)</f>
        <v/>
      </c>
      <c r="AC20" s="49">
        <f>IF(AND($W20&gt;0,V20&gt;$V$7),1,0)</f>
        <v/>
      </c>
      <c r="AD20" s="49">
        <f>IF(AC20=1,SUM($AC$15:AC20),"")</f>
        <v/>
      </c>
      <c r="AE20" s="51">
        <f>IF(AC20=1,$W20/(1+$V$104/2)^(AD20-1),0)</f>
        <v/>
      </c>
      <c r="AF20" s="51">
        <f>IF(AC20=1,$W20/(1+($V$104+0.0001)/2)^(AD20-1),0)</f>
        <v/>
      </c>
      <c r="AG20" s="51">
        <f>IF(AC20=1,$W20/(1+($V$104-0.0001)/2)^(AD20-1),0)</f>
        <v/>
      </c>
      <c r="AH20" s="51">
        <f>IF(AC20=1,$W20/(1+$V$109/2)^(AD20-1),0)</f>
        <v/>
      </c>
      <c r="AI20" s="51">
        <f>IF(AC20=1,$W20/(1+$V$111/2)^(AD20-1),0)</f>
        <v/>
      </c>
      <c r="AJ20" s="51">
        <f>IF(AC20=1,$W20/(1+($V$111+0.0001)/2)^(AD20-1),0)</f>
        <v/>
      </c>
      <c r="AK20" s="51">
        <f>IF(AC20=1,$W20/(1+($V$111-0.0001)/2)^(AD20-1),0)</f>
        <v/>
      </c>
      <c r="AL20" s="51">
        <f>IF(AND($W20&gt;0,V20&gt;$V$6,V20&lt;=$V$7),$W20*(1+$V$10*($V$7-V20)/365),0)</f>
        <v/>
      </c>
      <c r="AO20" s="49" t="n">
        <v>6</v>
      </c>
      <c r="AP20" s="50">
        <f>EDATE($AP$2,-6*(62-$AO20))</f>
        <v/>
      </c>
      <c r="AQ20" s="51">
        <f>IF(AND(AP20&gt;$AP$3,AP20&lt;=$AP$2),IF(AP20=$AP$2,$AP$5+100,$AP$5),0)</f>
        <v/>
      </c>
      <c r="AR20" s="49">
        <f>IF(AND($AQ20&gt;0,AP20&gt;$AP$6),1,0)</f>
        <v/>
      </c>
      <c r="AS20" s="49">
        <f>IF(AR20=1,SUM($AR$15:AR20),"")</f>
        <v/>
      </c>
      <c r="AT20" s="51">
        <f>IF(AR20=1,$AQ20/(1+$AP$8/2)^(AS20-1),0)</f>
        <v/>
      </c>
      <c r="AU20" s="51">
        <f>IF(AR20=1,$AQ20/(1+($AP$8+0.0001)/2)^(AS20-1),0)</f>
        <v/>
      </c>
      <c r="AV20" s="51">
        <f>IF(AR20=1,$AQ20/(1+($AP$8-0.0001)/2)^(AS20-1),0)</f>
        <v/>
      </c>
      <c r="AW20" s="49">
        <f>IF(AND($AQ20&gt;0,AP20&gt;$AP$7),1,0)</f>
        <v/>
      </c>
      <c r="AX20" s="49">
        <f>IF(AW20=1,SUM($AW$15:AW20),"")</f>
        <v/>
      </c>
      <c r="AY20" s="51">
        <f>IF(AW20=1,$AQ20/(1+$AP$104/2)^(AX20-1),0)</f>
        <v/>
      </c>
      <c r="AZ20" s="51">
        <f>IF(AW20=1,$AQ20/(1+($AP$104+0.0001)/2)^(AX20-1),0)</f>
        <v/>
      </c>
      <c r="BA20" s="51">
        <f>IF(AW20=1,$AQ20/(1+($AP$104-0.0001)/2)^(AX20-1),0)</f>
        <v/>
      </c>
      <c r="BB20" s="51">
        <f>IF(AW20=1,$AQ20/(1+$AP$109/2)^(AX20-1),0)</f>
        <v/>
      </c>
      <c r="BC20" s="51">
        <f>IF(AW20=1,$AQ20/(1+$AP$111/2)^(AX20-1),0)</f>
        <v/>
      </c>
      <c r="BD20" s="51">
        <f>IF(AW20=1,$AQ20/(1+($AP$111+0.0001)/2)^(AX20-1),0)</f>
        <v/>
      </c>
      <c r="BE20" s="51">
        <f>IF(AW20=1,$AQ20/(1+($AP$111-0.0001)/2)^(AX20-1),0)</f>
        <v/>
      </c>
      <c r="BF20" s="51">
        <f>IF(AND($AQ20&gt;0,AP20&gt;$AP$6,AP20&lt;=$AP$7),$AQ20*(1+$AP$10*($AP$7-AP20)/365),0)</f>
        <v/>
      </c>
    </row>
    <row r="21">
      <c r="A21" s="49" t="n">
        <v>7</v>
      </c>
      <c r="B21" s="50">
        <f>EDATE($B$2,-6*(62-$A21))</f>
        <v/>
      </c>
      <c r="C21" s="51">
        <f>IF(AND(B21&gt;$B$3,B21&lt;=$B$2),IF(B21=$B$2,$B$5+100,$B$5),0)</f>
        <v/>
      </c>
      <c r="D21" s="49">
        <f>IF(AND($C21&gt;0,B21&gt;$B$6),1,0)</f>
        <v/>
      </c>
      <c r="E21" s="49">
        <f>IF(D21=1,SUM($D$15:D21),"")</f>
        <v/>
      </c>
      <c r="F21" s="51">
        <f>IF(D21=1,$C21/(1+$B$8/2)^(E21-1),0)</f>
        <v/>
      </c>
      <c r="G21" s="51">
        <f>IF(D21=1,$C21/(1+($B$8+0.0001)/2)^(E21-1),0)</f>
        <v/>
      </c>
      <c r="H21" s="51">
        <f>IF(D21=1,$C21/(1+($B$8-0.0001)/2)^(E21-1),0)</f>
        <v/>
      </c>
      <c r="I21" s="49">
        <f>IF(AND($C21&gt;0,B21&gt;$B$7),1,0)</f>
        <v/>
      </c>
      <c r="J21" s="49">
        <f>IF(I21=1,SUM($I$15:I21),"")</f>
        <v/>
      </c>
      <c r="K21" s="51">
        <f>IF(I21=1,$C21/(1+$B$104/2)^(J21-1),0)</f>
        <v/>
      </c>
      <c r="L21" s="51">
        <f>IF(I21=1,$C21/(1+($B$104+0.0001)/2)^(J21-1),0)</f>
        <v/>
      </c>
      <c r="M21" s="51">
        <f>IF(I21=1,$C21/(1+($B$104-0.0001)/2)^(J21-1),0)</f>
        <v/>
      </c>
      <c r="N21" s="51">
        <f>IF(I21=1,$C21/(1+$B$109/2)^(J21-1),0)</f>
        <v/>
      </c>
      <c r="O21" s="51">
        <f>IF(I21=1,$C21/(1+$B$111/2)^(J21-1),0)</f>
        <v/>
      </c>
      <c r="P21" s="51">
        <f>IF(I21=1,$C21/(1+($B$111+0.0001)/2)^(J21-1),0)</f>
        <v/>
      </c>
      <c r="Q21" s="51">
        <f>IF(I21=1,$C21/(1+($B$111-0.0001)/2)^(J21-1),0)</f>
        <v/>
      </c>
      <c r="R21" s="51">
        <f>IF(AND($C21&gt;0,B21&gt;$B$6,B21&lt;=$B$7),$C21*(1+$B$10*($B$7-B21)/365),0)</f>
        <v/>
      </c>
      <c r="U21" s="49" t="n">
        <v>7</v>
      </c>
      <c r="V21" s="50">
        <f>EDATE($V$2,-6*(62-$U21))</f>
        <v/>
      </c>
      <c r="W21" s="51">
        <f>IF(AND(V21&gt;$V$3,V21&lt;=$V$2),IF(V21=$V$2,$V$5+100,$V$5),0)</f>
        <v/>
      </c>
      <c r="X21" s="49">
        <f>IF(AND($W21&gt;0,V21&gt;$V$6),1,0)</f>
        <v/>
      </c>
      <c r="Y21" s="49">
        <f>IF(X21=1,SUM($X$15:X21),"")</f>
        <v/>
      </c>
      <c r="Z21" s="51">
        <f>IF(X21=1,$W21/(1+$V$8/2)^(Y21-1),0)</f>
        <v/>
      </c>
      <c r="AA21" s="51">
        <f>IF(X21=1,$W21/(1+($V$8+0.0001)/2)^(Y21-1),0)</f>
        <v/>
      </c>
      <c r="AB21" s="51">
        <f>IF(X21=1,$W21/(1+($V$8-0.0001)/2)^(Y21-1),0)</f>
        <v/>
      </c>
      <c r="AC21" s="49">
        <f>IF(AND($W21&gt;0,V21&gt;$V$7),1,0)</f>
        <v/>
      </c>
      <c r="AD21" s="49">
        <f>IF(AC21=1,SUM($AC$15:AC21),"")</f>
        <v/>
      </c>
      <c r="AE21" s="51">
        <f>IF(AC21=1,$W21/(1+$V$104/2)^(AD21-1),0)</f>
        <v/>
      </c>
      <c r="AF21" s="51">
        <f>IF(AC21=1,$W21/(1+($V$104+0.0001)/2)^(AD21-1),0)</f>
        <v/>
      </c>
      <c r="AG21" s="51">
        <f>IF(AC21=1,$W21/(1+($V$104-0.0001)/2)^(AD21-1),0)</f>
        <v/>
      </c>
      <c r="AH21" s="51">
        <f>IF(AC21=1,$W21/(1+$V$109/2)^(AD21-1),0)</f>
        <v/>
      </c>
      <c r="AI21" s="51">
        <f>IF(AC21=1,$W21/(1+$V$111/2)^(AD21-1),0)</f>
        <v/>
      </c>
      <c r="AJ21" s="51">
        <f>IF(AC21=1,$W21/(1+($V$111+0.0001)/2)^(AD21-1),0)</f>
        <v/>
      </c>
      <c r="AK21" s="51">
        <f>IF(AC21=1,$W21/(1+($V$111-0.0001)/2)^(AD21-1),0)</f>
        <v/>
      </c>
      <c r="AL21" s="51">
        <f>IF(AND($W21&gt;0,V21&gt;$V$6,V21&lt;=$V$7),$W21*(1+$V$10*($V$7-V21)/365),0)</f>
        <v/>
      </c>
      <c r="AO21" s="49" t="n">
        <v>7</v>
      </c>
      <c r="AP21" s="50">
        <f>EDATE($AP$2,-6*(62-$AO21))</f>
        <v/>
      </c>
      <c r="AQ21" s="51">
        <f>IF(AND(AP21&gt;$AP$3,AP21&lt;=$AP$2),IF(AP21=$AP$2,$AP$5+100,$AP$5),0)</f>
        <v/>
      </c>
      <c r="AR21" s="49">
        <f>IF(AND($AQ21&gt;0,AP21&gt;$AP$6),1,0)</f>
        <v/>
      </c>
      <c r="AS21" s="49">
        <f>IF(AR21=1,SUM($AR$15:AR21),"")</f>
        <v/>
      </c>
      <c r="AT21" s="51">
        <f>IF(AR21=1,$AQ21/(1+$AP$8/2)^(AS21-1),0)</f>
        <v/>
      </c>
      <c r="AU21" s="51">
        <f>IF(AR21=1,$AQ21/(1+($AP$8+0.0001)/2)^(AS21-1),0)</f>
        <v/>
      </c>
      <c r="AV21" s="51">
        <f>IF(AR21=1,$AQ21/(1+($AP$8-0.0001)/2)^(AS21-1),0)</f>
        <v/>
      </c>
      <c r="AW21" s="49">
        <f>IF(AND($AQ21&gt;0,AP21&gt;$AP$7),1,0)</f>
        <v/>
      </c>
      <c r="AX21" s="49">
        <f>IF(AW21=1,SUM($AW$15:AW21),"")</f>
        <v/>
      </c>
      <c r="AY21" s="51">
        <f>IF(AW21=1,$AQ21/(1+$AP$104/2)^(AX21-1),0)</f>
        <v/>
      </c>
      <c r="AZ21" s="51">
        <f>IF(AW21=1,$AQ21/(1+($AP$104+0.0001)/2)^(AX21-1),0)</f>
        <v/>
      </c>
      <c r="BA21" s="51">
        <f>IF(AW21=1,$AQ21/(1+($AP$104-0.0001)/2)^(AX21-1),0)</f>
        <v/>
      </c>
      <c r="BB21" s="51">
        <f>IF(AW21=1,$AQ21/(1+$AP$109/2)^(AX21-1),0)</f>
        <v/>
      </c>
      <c r="BC21" s="51">
        <f>IF(AW21=1,$AQ21/(1+$AP$111/2)^(AX21-1),0)</f>
        <v/>
      </c>
      <c r="BD21" s="51">
        <f>IF(AW21=1,$AQ21/(1+($AP$111+0.0001)/2)^(AX21-1),0)</f>
        <v/>
      </c>
      <c r="BE21" s="51">
        <f>IF(AW21=1,$AQ21/(1+($AP$111-0.0001)/2)^(AX21-1),0)</f>
        <v/>
      </c>
      <c r="BF21" s="51">
        <f>IF(AND($AQ21&gt;0,AP21&gt;$AP$6,AP21&lt;=$AP$7),$AQ21*(1+$AP$10*($AP$7-AP21)/365),0)</f>
        <v/>
      </c>
    </row>
    <row r="22">
      <c r="A22" s="49" t="n">
        <v>8</v>
      </c>
      <c r="B22" s="50">
        <f>EDATE($B$2,-6*(62-$A22))</f>
        <v/>
      </c>
      <c r="C22" s="51">
        <f>IF(AND(B22&gt;$B$3,B22&lt;=$B$2),IF(B22=$B$2,$B$5+100,$B$5),0)</f>
        <v/>
      </c>
      <c r="D22" s="49">
        <f>IF(AND($C22&gt;0,B22&gt;$B$6),1,0)</f>
        <v/>
      </c>
      <c r="E22" s="49">
        <f>IF(D22=1,SUM($D$15:D22),"")</f>
        <v/>
      </c>
      <c r="F22" s="51">
        <f>IF(D22=1,$C22/(1+$B$8/2)^(E22-1),0)</f>
        <v/>
      </c>
      <c r="G22" s="51">
        <f>IF(D22=1,$C22/(1+($B$8+0.0001)/2)^(E22-1),0)</f>
        <v/>
      </c>
      <c r="H22" s="51">
        <f>IF(D22=1,$C22/(1+($B$8-0.0001)/2)^(E22-1),0)</f>
        <v/>
      </c>
      <c r="I22" s="49">
        <f>IF(AND($C22&gt;0,B22&gt;$B$7),1,0)</f>
        <v/>
      </c>
      <c r="J22" s="49">
        <f>IF(I22=1,SUM($I$15:I22),"")</f>
        <v/>
      </c>
      <c r="K22" s="51">
        <f>IF(I22=1,$C22/(1+$B$104/2)^(J22-1),0)</f>
        <v/>
      </c>
      <c r="L22" s="51">
        <f>IF(I22=1,$C22/(1+($B$104+0.0001)/2)^(J22-1),0)</f>
        <v/>
      </c>
      <c r="M22" s="51">
        <f>IF(I22=1,$C22/(1+($B$104-0.0001)/2)^(J22-1),0)</f>
        <v/>
      </c>
      <c r="N22" s="51">
        <f>IF(I22=1,$C22/(1+$B$109/2)^(J22-1),0)</f>
        <v/>
      </c>
      <c r="O22" s="51">
        <f>IF(I22=1,$C22/(1+$B$111/2)^(J22-1),0)</f>
        <v/>
      </c>
      <c r="P22" s="51">
        <f>IF(I22=1,$C22/(1+($B$111+0.0001)/2)^(J22-1),0)</f>
        <v/>
      </c>
      <c r="Q22" s="51">
        <f>IF(I22=1,$C22/(1+($B$111-0.0001)/2)^(J22-1),0)</f>
        <v/>
      </c>
      <c r="R22" s="51">
        <f>IF(AND($C22&gt;0,B22&gt;$B$6,B22&lt;=$B$7),$C22*(1+$B$10*($B$7-B22)/365),0)</f>
        <v/>
      </c>
      <c r="U22" s="49" t="n">
        <v>8</v>
      </c>
      <c r="V22" s="50">
        <f>EDATE($V$2,-6*(62-$U22))</f>
        <v/>
      </c>
      <c r="W22" s="51">
        <f>IF(AND(V22&gt;$V$3,V22&lt;=$V$2),IF(V22=$V$2,$V$5+100,$V$5),0)</f>
        <v/>
      </c>
      <c r="X22" s="49">
        <f>IF(AND($W22&gt;0,V22&gt;$V$6),1,0)</f>
        <v/>
      </c>
      <c r="Y22" s="49">
        <f>IF(X22=1,SUM($X$15:X22),"")</f>
        <v/>
      </c>
      <c r="Z22" s="51">
        <f>IF(X22=1,$W22/(1+$V$8/2)^(Y22-1),0)</f>
        <v/>
      </c>
      <c r="AA22" s="51">
        <f>IF(X22=1,$W22/(1+($V$8+0.0001)/2)^(Y22-1),0)</f>
        <v/>
      </c>
      <c r="AB22" s="51">
        <f>IF(X22=1,$W22/(1+($V$8-0.0001)/2)^(Y22-1),0)</f>
        <v/>
      </c>
      <c r="AC22" s="49">
        <f>IF(AND($W22&gt;0,V22&gt;$V$7),1,0)</f>
        <v/>
      </c>
      <c r="AD22" s="49">
        <f>IF(AC22=1,SUM($AC$15:AC22),"")</f>
        <v/>
      </c>
      <c r="AE22" s="51">
        <f>IF(AC22=1,$W22/(1+$V$104/2)^(AD22-1),0)</f>
        <v/>
      </c>
      <c r="AF22" s="51">
        <f>IF(AC22=1,$W22/(1+($V$104+0.0001)/2)^(AD22-1),0)</f>
        <v/>
      </c>
      <c r="AG22" s="51">
        <f>IF(AC22=1,$W22/(1+($V$104-0.0001)/2)^(AD22-1),0)</f>
        <v/>
      </c>
      <c r="AH22" s="51">
        <f>IF(AC22=1,$W22/(1+$V$109/2)^(AD22-1),0)</f>
        <v/>
      </c>
      <c r="AI22" s="51">
        <f>IF(AC22=1,$W22/(1+$V$111/2)^(AD22-1),0)</f>
        <v/>
      </c>
      <c r="AJ22" s="51">
        <f>IF(AC22=1,$W22/(1+($V$111+0.0001)/2)^(AD22-1),0)</f>
        <v/>
      </c>
      <c r="AK22" s="51">
        <f>IF(AC22=1,$W22/(1+($V$111-0.0001)/2)^(AD22-1),0)</f>
        <v/>
      </c>
      <c r="AL22" s="51">
        <f>IF(AND($W22&gt;0,V22&gt;$V$6,V22&lt;=$V$7),$W22*(1+$V$10*($V$7-V22)/365),0)</f>
        <v/>
      </c>
      <c r="AO22" s="49" t="n">
        <v>8</v>
      </c>
      <c r="AP22" s="50">
        <f>EDATE($AP$2,-6*(62-$AO22))</f>
        <v/>
      </c>
      <c r="AQ22" s="51">
        <f>IF(AND(AP22&gt;$AP$3,AP22&lt;=$AP$2),IF(AP22=$AP$2,$AP$5+100,$AP$5),0)</f>
        <v/>
      </c>
      <c r="AR22" s="49">
        <f>IF(AND($AQ22&gt;0,AP22&gt;$AP$6),1,0)</f>
        <v/>
      </c>
      <c r="AS22" s="49">
        <f>IF(AR22=1,SUM($AR$15:AR22),"")</f>
        <v/>
      </c>
      <c r="AT22" s="51">
        <f>IF(AR22=1,$AQ22/(1+$AP$8/2)^(AS22-1),0)</f>
        <v/>
      </c>
      <c r="AU22" s="51">
        <f>IF(AR22=1,$AQ22/(1+($AP$8+0.0001)/2)^(AS22-1),0)</f>
        <v/>
      </c>
      <c r="AV22" s="51">
        <f>IF(AR22=1,$AQ22/(1+($AP$8-0.0001)/2)^(AS22-1),0)</f>
        <v/>
      </c>
      <c r="AW22" s="49">
        <f>IF(AND($AQ22&gt;0,AP22&gt;$AP$7),1,0)</f>
        <v/>
      </c>
      <c r="AX22" s="49">
        <f>IF(AW22=1,SUM($AW$15:AW22),"")</f>
        <v/>
      </c>
      <c r="AY22" s="51">
        <f>IF(AW22=1,$AQ22/(1+$AP$104/2)^(AX22-1),0)</f>
        <v/>
      </c>
      <c r="AZ22" s="51">
        <f>IF(AW22=1,$AQ22/(1+($AP$104+0.0001)/2)^(AX22-1),0)</f>
        <v/>
      </c>
      <c r="BA22" s="51">
        <f>IF(AW22=1,$AQ22/(1+($AP$104-0.0001)/2)^(AX22-1),0)</f>
        <v/>
      </c>
      <c r="BB22" s="51">
        <f>IF(AW22=1,$AQ22/(1+$AP$109/2)^(AX22-1),0)</f>
        <v/>
      </c>
      <c r="BC22" s="51">
        <f>IF(AW22=1,$AQ22/(1+$AP$111/2)^(AX22-1),0)</f>
        <v/>
      </c>
      <c r="BD22" s="51">
        <f>IF(AW22=1,$AQ22/(1+($AP$111+0.0001)/2)^(AX22-1),0)</f>
        <v/>
      </c>
      <c r="BE22" s="51">
        <f>IF(AW22=1,$AQ22/(1+($AP$111-0.0001)/2)^(AX22-1),0)</f>
        <v/>
      </c>
      <c r="BF22" s="51">
        <f>IF(AND($AQ22&gt;0,AP22&gt;$AP$6,AP22&lt;=$AP$7),$AQ22*(1+$AP$10*($AP$7-AP22)/365),0)</f>
        <v/>
      </c>
    </row>
    <row r="23">
      <c r="A23" s="49" t="n">
        <v>9</v>
      </c>
      <c r="B23" s="50">
        <f>EDATE($B$2,-6*(62-$A23))</f>
        <v/>
      </c>
      <c r="C23" s="51">
        <f>IF(AND(B23&gt;$B$3,B23&lt;=$B$2),IF(B23=$B$2,$B$5+100,$B$5),0)</f>
        <v/>
      </c>
      <c r="D23" s="49">
        <f>IF(AND($C23&gt;0,B23&gt;$B$6),1,0)</f>
        <v/>
      </c>
      <c r="E23" s="49">
        <f>IF(D23=1,SUM($D$15:D23),"")</f>
        <v/>
      </c>
      <c r="F23" s="51">
        <f>IF(D23=1,$C23/(1+$B$8/2)^(E23-1),0)</f>
        <v/>
      </c>
      <c r="G23" s="51">
        <f>IF(D23=1,$C23/(1+($B$8+0.0001)/2)^(E23-1),0)</f>
        <v/>
      </c>
      <c r="H23" s="51">
        <f>IF(D23=1,$C23/(1+($B$8-0.0001)/2)^(E23-1),0)</f>
        <v/>
      </c>
      <c r="I23" s="49">
        <f>IF(AND($C23&gt;0,B23&gt;$B$7),1,0)</f>
        <v/>
      </c>
      <c r="J23" s="49">
        <f>IF(I23=1,SUM($I$15:I23),"")</f>
        <v/>
      </c>
      <c r="K23" s="51">
        <f>IF(I23=1,$C23/(1+$B$104/2)^(J23-1),0)</f>
        <v/>
      </c>
      <c r="L23" s="51">
        <f>IF(I23=1,$C23/(1+($B$104+0.0001)/2)^(J23-1),0)</f>
        <v/>
      </c>
      <c r="M23" s="51">
        <f>IF(I23=1,$C23/(1+($B$104-0.0001)/2)^(J23-1),0)</f>
        <v/>
      </c>
      <c r="N23" s="51">
        <f>IF(I23=1,$C23/(1+$B$109/2)^(J23-1),0)</f>
        <v/>
      </c>
      <c r="O23" s="51">
        <f>IF(I23=1,$C23/(1+$B$111/2)^(J23-1),0)</f>
        <v/>
      </c>
      <c r="P23" s="51">
        <f>IF(I23=1,$C23/(1+($B$111+0.0001)/2)^(J23-1),0)</f>
        <v/>
      </c>
      <c r="Q23" s="51">
        <f>IF(I23=1,$C23/(1+($B$111-0.0001)/2)^(J23-1),0)</f>
        <v/>
      </c>
      <c r="R23" s="51">
        <f>IF(AND($C23&gt;0,B23&gt;$B$6,B23&lt;=$B$7),$C23*(1+$B$10*($B$7-B23)/365),0)</f>
        <v/>
      </c>
      <c r="U23" s="49" t="n">
        <v>9</v>
      </c>
      <c r="V23" s="50">
        <f>EDATE($V$2,-6*(62-$U23))</f>
        <v/>
      </c>
      <c r="W23" s="51">
        <f>IF(AND(V23&gt;$V$3,V23&lt;=$V$2),IF(V23=$V$2,$V$5+100,$V$5),0)</f>
        <v/>
      </c>
      <c r="X23" s="49">
        <f>IF(AND($W23&gt;0,V23&gt;$V$6),1,0)</f>
        <v/>
      </c>
      <c r="Y23" s="49">
        <f>IF(X23=1,SUM($X$15:X23),"")</f>
        <v/>
      </c>
      <c r="Z23" s="51">
        <f>IF(X23=1,$W23/(1+$V$8/2)^(Y23-1),0)</f>
        <v/>
      </c>
      <c r="AA23" s="51">
        <f>IF(X23=1,$W23/(1+($V$8+0.0001)/2)^(Y23-1),0)</f>
        <v/>
      </c>
      <c r="AB23" s="51">
        <f>IF(X23=1,$W23/(1+($V$8-0.0001)/2)^(Y23-1),0)</f>
        <v/>
      </c>
      <c r="AC23" s="49">
        <f>IF(AND($W23&gt;0,V23&gt;$V$7),1,0)</f>
        <v/>
      </c>
      <c r="AD23" s="49">
        <f>IF(AC23=1,SUM($AC$15:AC23),"")</f>
        <v/>
      </c>
      <c r="AE23" s="51">
        <f>IF(AC23=1,$W23/(1+$V$104/2)^(AD23-1),0)</f>
        <v/>
      </c>
      <c r="AF23" s="51">
        <f>IF(AC23=1,$W23/(1+($V$104+0.0001)/2)^(AD23-1),0)</f>
        <v/>
      </c>
      <c r="AG23" s="51">
        <f>IF(AC23=1,$W23/(1+($V$104-0.0001)/2)^(AD23-1),0)</f>
        <v/>
      </c>
      <c r="AH23" s="51">
        <f>IF(AC23=1,$W23/(1+$V$109/2)^(AD23-1),0)</f>
        <v/>
      </c>
      <c r="AI23" s="51">
        <f>IF(AC23=1,$W23/(1+$V$111/2)^(AD23-1),0)</f>
        <v/>
      </c>
      <c r="AJ23" s="51">
        <f>IF(AC23=1,$W23/(1+($V$111+0.0001)/2)^(AD23-1),0)</f>
        <v/>
      </c>
      <c r="AK23" s="51">
        <f>IF(AC23=1,$W23/(1+($V$111-0.0001)/2)^(AD23-1),0)</f>
        <v/>
      </c>
      <c r="AL23" s="51">
        <f>IF(AND($W23&gt;0,V23&gt;$V$6,V23&lt;=$V$7),$W23*(1+$V$10*($V$7-V23)/365),0)</f>
        <v/>
      </c>
      <c r="AO23" s="49" t="n">
        <v>9</v>
      </c>
      <c r="AP23" s="50">
        <f>EDATE($AP$2,-6*(62-$AO23))</f>
        <v/>
      </c>
      <c r="AQ23" s="51">
        <f>IF(AND(AP23&gt;$AP$3,AP23&lt;=$AP$2),IF(AP23=$AP$2,$AP$5+100,$AP$5),0)</f>
        <v/>
      </c>
      <c r="AR23" s="49">
        <f>IF(AND($AQ23&gt;0,AP23&gt;$AP$6),1,0)</f>
        <v/>
      </c>
      <c r="AS23" s="49">
        <f>IF(AR23=1,SUM($AR$15:AR23),"")</f>
        <v/>
      </c>
      <c r="AT23" s="51">
        <f>IF(AR23=1,$AQ23/(1+$AP$8/2)^(AS23-1),0)</f>
        <v/>
      </c>
      <c r="AU23" s="51">
        <f>IF(AR23=1,$AQ23/(1+($AP$8+0.0001)/2)^(AS23-1),0)</f>
        <v/>
      </c>
      <c r="AV23" s="51">
        <f>IF(AR23=1,$AQ23/(1+($AP$8-0.0001)/2)^(AS23-1),0)</f>
        <v/>
      </c>
      <c r="AW23" s="49">
        <f>IF(AND($AQ23&gt;0,AP23&gt;$AP$7),1,0)</f>
        <v/>
      </c>
      <c r="AX23" s="49">
        <f>IF(AW23=1,SUM($AW$15:AW23),"")</f>
        <v/>
      </c>
      <c r="AY23" s="51">
        <f>IF(AW23=1,$AQ23/(1+$AP$104/2)^(AX23-1),0)</f>
        <v/>
      </c>
      <c r="AZ23" s="51">
        <f>IF(AW23=1,$AQ23/(1+($AP$104+0.0001)/2)^(AX23-1),0)</f>
        <v/>
      </c>
      <c r="BA23" s="51">
        <f>IF(AW23=1,$AQ23/(1+($AP$104-0.0001)/2)^(AX23-1),0)</f>
        <v/>
      </c>
      <c r="BB23" s="51">
        <f>IF(AW23=1,$AQ23/(1+$AP$109/2)^(AX23-1),0)</f>
        <v/>
      </c>
      <c r="BC23" s="51">
        <f>IF(AW23=1,$AQ23/(1+$AP$111/2)^(AX23-1),0)</f>
        <v/>
      </c>
      <c r="BD23" s="51">
        <f>IF(AW23=1,$AQ23/(1+($AP$111+0.0001)/2)^(AX23-1),0)</f>
        <v/>
      </c>
      <c r="BE23" s="51">
        <f>IF(AW23=1,$AQ23/(1+($AP$111-0.0001)/2)^(AX23-1),0)</f>
        <v/>
      </c>
      <c r="BF23" s="51">
        <f>IF(AND($AQ23&gt;0,AP23&gt;$AP$6,AP23&lt;=$AP$7),$AQ23*(1+$AP$10*($AP$7-AP23)/365),0)</f>
        <v/>
      </c>
    </row>
    <row r="24">
      <c r="A24" s="49" t="n">
        <v>10</v>
      </c>
      <c r="B24" s="50">
        <f>EDATE($B$2,-6*(62-$A24))</f>
        <v/>
      </c>
      <c r="C24" s="51">
        <f>IF(AND(B24&gt;$B$3,B24&lt;=$B$2),IF(B24=$B$2,$B$5+100,$B$5),0)</f>
        <v/>
      </c>
      <c r="D24" s="49">
        <f>IF(AND($C24&gt;0,B24&gt;$B$6),1,0)</f>
        <v/>
      </c>
      <c r="E24" s="49">
        <f>IF(D24=1,SUM($D$15:D24),"")</f>
        <v/>
      </c>
      <c r="F24" s="51">
        <f>IF(D24=1,$C24/(1+$B$8/2)^(E24-1),0)</f>
        <v/>
      </c>
      <c r="G24" s="51">
        <f>IF(D24=1,$C24/(1+($B$8+0.0001)/2)^(E24-1),0)</f>
        <v/>
      </c>
      <c r="H24" s="51">
        <f>IF(D24=1,$C24/(1+($B$8-0.0001)/2)^(E24-1),0)</f>
        <v/>
      </c>
      <c r="I24" s="49">
        <f>IF(AND($C24&gt;0,B24&gt;$B$7),1,0)</f>
        <v/>
      </c>
      <c r="J24" s="49">
        <f>IF(I24=1,SUM($I$15:I24),"")</f>
        <v/>
      </c>
      <c r="K24" s="51">
        <f>IF(I24=1,$C24/(1+$B$104/2)^(J24-1),0)</f>
        <v/>
      </c>
      <c r="L24" s="51">
        <f>IF(I24=1,$C24/(1+($B$104+0.0001)/2)^(J24-1),0)</f>
        <v/>
      </c>
      <c r="M24" s="51">
        <f>IF(I24=1,$C24/(1+($B$104-0.0001)/2)^(J24-1),0)</f>
        <v/>
      </c>
      <c r="N24" s="51">
        <f>IF(I24=1,$C24/(1+$B$109/2)^(J24-1),0)</f>
        <v/>
      </c>
      <c r="O24" s="51">
        <f>IF(I24=1,$C24/(1+$B$111/2)^(J24-1),0)</f>
        <v/>
      </c>
      <c r="P24" s="51">
        <f>IF(I24=1,$C24/(1+($B$111+0.0001)/2)^(J24-1),0)</f>
        <v/>
      </c>
      <c r="Q24" s="51">
        <f>IF(I24=1,$C24/(1+($B$111-0.0001)/2)^(J24-1),0)</f>
        <v/>
      </c>
      <c r="R24" s="51">
        <f>IF(AND($C24&gt;0,B24&gt;$B$6,B24&lt;=$B$7),$C24*(1+$B$10*($B$7-B24)/365),0)</f>
        <v/>
      </c>
      <c r="U24" s="49" t="n">
        <v>10</v>
      </c>
      <c r="V24" s="50">
        <f>EDATE($V$2,-6*(62-$U24))</f>
        <v/>
      </c>
      <c r="W24" s="51">
        <f>IF(AND(V24&gt;$V$3,V24&lt;=$V$2),IF(V24=$V$2,$V$5+100,$V$5),0)</f>
        <v/>
      </c>
      <c r="X24" s="49">
        <f>IF(AND($W24&gt;0,V24&gt;$V$6),1,0)</f>
        <v/>
      </c>
      <c r="Y24" s="49">
        <f>IF(X24=1,SUM($X$15:X24),"")</f>
        <v/>
      </c>
      <c r="Z24" s="51">
        <f>IF(X24=1,$W24/(1+$V$8/2)^(Y24-1),0)</f>
        <v/>
      </c>
      <c r="AA24" s="51">
        <f>IF(X24=1,$W24/(1+($V$8+0.0001)/2)^(Y24-1),0)</f>
        <v/>
      </c>
      <c r="AB24" s="51">
        <f>IF(X24=1,$W24/(1+($V$8-0.0001)/2)^(Y24-1),0)</f>
        <v/>
      </c>
      <c r="AC24" s="49">
        <f>IF(AND($W24&gt;0,V24&gt;$V$7),1,0)</f>
        <v/>
      </c>
      <c r="AD24" s="49">
        <f>IF(AC24=1,SUM($AC$15:AC24),"")</f>
        <v/>
      </c>
      <c r="AE24" s="51">
        <f>IF(AC24=1,$W24/(1+$V$104/2)^(AD24-1),0)</f>
        <v/>
      </c>
      <c r="AF24" s="51">
        <f>IF(AC24=1,$W24/(1+($V$104+0.0001)/2)^(AD24-1),0)</f>
        <v/>
      </c>
      <c r="AG24" s="51">
        <f>IF(AC24=1,$W24/(1+($V$104-0.0001)/2)^(AD24-1),0)</f>
        <v/>
      </c>
      <c r="AH24" s="51">
        <f>IF(AC24=1,$W24/(1+$V$109/2)^(AD24-1),0)</f>
        <v/>
      </c>
      <c r="AI24" s="51">
        <f>IF(AC24=1,$W24/(1+$V$111/2)^(AD24-1),0)</f>
        <v/>
      </c>
      <c r="AJ24" s="51">
        <f>IF(AC24=1,$W24/(1+($V$111+0.0001)/2)^(AD24-1),0)</f>
        <v/>
      </c>
      <c r="AK24" s="51">
        <f>IF(AC24=1,$W24/(1+($V$111-0.0001)/2)^(AD24-1),0)</f>
        <v/>
      </c>
      <c r="AL24" s="51">
        <f>IF(AND($W24&gt;0,V24&gt;$V$6,V24&lt;=$V$7),$W24*(1+$V$10*($V$7-V24)/365),0)</f>
        <v/>
      </c>
      <c r="AO24" s="49" t="n">
        <v>10</v>
      </c>
      <c r="AP24" s="50">
        <f>EDATE($AP$2,-6*(62-$AO24))</f>
        <v/>
      </c>
      <c r="AQ24" s="51">
        <f>IF(AND(AP24&gt;$AP$3,AP24&lt;=$AP$2),IF(AP24=$AP$2,$AP$5+100,$AP$5),0)</f>
        <v/>
      </c>
      <c r="AR24" s="49">
        <f>IF(AND($AQ24&gt;0,AP24&gt;$AP$6),1,0)</f>
        <v/>
      </c>
      <c r="AS24" s="49">
        <f>IF(AR24=1,SUM($AR$15:AR24),"")</f>
        <v/>
      </c>
      <c r="AT24" s="51">
        <f>IF(AR24=1,$AQ24/(1+$AP$8/2)^(AS24-1),0)</f>
        <v/>
      </c>
      <c r="AU24" s="51">
        <f>IF(AR24=1,$AQ24/(1+($AP$8+0.0001)/2)^(AS24-1),0)</f>
        <v/>
      </c>
      <c r="AV24" s="51">
        <f>IF(AR24=1,$AQ24/(1+($AP$8-0.0001)/2)^(AS24-1),0)</f>
        <v/>
      </c>
      <c r="AW24" s="49">
        <f>IF(AND($AQ24&gt;0,AP24&gt;$AP$7),1,0)</f>
        <v/>
      </c>
      <c r="AX24" s="49">
        <f>IF(AW24=1,SUM($AW$15:AW24),"")</f>
        <v/>
      </c>
      <c r="AY24" s="51">
        <f>IF(AW24=1,$AQ24/(1+$AP$104/2)^(AX24-1),0)</f>
        <v/>
      </c>
      <c r="AZ24" s="51">
        <f>IF(AW24=1,$AQ24/(1+($AP$104+0.0001)/2)^(AX24-1),0)</f>
        <v/>
      </c>
      <c r="BA24" s="51">
        <f>IF(AW24=1,$AQ24/(1+($AP$104-0.0001)/2)^(AX24-1),0)</f>
        <v/>
      </c>
      <c r="BB24" s="51">
        <f>IF(AW24=1,$AQ24/(1+$AP$109/2)^(AX24-1),0)</f>
        <v/>
      </c>
      <c r="BC24" s="51">
        <f>IF(AW24=1,$AQ24/(1+$AP$111/2)^(AX24-1),0)</f>
        <v/>
      </c>
      <c r="BD24" s="51">
        <f>IF(AW24=1,$AQ24/(1+($AP$111+0.0001)/2)^(AX24-1),0)</f>
        <v/>
      </c>
      <c r="BE24" s="51">
        <f>IF(AW24=1,$AQ24/(1+($AP$111-0.0001)/2)^(AX24-1),0)</f>
        <v/>
      </c>
      <c r="BF24" s="51">
        <f>IF(AND($AQ24&gt;0,AP24&gt;$AP$6,AP24&lt;=$AP$7),$AQ24*(1+$AP$10*($AP$7-AP24)/365),0)</f>
        <v/>
      </c>
    </row>
    <row r="25">
      <c r="A25" s="49" t="n">
        <v>11</v>
      </c>
      <c r="B25" s="50">
        <f>EDATE($B$2,-6*(62-$A25))</f>
        <v/>
      </c>
      <c r="C25" s="51">
        <f>IF(AND(B25&gt;$B$3,B25&lt;=$B$2),IF(B25=$B$2,$B$5+100,$B$5),0)</f>
        <v/>
      </c>
      <c r="D25" s="49">
        <f>IF(AND($C25&gt;0,B25&gt;$B$6),1,0)</f>
        <v/>
      </c>
      <c r="E25" s="49">
        <f>IF(D25=1,SUM($D$15:D25),"")</f>
        <v/>
      </c>
      <c r="F25" s="51">
        <f>IF(D25=1,$C25/(1+$B$8/2)^(E25-1),0)</f>
        <v/>
      </c>
      <c r="G25" s="51">
        <f>IF(D25=1,$C25/(1+($B$8+0.0001)/2)^(E25-1),0)</f>
        <v/>
      </c>
      <c r="H25" s="51">
        <f>IF(D25=1,$C25/(1+($B$8-0.0001)/2)^(E25-1),0)</f>
        <v/>
      </c>
      <c r="I25" s="49">
        <f>IF(AND($C25&gt;0,B25&gt;$B$7),1,0)</f>
        <v/>
      </c>
      <c r="J25" s="49">
        <f>IF(I25=1,SUM($I$15:I25),"")</f>
        <v/>
      </c>
      <c r="K25" s="51">
        <f>IF(I25=1,$C25/(1+$B$104/2)^(J25-1),0)</f>
        <v/>
      </c>
      <c r="L25" s="51">
        <f>IF(I25=1,$C25/(1+($B$104+0.0001)/2)^(J25-1),0)</f>
        <v/>
      </c>
      <c r="M25" s="51">
        <f>IF(I25=1,$C25/(1+($B$104-0.0001)/2)^(J25-1),0)</f>
        <v/>
      </c>
      <c r="N25" s="51">
        <f>IF(I25=1,$C25/(1+$B$109/2)^(J25-1),0)</f>
        <v/>
      </c>
      <c r="O25" s="51">
        <f>IF(I25=1,$C25/(1+$B$111/2)^(J25-1),0)</f>
        <v/>
      </c>
      <c r="P25" s="51">
        <f>IF(I25=1,$C25/(1+($B$111+0.0001)/2)^(J25-1),0)</f>
        <v/>
      </c>
      <c r="Q25" s="51">
        <f>IF(I25=1,$C25/(1+($B$111-0.0001)/2)^(J25-1),0)</f>
        <v/>
      </c>
      <c r="R25" s="51">
        <f>IF(AND($C25&gt;0,B25&gt;$B$6,B25&lt;=$B$7),$C25*(1+$B$10*($B$7-B25)/365),0)</f>
        <v/>
      </c>
      <c r="U25" s="49" t="n">
        <v>11</v>
      </c>
      <c r="V25" s="50">
        <f>EDATE($V$2,-6*(62-$U25))</f>
        <v/>
      </c>
      <c r="W25" s="51">
        <f>IF(AND(V25&gt;$V$3,V25&lt;=$V$2),IF(V25=$V$2,$V$5+100,$V$5),0)</f>
        <v/>
      </c>
      <c r="X25" s="49">
        <f>IF(AND($W25&gt;0,V25&gt;$V$6),1,0)</f>
        <v/>
      </c>
      <c r="Y25" s="49">
        <f>IF(X25=1,SUM($X$15:X25),"")</f>
        <v/>
      </c>
      <c r="Z25" s="51">
        <f>IF(X25=1,$W25/(1+$V$8/2)^(Y25-1),0)</f>
        <v/>
      </c>
      <c r="AA25" s="51">
        <f>IF(X25=1,$W25/(1+($V$8+0.0001)/2)^(Y25-1),0)</f>
        <v/>
      </c>
      <c r="AB25" s="51">
        <f>IF(X25=1,$W25/(1+($V$8-0.0001)/2)^(Y25-1),0)</f>
        <v/>
      </c>
      <c r="AC25" s="49">
        <f>IF(AND($W25&gt;0,V25&gt;$V$7),1,0)</f>
        <v/>
      </c>
      <c r="AD25" s="49">
        <f>IF(AC25=1,SUM($AC$15:AC25),"")</f>
        <v/>
      </c>
      <c r="AE25" s="51">
        <f>IF(AC25=1,$W25/(1+$V$104/2)^(AD25-1),0)</f>
        <v/>
      </c>
      <c r="AF25" s="51">
        <f>IF(AC25=1,$W25/(1+($V$104+0.0001)/2)^(AD25-1),0)</f>
        <v/>
      </c>
      <c r="AG25" s="51">
        <f>IF(AC25=1,$W25/(1+($V$104-0.0001)/2)^(AD25-1),0)</f>
        <v/>
      </c>
      <c r="AH25" s="51">
        <f>IF(AC25=1,$W25/(1+$V$109/2)^(AD25-1),0)</f>
        <v/>
      </c>
      <c r="AI25" s="51">
        <f>IF(AC25=1,$W25/(1+$V$111/2)^(AD25-1),0)</f>
        <v/>
      </c>
      <c r="AJ25" s="51">
        <f>IF(AC25=1,$W25/(1+($V$111+0.0001)/2)^(AD25-1),0)</f>
        <v/>
      </c>
      <c r="AK25" s="51">
        <f>IF(AC25=1,$W25/(1+($V$111-0.0001)/2)^(AD25-1),0)</f>
        <v/>
      </c>
      <c r="AL25" s="51">
        <f>IF(AND($W25&gt;0,V25&gt;$V$6,V25&lt;=$V$7),$W25*(1+$V$10*($V$7-V25)/365),0)</f>
        <v/>
      </c>
      <c r="AO25" s="49" t="n">
        <v>11</v>
      </c>
      <c r="AP25" s="50">
        <f>EDATE($AP$2,-6*(62-$AO25))</f>
        <v/>
      </c>
      <c r="AQ25" s="51">
        <f>IF(AND(AP25&gt;$AP$3,AP25&lt;=$AP$2),IF(AP25=$AP$2,$AP$5+100,$AP$5),0)</f>
        <v/>
      </c>
      <c r="AR25" s="49">
        <f>IF(AND($AQ25&gt;0,AP25&gt;$AP$6),1,0)</f>
        <v/>
      </c>
      <c r="AS25" s="49">
        <f>IF(AR25=1,SUM($AR$15:AR25),"")</f>
        <v/>
      </c>
      <c r="AT25" s="51">
        <f>IF(AR25=1,$AQ25/(1+$AP$8/2)^(AS25-1),0)</f>
        <v/>
      </c>
      <c r="AU25" s="51">
        <f>IF(AR25=1,$AQ25/(1+($AP$8+0.0001)/2)^(AS25-1),0)</f>
        <v/>
      </c>
      <c r="AV25" s="51">
        <f>IF(AR25=1,$AQ25/(1+($AP$8-0.0001)/2)^(AS25-1),0)</f>
        <v/>
      </c>
      <c r="AW25" s="49">
        <f>IF(AND($AQ25&gt;0,AP25&gt;$AP$7),1,0)</f>
        <v/>
      </c>
      <c r="AX25" s="49">
        <f>IF(AW25=1,SUM($AW$15:AW25),"")</f>
        <v/>
      </c>
      <c r="AY25" s="51">
        <f>IF(AW25=1,$AQ25/(1+$AP$104/2)^(AX25-1),0)</f>
        <v/>
      </c>
      <c r="AZ25" s="51">
        <f>IF(AW25=1,$AQ25/(1+($AP$104+0.0001)/2)^(AX25-1),0)</f>
        <v/>
      </c>
      <c r="BA25" s="51">
        <f>IF(AW25=1,$AQ25/(1+($AP$104-0.0001)/2)^(AX25-1),0)</f>
        <v/>
      </c>
      <c r="BB25" s="51">
        <f>IF(AW25=1,$AQ25/(1+$AP$109/2)^(AX25-1),0)</f>
        <v/>
      </c>
      <c r="BC25" s="51">
        <f>IF(AW25=1,$AQ25/(1+$AP$111/2)^(AX25-1),0)</f>
        <v/>
      </c>
      <c r="BD25" s="51">
        <f>IF(AW25=1,$AQ25/(1+($AP$111+0.0001)/2)^(AX25-1),0)</f>
        <v/>
      </c>
      <c r="BE25" s="51">
        <f>IF(AW25=1,$AQ25/(1+($AP$111-0.0001)/2)^(AX25-1),0)</f>
        <v/>
      </c>
      <c r="BF25" s="51">
        <f>IF(AND($AQ25&gt;0,AP25&gt;$AP$6,AP25&lt;=$AP$7),$AQ25*(1+$AP$10*($AP$7-AP25)/365),0)</f>
        <v/>
      </c>
    </row>
    <row r="26">
      <c r="A26" s="49" t="n">
        <v>12</v>
      </c>
      <c r="B26" s="50">
        <f>EDATE($B$2,-6*(62-$A26))</f>
        <v/>
      </c>
      <c r="C26" s="51">
        <f>IF(AND(B26&gt;$B$3,B26&lt;=$B$2),IF(B26=$B$2,$B$5+100,$B$5),0)</f>
        <v/>
      </c>
      <c r="D26" s="49">
        <f>IF(AND($C26&gt;0,B26&gt;$B$6),1,0)</f>
        <v/>
      </c>
      <c r="E26" s="49">
        <f>IF(D26=1,SUM($D$15:D26),"")</f>
        <v/>
      </c>
      <c r="F26" s="51">
        <f>IF(D26=1,$C26/(1+$B$8/2)^(E26-1),0)</f>
        <v/>
      </c>
      <c r="G26" s="51">
        <f>IF(D26=1,$C26/(1+($B$8+0.0001)/2)^(E26-1),0)</f>
        <v/>
      </c>
      <c r="H26" s="51">
        <f>IF(D26=1,$C26/(1+($B$8-0.0001)/2)^(E26-1),0)</f>
        <v/>
      </c>
      <c r="I26" s="49">
        <f>IF(AND($C26&gt;0,B26&gt;$B$7),1,0)</f>
        <v/>
      </c>
      <c r="J26" s="49">
        <f>IF(I26=1,SUM($I$15:I26),"")</f>
        <v/>
      </c>
      <c r="K26" s="51">
        <f>IF(I26=1,$C26/(1+$B$104/2)^(J26-1),0)</f>
        <v/>
      </c>
      <c r="L26" s="51">
        <f>IF(I26=1,$C26/(1+($B$104+0.0001)/2)^(J26-1),0)</f>
        <v/>
      </c>
      <c r="M26" s="51">
        <f>IF(I26=1,$C26/(1+($B$104-0.0001)/2)^(J26-1),0)</f>
        <v/>
      </c>
      <c r="N26" s="51">
        <f>IF(I26=1,$C26/(1+$B$109/2)^(J26-1),0)</f>
        <v/>
      </c>
      <c r="O26" s="51">
        <f>IF(I26=1,$C26/(1+$B$111/2)^(J26-1),0)</f>
        <v/>
      </c>
      <c r="P26" s="51">
        <f>IF(I26=1,$C26/(1+($B$111+0.0001)/2)^(J26-1),0)</f>
        <v/>
      </c>
      <c r="Q26" s="51">
        <f>IF(I26=1,$C26/(1+($B$111-0.0001)/2)^(J26-1),0)</f>
        <v/>
      </c>
      <c r="R26" s="51">
        <f>IF(AND($C26&gt;0,B26&gt;$B$6,B26&lt;=$B$7),$C26*(1+$B$10*($B$7-B26)/365),0)</f>
        <v/>
      </c>
      <c r="U26" s="49" t="n">
        <v>12</v>
      </c>
      <c r="V26" s="50">
        <f>EDATE($V$2,-6*(62-$U26))</f>
        <v/>
      </c>
      <c r="W26" s="51">
        <f>IF(AND(V26&gt;$V$3,V26&lt;=$V$2),IF(V26=$V$2,$V$5+100,$V$5),0)</f>
        <v/>
      </c>
      <c r="X26" s="49">
        <f>IF(AND($W26&gt;0,V26&gt;$V$6),1,0)</f>
        <v/>
      </c>
      <c r="Y26" s="49">
        <f>IF(X26=1,SUM($X$15:X26),"")</f>
        <v/>
      </c>
      <c r="Z26" s="51">
        <f>IF(X26=1,$W26/(1+$V$8/2)^(Y26-1),0)</f>
        <v/>
      </c>
      <c r="AA26" s="51">
        <f>IF(X26=1,$W26/(1+($V$8+0.0001)/2)^(Y26-1),0)</f>
        <v/>
      </c>
      <c r="AB26" s="51">
        <f>IF(X26=1,$W26/(1+($V$8-0.0001)/2)^(Y26-1),0)</f>
        <v/>
      </c>
      <c r="AC26" s="49">
        <f>IF(AND($W26&gt;0,V26&gt;$V$7),1,0)</f>
        <v/>
      </c>
      <c r="AD26" s="49">
        <f>IF(AC26=1,SUM($AC$15:AC26),"")</f>
        <v/>
      </c>
      <c r="AE26" s="51">
        <f>IF(AC26=1,$W26/(1+$V$104/2)^(AD26-1),0)</f>
        <v/>
      </c>
      <c r="AF26" s="51">
        <f>IF(AC26=1,$W26/(1+($V$104+0.0001)/2)^(AD26-1),0)</f>
        <v/>
      </c>
      <c r="AG26" s="51">
        <f>IF(AC26=1,$W26/(1+($V$104-0.0001)/2)^(AD26-1),0)</f>
        <v/>
      </c>
      <c r="AH26" s="51">
        <f>IF(AC26=1,$W26/(1+$V$109/2)^(AD26-1),0)</f>
        <v/>
      </c>
      <c r="AI26" s="51">
        <f>IF(AC26=1,$W26/(1+$V$111/2)^(AD26-1),0)</f>
        <v/>
      </c>
      <c r="AJ26" s="51">
        <f>IF(AC26=1,$W26/(1+($V$111+0.0001)/2)^(AD26-1),0)</f>
        <v/>
      </c>
      <c r="AK26" s="51">
        <f>IF(AC26=1,$W26/(1+($V$111-0.0001)/2)^(AD26-1),0)</f>
        <v/>
      </c>
      <c r="AL26" s="51">
        <f>IF(AND($W26&gt;0,V26&gt;$V$6,V26&lt;=$V$7),$W26*(1+$V$10*($V$7-V26)/365),0)</f>
        <v/>
      </c>
      <c r="AO26" s="49" t="n">
        <v>12</v>
      </c>
      <c r="AP26" s="50">
        <f>EDATE($AP$2,-6*(62-$AO26))</f>
        <v/>
      </c>
      <c r="AQ26" s="51">
        <f>IF(AND(AP26&gt;$AP$3,AP26&lt;=$AP$2),IF(AP26=$AP$2,$AP$5+100,$AP$5),0)</f>
        <v/>
      </c>
      <c r="AR26" s="49">
        <f>IF(AND($AQ26&gt;0,AP26&gt;$AP$6),1,0)</f>
        <v/>
      </c>
      <c r="AS26" s="49">
        <f>IF(AR26=1,SUM($AR$15:AR26),"")</f>
        <v/>
      </c>
      <c r="AT26" s="51">
        <f>IF(AR26=1,$AQ26/(1+$AP$8/2)^(AS26-1),0)</f>
        <v/>
      </c>
      <c r="AU26" s="51">
        <f>IF(AR26=1,$AQ26/(1+($AP$8+0.0001)/2)^(AS26-1),0)</f>
        <v/>
      </c>
      <c r="AV26" s="51">
        <f>IF(AR26=1,$AQ26/(1+($AP$8-0.0001)/2)^(AS26-1),0)</f>
        <v/>
      </c>
      <c r="AW26" s="49">
        <f>IF(AND($AQ26&gt;0,AP26&gt;$AP$7),1,0)</f>
        <v/>
      </c>
      <c r="AX26" s="49">
        <f>IF(AW26=1,SUM($AW$15:AW26),"")</f>
        <v/>
      </c>
      <c r="AY26" s="51">
        <f>IF(AW26=1,$AQ26/(1+$AP$104/2)^(AX26-1),0)</f>
        <v/>
      </c>
      <c r="AZ26" s="51">
        <f>IF(AW26=1,$AQ26/(1+($AP$104+0.0001)/2)^(AX26-1),0)</f>
        <v/>
      </c>
      <c r="BA26" s="51">
        <f>IF(AW26=1,$AQ26/(1+($AP$104-0.0001)/2)^(AX26-1),0)</f>
        <v/>
      </c>
      <c r="BB26" s="51">
        <f>IF(AW26=1,$AQ26/(1+$AP$109/2)^(AX26-1),0)</f>
        <v/>
      </c>
      <c r="BC26" s="51">
        <f>IF(AW26=1,$AQ26/(1+$AP$111/2)^(AX26-1),0)</f>
        <v/>
      </c>
      <c r="BD26" s="51">
        <f>IF(AW26=1,$AQ26/(1+($AP$111+0.0001)/2)^(AX26-1),0)</f>
        <v/>
      </c>
      <c r="BE26" s="51">
        <f>IF(AW26=1,$AQ26/(1+($AP$111-0.0001)/2)^(AX26-1),0)</f>
        <v/>
      </c>
      <c r="BF26" s="51">
        <f>IF(AND($AQ26&gt;0,AP26&gt;$AP$6,AP26&lt;=$AP$7),$AQ26*(1+$AP$10*($AP$7-AP26)/365),0)</f>
        <v/>
      </c>
    </row>
    <row r="27">
      <c r="A27" s="49" t="n">
        <v>13</v>
      </c>
      <c r="B27" s="50">
        <f>EDATE($B$2,-6*(62-$A27))</f>
        <v/>
      </c>
      <c r="C27" s="51">
        <f>IF(AND(B27&gt;$B$3,B27&lt;=$B$2),IF(B27=$B$2,$B$5+100,$B$5),0)</f>
        <v/>
      </c>
      <c r="D27" s="49">
        <f>IF(AND($C27&gt;0,B27&gt;$B$6),1,0)</f>
        <v/>
      </c>
      <c r="E27" s="49">
        <f>IF(D27=1,SUM($D$15:D27),"")</f>
        <v/>
      </c>
      <c r="F27" s="51">
        <f>IF(D27=1,$C27/(1+$B$8/2)^(E27-1),0)</f>
        <v/>
      </c>
      <c r="G27" s="51">
        <f>IF(D27=1,$C27/(1+($B$8+0.0001)/2)^(E27-1),0)</f>
        <v/>
      </c>
      <c r="H27" s="51">
        <f>IF(D27=1,$C27/(1+($B$8-0.0001)/2)^(E27-1),0)</f>
        <v/>
      </c>
      <c r="I27" s="49">
        <f>IF(AND($C27&gt;0,B27&gt;$B$7),1,0)</f>
        <v/>
      </c>
      <c r="J27" s="49">
        <f>IF(I27=1,SUM($I$15:I27),"")</f>
        <v/>
      </c>
      <c r="K27" s="51">
        <f>IF(I27=1,$C27/(1+$B$104/2)^(J27-1),0)</f>
        <v/>
      </c>
      <c r="L27" s="51">
        <f>IF(I27=1,$C27/(1+($B$104+0.0001)/2)^(J27-1),0)</f>
        <v/>
      </c>
      <c r="M27" s="51">
        <f>IF(I27=1,$C27/(1+($B$104-0.0001)/2)^(J27-1),0)</f>
        <v/>
      </c>
      <c r="N27" s="51">
        <f>IF(I27=1,$C27/(1+$B$109/2)^(J27-1),0)</f>
        <v/>
      </c>
      <c r="O27" s="51">
        <f>IF(I27=1,$C27/(1+$B$111/2)^(J27-1),0)</f>
        <v/>
      </c>
      <c r="P27" s="51">
        <f>IF(I27=1,$C27/(1+($B$111+0.0001)/2)^(J27-1),0)</f>
        <v/>
      </c>
      <c r="Q27" s="51">
        <f>IF(I27=1,$C27/(1+($B$111-0.0001)/2)^(J27-1),0)</f>
        <v/>
      </c>
      <c r="R27" s="51">
        <f>IF(AND($C27&gt;0,B27&gt;$B$6,B27&lt;=$B$7),$C27*(1+$B$10*($B$7-B27)/365),0)</f>
        <v/>
      </c>
      <c r="U27" s="49" t="n">
        <v>13</v>
      </c>
      <c r="V27" s="50">
        <f>EDATE($V$2,-6*(62-$U27))</f>
        <v/>
      </c>
      <c r="W27" s="51">
        <f>IF(AND(V27&gt;$V$3,V27&lt;=$V$2),IF(V27=$V$2,$V$5+100,$V$5),0)</f>
        <v/>
      </c>
      <c r="X27" s="49">
        <f>IF(AND($W27&gt;0,V27&gt;$V$6),1,0)</f>
        <v/>
      </c>
      <c r="Y27" s="49">
        <f>IF(X27=1,SUM($X$15:X27),"")</f>
        <v/>
      </c>
      <c r="Z27" s="51">
        <f>IF(X27=1,$W27/(1+$V$8/2)^(Y27-1),0)</f>
        <v/>
      </c>
      <c r="AA27" s="51">
        <f>IF(X27=1,$W27/(1+($V$8+0.0001)/2)^(Y27-1),0)</f>
        <v/>
      </c>
      <c r="AB27" s="51">
        <f>IF(X27=1,$W27/(1+($V$8-0.0001)/2)^(Y27-1),0)</f>
        <v/>
      </c>
      <c r="AC27" s="49">
        <f>IF(AND($W27&gt;0,V27&gt;$V$7),1,0)</f>
        <v/>
      </c>
      <c r="AD27" s="49">
        <f>IF(AC27=1,SUM($AC$15:AC27),"")</f>
        <v/>
      </c>
      <c r="AE27" s="51">
        <f>IF(AC27=1,$W27/(1+$V$104/2)^(AD27-1),0)</f>
        <v/>
      </c>
      <c r="AF27" s="51">
        <f>IF(AC27=1,$W27/(1+($V$104+0.0001)/2)^(AD27-1),0)</f>
        <v/>
      </c>
      <c r="AG27" s="51">
        <f>IF(AC27=1,$W27/(1+($V$104-0.0001)/2)^(AD27-1),0)</f>
        <v/>
      </c>
      <c r="AH27" s="51">
        <f>IF(AC27=1,$W27/(1+$V$109/2)^(AD27-1),0)</f>
        <v/>
      </c>
      <c r="AI27" s="51">
        <f>IF(AC27=1,$W27/(1+$V$111/2)^(AD27-1),0)</f>
        <v/>
      </c>
      <c r="AJ27" s="51">
        <f>IF(AC27=1,$W27/(1+($V$111+0.0001)/2)^(AD27-1),0)</f>
        <v/>
      </c>
      <c r="AK27" s="51">
        <f>IF(AC27=1,$W27/(1+($V$111-0.0001)/2)^(AD27-1),0)</f>
        <v/>
      </c>
      <c r="AL27" s="51">
        <f>IF(AND($W27&gt;0,V27&gt;$V$6,V27&lt;=$V$7),$W27*(1+$V$10*($V$7-V27)/365),0)</f>
        <v/>
      </c>
      <c r="AO27" s="49" t="n">
        <v>13</v>
      </c>
      <c r="AP27" s="50">
        <f>EDATE($AP$2,-6*(62-$AO27))</f>
        <v/>
      </c>
      <c r="AQ27" s="51">
        <f>IF(AND(AP27&gt;$AP$3,AP27&lt;=$AP$2),IF(AP27=$AP$2,$AP$5+100,$AP$5),0)</f>
        <v/>
      </c>
      <c r="AR27" s="49">
        <f>IF(AND($AQ27&gt;0,AP27&gt;$AP$6),1,0)</f>
        <v/>
      </c>
      <c r="AS27" s="49">
        <f>IF(AR27=1,SUM($AR$15:AR27),"")</f>
        <v/>
      </c>
      <c r="AT27" s="51">
        <f>IF(AR27=1,$AQ27/(1+$AP$8/2)^(AS27-1),0)</f>
        <v/>
      </c>
      <c r="AU27" s="51">
        <f>IF(AR27=1,$AQ27/(1+($AP$8+0.0001)/2)^(AS27-1),0)</f>
        <v/>
      </c>
      <c r="AV27" s="51">
        <f>IF(AR27=1,$AQ27/(1+($AP$8-0.0001)/2)^(AS27-1),0)</f>
        <v/>
      </c>
      <c r="AW27" s="49">
        <f>IF(AND($AQ27&gt;0,AP27&gt;$AP$7),1,0)</f>
        <v/>
      </c>
      <c r="AX27" s="49">
        <f>IF(AW27=1,SUM($AW$15:AW27),"")</f>
        <v/>
      </c>
      <c r="AY27" s="51">
        <f>IF(AW27=1,$AQ27/(1+$AP$104/2)^(AX27-1),0)</f>
        <v/>
      </c>
      <c r="AZ27" s="51">
        <f>IF(AW27=1,$AQ27/(1+($AP$104+0.0001)/2)^(AX27-1),0)</f>
        <v/>
      </c>
      <c r="BA27" s="51">
        <f>IF(AW27=1,$AQ27/(1+($AP$104-0.0001)/2)^(AX27-1),0)</f>
        <v/>
      </c>
      <c r="BB27" s="51">
        <f>IF(AW27=1,$AQ27/(1+$AP$109/2)^(AX27-1),0)</f>
        <v/>
      </c>
      <c r="BC27" s="51">
        <f>IF(AW27=1,$AQ27/(1+$AP$111/2)^(AX27-1),0)</f>
        <v/>
      </c>
      <c r="BD27" s="51">
        <f>IF(AW27=1,$AQ27/(1+($AP$111+0.0001)/2)^(AX27-1),0)</f>
        <v/>
      </c>
      <c r="BE27" s="51">
        <f>IF(AW27=1,$AQ27/(1+($AP$111-0.0001)/2)^(AX27-1),0)</f>
        <v/>
      </c>
      <c r="BF27" s="51">
        <f>IF(AND($AQ27&gt;0,AP27&gt;$AP$6,AP27&lt;=$AP$7),$AQ27*(1+$AP$10*($AP$7-AP27)/365),0)</f>
        <v/>
      </c>
    </row>
    <row r="28">
      <c r="A28" s="49" t="n">
        <v>14</v>
      </c>
      <c r="B28" s="50">
        <f>EDATE($B$2,-6*(62-$A28))</f>
        <v/>
      </c>
      <c r="C28" s="51">
        <f>IF(AND(B28&gt;$B$3,B28&lt;=$B$2),IF(B28=$B$2,$B$5+100,$B$5),0)</f>
        <v/>
      </c>
      <c r="D28" s="49">
        <f>IF(AND($C28&gt;0,B28&gt;$B$6),1,0)</f>
        <v/>
      </c>
      <c r="E28" s="49">
        <f>IF(D28=1,SUM($D$15:D28),"")</f>
        <v/>
      </c>
      <c r="F28" s="51">
        <f>IF(D28=1,$C28/(1+$B$8/2)^(E28-1),0)</f>
        <v/>
      </c>
      <c r="G28" s="51">
        <f>IF(D28=1,$C28/(1+($B$8+0.0001)/2)^(E28-1),0)</f>
        <v/>
      </c>
      <c r="H28" s="51">
        <f>IF(D28=1,$C28/(1+($B$8-0.0001)/2)^(E28-1),0)</f>
        <v/>
      </c>
      <c r="I28" s="49">
        <f>IF(AND($C28&gt;0,B28&gt;$B$7),1,0)</f>
        <v/>
      </c>
      <c r="J28" s="49">
        <f>IF(I28=1,SUM($I$15:I28),"")</f>
        <v/>
      </c>
      <c r="K28" s="51">
        <f>IF(I28=1,$C28/(1+$B$104/2)^(J28-1),0)</f>
        <v/>
      </c>
      <c r="L28" s="51">
        <f>IF(I28=1,$C28/(1+($B$104+0.0001)/2)^(J28-1),0)</f>
        <v/>
      </c>
      <c r="M28" s="51">
        <f>IF(I28=1,$C28/(1+($B$104-0.0001)/2)^(J28-1),0)</f>
        <v/>
      </c>
      <c r="N28" s="51">
        <f>IF(I28=1,$C28/(1+$B$109/2)^(J28-1),0)</f>
        <v/>
      </c>
      <c r="O28" s="51">
        <f>IF(I28=1,$C28/(1+$B$111/2)^(J28-1),0)</f>
        <v/>
      </c>
      <c r="P28" s="51">
        <f>IF(I28=1,$C28/(1+($B$111+0.0001)/2)^(J28-1),0)</f>
        <v/>
      </c>
      <c r="Q28" s="51">
        <f>IF(I28=1,$C28/(1+($B$111-0.0001)/2)^(J28-1),0)</f>
        <v/>
      </c>
      <c r="R28" s="51">
        <f>IF(AND($C28&gt;0,B28&gt;$B$6,B28&lt;=$B$7),$C28*(1+$B$10*($B$7-B28)/365),0)</f>
        <v/>
      </c>
      <c r="U28" s="49" t="n">
        <v>14</v>
      </c>
      <c r="V28" s="50">
        <f>EDATE($V$2,-6*(62-$U28))</f>
        <v/>
      </c>
      <c r="W28" s="51">
        <f>IF(AND(V28&gt;$V$3,V28&lt;=$V$2),IF(V28=$V$2,$V$5+100,$V$5),0)</f>
        <v/>
      </c>
      <c r="X28" s="49">
        <f>IF(AND($W28&gt;0,V28&gt;$V$6),1,0)</f>
        <v/>
      </c>
      <c r="Y28" s="49">
        <f>IF(X28=1,SUM($X$15:X28),"")</f>
        <v/>
      </c>
      <c r="Z28" s="51">
        <f>IF(X28=1,$W28/(1+$V$8/2)^(Y28-1),0)</f>
        <v/>
      </c>
      <c r="AA28" s="51">
        <f>IF(X28=1,$W28/(1+($V$8+0.0001)/2)^(Y28-1),0)</f>
        <v/>
      </c>
      <c r="AB28" s="51">
        <f>IF(X28=1,$W28/(1+($V$8-0.0001)/2)^(Y28-1),0)</f>
        <v/>
      </c>
      <c r="AC28" s="49">
        <f>IF(AND($W28&gt;0,V28&gt;$V$7),1,0)</f>
        <v/>
      </c>
      <c r="AD28" s="49">
        <f>IF(AC28=1,SUM($AC$15:AC28),"")</f>
        <v/>
      </c>
      <c r="AE28" s="51">
        <f>IF(AC28=1,$W28/(1+$V$104/2)^(AD28-1),0)</f>
        <v/>
      </c>
      <c r="AF28" s="51">
        <f>IF(AC28=1,$W28/(1+($V$104+0.0001)/2)^(AD28-1),0)</f>
        <v/>
      </c>
      <c r="AG28" s="51">
        <f>IF(AC28=1,$W28/(1+($V$104-0.0001)/2)^(AD28-1),0)</f>
        <v/>
      </c>
      <c r="AH28" s="51">
        <f>IF(AC28=1,$W28/(1+$V$109/2)^(AD28-1),0)</f>
        <v/>
      </c>
      <c r="AI28" s="51">
        <f>IF(AC28=1,$W28/(1+$V$111/2)^(AD28-1),0)</f>
        <v/>
      </c>
      <c r="AJ28" s="51">
        <f>IF(AC28=1,$W28/(1+($V$111+0.0001)/2)^(AD28-1),0)</f>
        <v/>
      </c>
      <c r="AK28" s="51">
        <f>IF(AC28=1,$W28/(1+($V$111-0.0001)/2)^(AD28-1),0)</f>
        <v/>
      </c>
      <c r="AL28" s="51">
        <f>IF(AND($W28&gt;0,V28&gt;$V$6,V28&lt;=$V$7),$W28*(1+$V$10*($V$7-V28)/365),0)</f>
        <v/>
      </c>
      <c r="AO28" s="49" t="n">
        <v>14</v>
      </c>
      <c r="AP28" s="50">
        <f>EDATE($AP$2,-6*(62-$AO28))</f>
        <v/>
      </c>
      <c r="AQ28" s="51">
        <f>IF(AND(AP28&gt;$AP$3,AP28&lt;=$AP$2),IF(AP28=$AP$2,$AP$5+100,$AP$5),0)</f>
        <v/>
      </c>
      <c r="AR28" s="49">
        <f>IF(AND($AQ28&gt;0,AP28&gt;$AP$6),1,0)</f>
        <v/>
      </c>
      <c r="AS28" s="49">
        <f>IF(AR28=1,SUM($AR$15:AR28),"")</f>
        <v/>
      </c>
      <c r="AT28" s="51">
        <f>IF(AR28=1,$AQ28/(1+$AP$8/2)^(AS28-1),0)</f>
        <v/>
      </c>
      <c r="AU28" s="51">
        <f>IF(AR28=1,$AQ28/(1+($AP$8+0.0001)/2)^(AS28-1),0)</f>
        <v/>
      </c>
      <c r="AV28" s="51">
        <f>IF(AR28=1,$AQ28/(1+($AP$8-0.0001)/2)^(AS28-1),0)</f>
        <v/>
      </c>
      <c r="AW28" s="49">
        <f>IF(AND($AQ28&gt;0,AP28&gt;$AP$7),1,0)</f>
        <v/>
      </c>
      <c r="AX28" s="49">
        <f>IF(AW28=1,SUM($AW$15:AW28),"")</f>
        <v/>
      </c>
      <c r="AY28" s="51">
        <f>IF(AW28=1,$AQ28/(1+$AP$104/2)^(AX28-1),0)</f>
        <v/>
      </c>
      <c r="AZ28" s="51">
        <f>IF(AW28=1,$AQ28/(1+($AP$104+0.0001)/2)^(AX28-1),0)</f>
        <v/>
      </c>
      <c r="BA28" s="51">
        <f>IF(AW28=1,$AQ28/(1+($AP$104-0.0001)/2)^(AX28-1),0)</f>
        <v/>
      </c>
      <c r="BB28" s="51">
        <f>IF(AW28=1,$AQ28/(1+$AP$109/2)^(AX28-1),0)</f>
        <v/>
      </c>
      <c r="BC28" s="51">
        <f>IF(AW28=1,$AQ28/(1+$AP$111/2)^(AX28-1),0)</f>
        <v/>
      </c>
      <c r="BD28" s="51">
        <f>IF(AW28=1,$AQ28/(1+($AP$111+0.0001)/2)^(AX28-1),0)</f>
        <v/>
      </c>
      <c r="BE28" s="51">
        <f>IF(AW28=1,$AQ28/(1+($AP$111-0.0001)/2)^(AX28-1),0)</f>
        <v/>
      </c>
      <c r="BF28" s="51">
        <f>IF(AND($AQ28&gt;0,AP28&gt;$AP$6,AP28&lt;=$AP$7),$AQ28*(1+$AP$10*($AP$7-AP28)/365),0)</f>
        <v/>
      </c>
    </row>
    <row r="29">
      <c r="A29" s="49" t="n">
        <v>15</v>
      </c>
      <c r="B29" s="50">
        <f>EDATE($B$2,-6*(62-$A29))</f>
        <v/>
      </c>
      <c r="C29" s="51">
        <f>IF(AND(B29&gt;$B$3,B29&lt;=$B$2),IF(B29=$B$2,$B$5+100,$B$5),0)</f>
        <v/>
      </c>
      <c r="D29" s="49">
        <f>IF(AND($C29&gt;0,B29&gt;$B$6),1,0)</f>
        <v/>
      </c>
      <c r="E29" s="49">
        <f>IF(D29=1,SUM($D$15:D29),"")</f>
        <v/>
      </c>
      <c r="F29" s="51">
        <f>IF(D29=1,$C29/(1+$B$8/2)^(E29-1),0)</f>
        <v/>
      </c>
      <c r="G29" s="51">
        <f>IF(D29=1,$C29/(1+($B$8+0.0001)/2)^(E29-1),0)</f>
        <v/>
      </c>
      <c r="H29" s="51">
        <f>IF(D29=1,$C29/(1+($B$8-0.0001)/2)^(E29-1),0)</f>
        <v/>
      </c>
      <c r="I29" s="49">
        <f>IF(AND($C29&gt;0,B29&gt;$B$7),1,0)</f>
        <v/>
      </c>
      <c r="J29" s="49">
        <f>IF(I29=1,SUM($I$15:I29),"")</f>
        <v/>
      </c>
      <c r="K29" s="51">
        <f>IF(I29=1,$C29/(1+$B$104/2)^(J29-1),0)</f>
        <v/>
      </c>
      <c r="L29" s="51">
        <f>IF(I29=1,$C29/(1+($B$104+0.0001)/2)^(J29-1),0)</f>
        <v/>
      </c>
      <c r="M29" s="51">
        <f>IF(I29=1,$C29/(1+($B$104-0.0001)/2)^(J29-1),0)</f>
        <v/>
      </c>
      <c r="N29" s="51">
        <f>IF(I29=1,$C29/(1+$B$109/2)^(J29-1),0)</f>
        <v/>
      </c>
      <c r="O29" s="51">
        <f>IF(I29=1,$C29/(1+$B$111/2)^(J29-1),0)</f>
        <v/>
      </c>
      <c r="P29" s="51">
        <f>IF(I29=1,$C29/(1+($B$111+0.0001)/2)^(J29-1),0)</f>
        <v/>
      </c>
      <c r="Q29" s="51">
        <f>IF(I29=1,$C29/(1+($B$111-0.0001)/2)^(J29-1),0)</f>
        <v/>
      </c>
      <c r="R29" s="51">
        <f>IF(AND($C29&gt;0,B29&gt;$B$6,B29&lt;=$B$7),$C29*(1+$B$10*($B$7-B29)/365),0)</f>
        <v/>
      </c>
      <c r="U29" s="49" t="n">
        <v>15</v>
      </c>
      <c r="V29" s="50">
        <f>EDATE($V$2,-6*(62-$U29))</f>
        <v/>
      </c>
      <c r="W29" s="51">
        <f>IF(AND(V29&gt;$V$3,V29&lt;=$V$2),IF(V29=$V$2,$V$5+100,$V$5),0)</f>
        <v/>
      </c>
      <c r="X29" s="49">
        <f>IF(AND($W29&gt;0,V29&gt;$V$6),1,0)</f>
        <v/>
      </c>
      <c r="Y29" s="49">
        <f>IF(X29=1,SUM($X$15:X29),"")</f>
        <v/>
      </c>
      <c r="Z29" s="51">
        <f>IF(X29=1,$W29/(1+$V$8/2)^(Y29-1),0)</f>
        <v/>
      </c>
      <c r="AA29" s="51">
        <f>IF(X29=1,$W29/(1+($V$8+0.0001)/2)^(Y29-1),0)</f>
        <v/>
      </c>
      <c r="AB29" s="51">
        <f>IF(X29=1,$W29/(1+($V$8-0.0001)/2)^(Y29-1),0)</f>
        <v/>
      </c>
      <c r="AC29" s="49">
        <f>IF(AND($W29&gt;0,V29&gt;$V$7),1,0)</f>
        <v/>
      </c>
      <c r="AD29" s="49">
        <f>IF(AC29=1,SUM($AC$15:AC29),"")</f>
        <v/>
      </c>
      <c r="AE29" s="51">
        <f>IF(AC29=1,$W29/(1+$V$104/2)^(AD29-1),0)</f>
        <v/>
      </c>
      <c r="AF29" s="51">
        <f>IF(AC29=1,$W29/(1+($V$104+0.0001)/2)^(AD29-1),0)</f>
        <v/>
      </c>
      <c r="AG29" s="51">
        <f>IF(AC29=1,$W29/(1+($V$104-0.0001)/2)^(AD29-1),0)</f>
        <v/>
      </c>
      <c r="AH29" s="51">
        <f>IF(AC29=1,$W29/(1+$V$109/2)^(AD29-1),0)</f>
        <v/>
      </c>
      <c r="AI29" s="51">
        <f>IF(AC29=1,$W29/(1+$V$111/2)^(AD29-1),0)</f>
        <v/>
      </c>
      <c r="AJ29" s="51">
        <f>IF(AC29=1,$W29/(1+($V$111+0.0001)/2)^(AD29-1),0)</f>
        <v/>
      </c>
      <c r="AK29" s="51">
        <f>IF(AC29=1,$W29/(1+($V$111-0.0001)/2)^(AD29-1),0)</f>
        <v/>
      </c>
      <c r="AL29" s="51">
        <f>IF(AND($W29&gt;0,V29&gt;$V$6,V29&lt;=$V$7),$W29*(1+$V$10*($V$7-V29)/365),0)</f>
        <v/>
      </c>
      <c r="AO29" s="49" t="n">
        <v>15</v>
      </c>
      <c r="AP29" s="50">
        <f>EDATE($AP$2,-6*(62-$AO29))</f>
        <v/>
      </c>
      <c r="AQ29" s="51">
        <f>IF(AND(AP29&gt;$AP$3,AP29&lt;=$AP$2),IF(AP29=$AP$2,$AP$5+100,$AP$5),0)</f>
        <v/>
      </c>
      <c r="AR29" s="49">
        <f>IF(AND($AQ29&gt;0,AP29&gt;$AP$6),1,0)</f>
        <v/>
      </c>
      <c r="AS29" s="49">
        <f>IF(AR29=1,SUM($AR$15:AR29),"")</f>
        <v/>
      </c>
      <c r="AT29" s="51">
        <f>IF(AR29=1,$AQ29/(1+$AP$8/2)^(AS29-1),0)</f>
        <v/>
      </c>
      <c r="AU29" s="51">
        <f>IF(AR29=1,$AQ29/(1+($AP$8+0.0001)/2)^(AS29-1),0)</f>
        <v/>
      </c>
      <c r="AV29" s="51">
        <f>IF(AR29=1,$AQ29/(1+($AP$8-0.0001)/2)^(AS29-1),0)</f>
        <v/>
      </c>
      <c r="AW29" s="49">
        <f>IF(AND($AQ29&gt;0,AP29&gt;$AP$7),1,0)</f>
        <v/>
      </c>
      <c r="AX29" s="49">
        <f>IF(AW29=1,SUM($AW$15:AW29),"")</f>
        <v/>
      </c>
      <c r="AY29" s="51">
        <f>IF(AW29=1,$AQ29/(1+$AP$104/2)^(AX29-1),0)</f>
        <v/>
      </c>
      <c r="AZ29" s="51">
        <f>IF(AW29=1,$AQ29/(1+($AP$104+0.0001)/2)^(AX29-1),0)</f>
        <v/>
      </c>
      <c r="BA29" s="51">
        <f>IF(AW29=1,$AQ29/(1+($AP$104-0.0001)/2)^(AX29-1),0)</f>
        <v/>
      </c>
      <c r="BB29" s="51">
        <f>IF(AW29=1,$AQ29/(1+$AP$109/2)^(AX29-1),0)</f>
        <v/>
      </c>
      <c r="BC29" s="51">
        <f>IF(AW29=1,$AQ29/(1+$AP$111/2)^(AX29-1),0)</f>
        <v/>
      </c>
      <c r="BD29" s="51">
        <f>IF(AW29=1,$AQ29/(1+($AP$111+0.0001)/2)^(AX29-1),0)</f>
        <v/>
      </c>
      <c r="BE29" s="51">
        <f>IF(AW29=1,$AQ29/(1+($AP$111-0.0001)/2)^(AX29-1),0)</f>
        <v/>
      </c>
      <c r="BF29" s="51">
        <f>IF(AND($AQ29&gt;0,AP29&gt;$AP$6,AP29&lt;=$AP$7),$AQ29*(1+$AP$10*($AP$7-AP29)/365),0)</f>
        <v/>
      </c>
    </row>
    <row r="30">
      <c r="A30" s="49" t="n">
        <v>16</v>
      </c>
      <c r="B30" s="50">
        <f>EDATE($B$2,-6*(62-$A30))</f>
        <v/>
      </c>
      <c r="C30" s="51">
        <f>IF(AND(B30&gt;$B$3,B30&lt;=$B$2),IF(B30=$B$2,$B$5+100,$B$5),0)</f>
        <v/>
      </c>
      <c r="D30" s="49">
        <f>IF(AND($C30&gt;0,B30&gt;$B$6),1,0)</f>
        <v/>
      </c>
      <c r="E30" s="49">
        <f>IF(D30=1,SUM($D$15:D30),"")</f>
        <v/>
      </c>
      <c r="F30" s="51">
        <f>IF(D30=1,$C30/(1+$B$8/2)^(E30-1),0)</f>
        <v/>
      </c>
      <c r="G30" s="51">
        <f>IF(D30=1,$C30/(1+($B$8+0.0001)/2)^(E30-1),0)</f>
        <v/>
      </c>
      <c r="H30" s="51">
        <f>IF(D30=1,$C30/(1+($B$8-0.0001)/2)^(E30-1),0)</f>
        <v/>
      </c>
      <c r="I30" s="49">
        <f>IF(AND($C30&gt;0,B30&gt;$B$7),1,0)</f>
        <v/>
      </c>
      <c r="J30" s="49">
        <f>IF(I30=1,SUM($I$15:I30),"")</f>
        <v/>
      </c>
      <c r="K30" s="51">
        <f>IF(I30=1,$C30/(1+$B$104/2)^(J30-1),0)</f>
        <v/>
      </c>
      <c r="L30" s="51">
        <f>IF(I30=1,$C30/(1+($B$104+0.0001)/2)^(J30-1),0)</f>
        <v/>
      </c>
      <c r="M30" s="51">
        <f>IF(I30=1,$C30/(1+($B$104-0.0001)/2)^(J30-1),0)</f>
        <v/>
      </c>
      <c r="N30" s="51">
        <f>IF(I30=1,$C30/(1+$B$109/2)^(J30-1),0)</f>
        <v/>
      </c>
      <c r="O30" s="51">
        <f>IF(I30=1,$C30/(1+$B$111/2)^(J30-1),0)</f>
        <v/>
      </c>
      <c r="P30" s="51">
        <f>IF(I30=1,$C30/(1+($B$111+0.0001)/2)^(J30-1),0)</f>
        <v/>
      </c>
      <c r="Q30" s="51">
        <f>IF(I30=1,$C30/(1+($B$111-0.0001)/2)^(J30-1),0)</f>
        <v/>
      </c>
      <c r="R30" s="51">
        <f>IF(AND($C30&gt;0,B30&gt;$B$6,B30&lt;=$B$7),$C30*(1+$B$10*($B$7-B30)/365),0)</f>
        <v/>
      </c>
      <c r="U30" s="49" t="n">
        <v>16</v>
      </c>
      <c r="V30" s="50">
        <f>EDATE($V$2,-6*(62-$U30))</f>
        <v/>
      </c>
      <c r="W30" s="51">
        <f>IF(AND(V30&gt;$V$3,V30&lt;=$V$2),IF(V30=$V$2,$V$5+100,$V$5),0)</f>
        <v/>
      </c>
      <c r="X30" s="49">
        <f>IF(AND($W30&gt;0,V30&gt;$V$6),1,0)</f>
        <v/>
      </c>
      <c r="Y30" s="49">
        <f>IF(X30=1,SUM($X$15:X30),"")</f>
        <v/>
      </c>
      <c r="Z30" s="51">
        <f>IF(X30=1,$W30/(1+$V$8/2)^(Y30-1),0)</f>
        <v/>
      </c>
      <c r="AA30" s="51">
        <f>IF(X30=1,$W30/(1+($V$8+0.0001)/2)^(Y30-1),0)</f>
        <v/>
      </c>
      <c r="AB30" s="51">
        <f>IF(X30=1,$W30/(1+($V$8-0.0001)/2)^(Y30-1),0)</f>
        <v/>
      </c>
      <c r="AC30" s="49">
        <f>IF(AND($W30&gt;0,V30&gt;$V$7),1,0)</f>
        <v/>
      </c>
      <c r="AD30" s="49">
        <f>IF(AC30=1,SUM($AC$15:AC30),"")</f>
        <v/>
      </c>
      <c r="AE30" s="51">
        <f>IF(AC30=1,$W30/(1+$V$104/2)^(AD30-1),0)</f>
        <v/>
      </c>
      <c r="AF30" s="51">
        <f>IF(AC30=1,$W30/(1+($V$104+0.0001)/2)^(AD30-1),0)</f>
        <v/>
      </c>
      <c r="AG30" s="51">
        <f>IF(AC30=1,$W30/(1+($V$104-0.0001)/2)^(AD30-1),0)</f>
        <v/>
      </c>
      <c r="AH30" s="51">
        <f>IF(AC30=1,$W30/(1+$V$109/2)^(AD30-1),0)</f>
        <v/>
      </c>
      <c r="AI30" s="51">
        <f>IF(AC30=1,$W30/(1+$V$111/2)^(AD30-1),0)</f>
        <v/>
      </c>
      <c r="AJ30" s="51">
        <f>IF(AC30=1,$W30/(1+($V$111+0.0001)/2)^(AD30-1),0)</f>
        <v/>
      </c>
      <c r="AK30" s="51">
        <f>IF(AC30=1,$W30/(1+($V$111-0.0001)/2)^(AD30-1),0)</f>
        <v/>
      </c>
      <c r="AL30" s="51">
        <f>IF(AND($W30&gt;0,V30&gt;$V$6,V30&lt;=$V$7),$W30*(1+$V$10*($V$7-V30)/365),0)</f>
        <v/>
      </c>
      <c r="AO30" s="49" t="n">
        <v>16</v>
      </c>
      <c r="AP30" s="50">
        <f>EDATE($AP$2,-6*(62-$AO30))</f>
        <v/>
      </c>
      <c r="AQ30" s="51">
        <f>IF(AND(AP30&gt;$AP$3,AP30&lt;=$AP$2),IF(AP30=$AP$2,$AP$5+100,$AP$5),0)</f>
        <v/>
      </c>
      <c r="AR30" s="49">
        <f>IF(AND($AQ30&gt;0,AP30&gt;$AP$6),1,0)</f>
        <v/>
      </c>
      <c r="AS30" s="49">
        <f>IF(AR30=1,SUM($AR$15:AR30),"")</f>
        <v/>
      </c>
      <c r="AT30" s="51">
        <f>IF(AR30=1,$AQ30/(1+$AP$8/2)^(AS30-1),0)</f>
        <v/>
      </c>
      <c r="AU30" s="51">
        <f>IF(AR30=1,$AQ30/(1+($AP$8+0.0001)/2)^(AS30-1),0)</f>
        <v/>
      </c>
      <c r="AV30" s="51">
        <f>IF(AR30=1,$AQ30/(1+($AP$8-0.0001)/2)^(AS30-1),0)</f>
        <v/>
      </c>
      <c r="AW30" s="49">
        <f>IF(AND($AQ30&gt;0,AP30&gt;$AP$7),1,0)</f>
        <v/>
      </c>
      <c r="AX30" s="49">
        <f>IF(AW30=1,SUM($AW$15:AW30),"")</f>
        <v/>
      </c>
      <c r="AY30" s="51">
        <f>IF(AW30=1,$AQ30/(1+$AP$104/2)^(AX30-1),0)</f>
        <v/>
      </c>
      <c r="AZ30" s="51">
        <f>IF(AW30=1,$AQ30/(1+($AP$104+0.0001)/2)^(AX30-1),0)</f>
        <v/>
      </c>
      <c r="BA30" s="51">
        <f>IF(AW30=1,$AQ30/(1+($AP$104-0.0001)/2)^(AX30-1),0)</f>
        <v/>
      </c>
      <c r="BB30" s="51">
        <f>IF(AW30=1,$AQ30/(1+$AP$109/2)^(AX30-1),0)</f>
        <v/>
      </c>
      <c r="BC30" s="51">
        <f>IF(AW30=1,$AQ30/(1+$AP$111/2)^(AX30-1),0)</f>
        <v/>
      </c>
      <c r="BD30" s="51">
        <f>IF(AW30=1,$AQ30/(1+($AP$111+0.0001)/2)^(AX30-1),0)</f>
        <v/>
      </c>
      <c r="BE30" s="51">
        <f>IF(AW30=1,$AQ30/(1+($AP$111-0.0001)/2)^(AX30-1),0)</f>
        <v/>
      </c>
      <c r="BF30" s="51">
        <f>IF(AND($AQ30&gt;0,AP30&gt;$AP$6,AP30&lt;=$AP$7),$AQ30*(1+$AP$10*($AP$7-AP30)/365),0)</f>
        <v/>
      </c>
    </row>
    <row r="31">
      <c r="A31" s="49" t="n">
        <v>17</v>
      </c>
      <c r="B31" s="50">
        <f>EDATE($B$2,-6*(62-$A31))</f>
        <v/>
      </c>
      <c r="C31" s="51">
        <f>IF(AND(B31&gt;$B$3,B31&lt;=$B$2),IF(B31=$B$2,$B$5+100,$B$5),0)</f>
        <v/>
      </c>
      <c r="D31" s="49">
        <f>IF(AND($C31&gt;0,B31&gt;$B$6),1,0)</f>
        <v/>
      </c>
      <c r="E31" s="49">
        <f>IF(D31=1,SUM($D$15:D31),"")</f>
        <v/>
      </c>
      <c r="F31" s="51">
        <f>IF(D31=1,$C31/(1+$B$8/2)^(E31-1),0)</f>
        <v/>
      </c>
      <c r="G31" s="51">
        <f>IF(D31=1,$C31/(1+($B$8+0.0001)/2)^(E31-1),0)</f>
        <v/>
      </c>
      <c r="H31" s="51">
        <f>IF(D31=1,$C31/(1+($B$8-0.0001)/2)^(E31-1),0)</f>
        <v/>
      </c>
      <c r="I31" s="49">
        <f>IF(AND($C31&gt;0,B31&gt;$B$7),1,0)</f>
        <v/>
      </c>
      <c r="J31" s="49">
        <f>IF(I31=1,SUM($I$15:I31),"")</f>
        <v/>
      </c>
      <c r="K31" s="51">
        <f>IF(I31=1,$C31/(1+$B$104/2)^(J31-1),0)</f>
        <v/>
      </c>
      <c r="L31" s="51">
        <f>IF(I31=1,$C31/(1+($B$104+0.0001)/2)^(J31-1),0)</f>
        <v/>
      </c>
      <c r="M31" s="51">
        <f>IF(I31=1,$C31/(1+($B$104-0.0001)/2)^(J31-1),0)</f>
        <v/>
      </c>
      <c r="N31" s="51">
        <f>IF(I31=1,$C31/(1+$B$109/2)^(J31-1),0)</f>
        <v/>
      </c>
      <c r="O31" s="51">
        <f>IF(I31=1,$C31/(1+$B$111/2)^(J31-1),0)</f>
        <v/>
      </c>
      <c r="P31" s="51">
        <f>IF(I31=1,$C31/(1+($B$111+0.0001)/2)^(J31-1),0)</f>
        <v/>
      </c>
      <c r="Q31" s="51">
        <f>IF(I31=1,$C31/(1+($B$111-0.0001)/2)^(J31-1),0)</f>
        <v/>
      </c>
      <c r="R31" s="51">
        <f>IF(AND($C31&gt;0,B31&gt;$B$6,B31&lt;=$B$7),$C31*(1+$B$10*($B$7-B31)/365),0)</f>
        <v/>
      </c>
      <c r="U31" s="49" t="n">
        <v>17</v>
      </c>
      <c r="V31" s="50">
        <f>EDATE($V$2,-6*(62-$U31))</f>
        <v/>
      </c>
      <c r="W31" s="51">
        <f>IF(AND(V31&gt;$V$3,V31&lt;=$V$2),IF(V31=$V$2,$V$5+100,$V$5),0)</f>
        <v/>
      </c>
      <c r="X31" s="49">
        <f>IF(AND($W31&gt;0,V31&gt;$V$6),1,0)</f>
        <v/>
      </c>
      <c r="Y31" s="49">
        <f>IF(X31=1,SUM($X$15:X31),"")</f>
        <v/>
      </c>
      <c r="Z31" s="51">
        <f>IF(X31=1,$W31/(1+$V$8/2)^(Y31-1),0)</f>
        <v/>
      </c>
      <c r="AA31" s="51">
        <f>IF(X31=1,$W31/(1+($V$8+0.0001)/2)^(Y31-1),0)</f>
        <v/>
      </c>
      <c r="AB31" s="51">
        <f>IF(X31=1,$W31/(1+($V$8-0.0001)/2)^(Y31-1),0)</f>
        <v/>
      </c>
      <c r="AC31" s="49">
        <f>IF(AND($W31&gt;0,V31&gt;$V$7),1,0)</f>
        <v/>
      </c>
      <c r="AD31" s="49">
        <f>IF(AC31=1,SUM($AC$15:AC31),"")</f>
        <v/>
      </c>
      <c r="AE31" s="51">
        <f>IF(AC31=1,$W31/(1+$V$104/2)^(AD31-1),0)</f>
        <v/>
      </c>
      <c r="AF31" s="51">
        <f>IF(AC31=1,$W31/(1+($V$104+0.0001)/2)^(AD31-1),0)</f>
        <v/>
      </c>
      <c r="AG31" s="51">
        <f>IF(AC31=1,$W31/(1+($V$104-0.0001)/2)^(AD31-1),0)</f>
        <v/>
      </c>
      <c r="AH31" s="51">
        <f>IF(AC31=1,$W31/(1+$V$109/2)^(AD31-1),0)</f>
        <v/>
      </c>
      <c r="AI31" s="51">
        <f>IF(AC31=1,$W31/(1+$V$111/2)^(AD31-1),0)</f>
        <v/>
      </c>
      <c r="AJ31" s="51">
        <f>IF(AC31=1,$W31/(1+($V$111+0.0001)/2)^(AD31-1),0)</f>
        <v/>
      </c>
      <c r="AK31" s="51">
        <f>IF(AC31=1,$W31/(1+($V$111-0.0001)/2)^(AD31-1),0)</f>
        <v/>
      </c>
      <c r="AL31" s="51">
        <f>IF(AND($W31&gt;0,V31&gt;$V$6,V31&lt;=$V$7),$W31*(1+$V$10*($V$7-V31)/365),0)</f>
        <v/>
      </c>
      <c r="AO31" s="49" t="n">
        <v>17</v>
      </c>
      <c r="AP31" s="50">
        <f>EDATE($AP$2,-6*(62-$AO31))</f>
        <v/>
      </c>
      <c r="AQ31" s="51">
        <f>IF(AND(AP31&gt;$AP$3,AP31&lt;=$AP$2),IF(AP31=$AP$2,$AP$5+100,$AP$5),0)</f>
        <v/>
      </c>
      <c r="AR31" s="49">
        <f>IF(AND($AQ31&gt;0,AP31&gt;$AP$6),1,0)</f>
        <v/>
      </c>
      <c r="AS31" s="49">
        <f>IF(AR31=1,SUM($AR$15:AR31),"")</f>
        <v/>
      </c>
      <c r="AT31" s="51">
        <f>IF(AR31=1,$AQ31/(1+$AP$8/2)^(AS31-1),0)</f>
        <v/>
      </c>
      <c r="AU31" s="51">
        <f>IF(AR31=1,$AQ31/(1+($AP$8+0.0001)/2)^(AS31-1),0)</f>
        <v/>
      </c>
      <c r="AV31" s="51">
        <f>IF(AR31=1,$AQ31/(1+($AP$8-0.0001)/2)^(AS31-1),0)</f>
        <v/>
      </c>
      <c r="AW31" s="49">
        <f>IF(AND($AQ31&gt;0,AP31&gt;$AP$7),1,0)</f>
        <v/>
      </c>
      <c r="AX31" s="49">
        <f>IF(AW31=1,SUM($AW$15:AW31),"")</f>
        <v/>
      </c>
      <c r="AY31" s="51">
        <f>IF(AW31=1,$AQ31/(1+$AP$104/2)^(AX31-1),0)</f>
        <v/>
      </c>
      <c r="AZ31" s="51">
        <f>IF(AW31=1,$AQ31/(1+($AP$104+0.0001)/2)^(AX31-1),0)</f>
        <v/>
      </c>
      <c r="BA31" s="51">
        <f>IF(AW31=1,$AQ31/(1+($AP$104-0.0001)/2)^(AX31-1),0)</f>
        <v/>
      </c>
      <c r="BB31" s="51">
        <f>IF(AW31=1,$AQ31/(1+$AP$109/2)^(AX31-1),0)</f>
        <v/>
      </c>
      <c r="BC31" s="51">
        <f>IF(AW31=1,$AQ31/(1+$AP$111/2)^(AX31-1),0)</f>
        <v/>
      </c>
      <c r="BD31" s="51">
        <f>IF(AW31=1,$AQ31/(1+($AP$111+0.0001)/2)^(AX31-1),0)</f>
        <v/>
      </c>
      <c r="BE31" s="51">
        <f>IF(AW31=1,$AQ31/(1+($AP$111-0.0001)/2)^(AX31-1),0)</f>
        <v/>
      </c>
      <c r="BF31" s="51">
        <f>IF(AND($AQ31&gt;0,AP31&gt;$AP$6,AP31&lt;=$AP$7),$AQ31*(1+$AP$10*($AP$7-AP31)/365),0)</f>
        <v/>
      </c>
    </row>
    <row r="32">
      <c r="A32" s="49" t="n">
        <v>18</v>
      </c>
      <c r="B32" s="50">
        <f>EDATE($B$2,-6*(62-$A32))</f>
        <v/>
      </c>
      <c r="C32" s="51">
        <f>IF(AND(B32&gt;$B$3,B32&lt;=$B$2),IF(B32=$B$2,$B$5+100,$B$5),0)</f>
        <v/>
      </c>
      <c r="D32" s="49">
        <f>IF(AND($C32&gt;0,B32&gt;$B$6),1,0)</f>
        <v/>
      </c>
      <c r="E32" s="49">
        <f>IF(D32=1,SUM($D$15:D32),"")</f>
        <v/>
      </c>
      <c r="F32" s="51">
        <f>IF(D32=1,$C32/(1+$B$8/2)^(E32-1),0)</f>
        <v/>
      </c>
      <c r="G32" s="51">
        <f>IF(D32=1,$C32/(1+($B$8+0.0001)/2)^(E32-1),0)</f>
        <v/>
      </c>
      <c r="H32" s="51">
        <f>IF(D32=1,$C32/(1+($B$8-0.0001)/2)^(E32-1),0)</f>
        <v/>
      </c>
      <c r="I32" s="49">
        <f>IF(AND($C32&gt;0,B32&gt;$B$7),1,0)</f>
        <v/>
      </c>
      <c r="J32" s="49">
        <f>IF(I32=1,SUM($I$15:I32),"")</f>
        <v/>
      </c>
      <c r="K32" s="51">
        <f>IF(I32=1,$C32/(1+$B$104/2)^(J32-1),0)</f>
        <v/>
      </c>
      <c r="L32" s="51">
        <f>IF(I32=1,$C32/(1+($B$104+0.0001)/2)^(J32-1),0)</f>
        <v/>
      </c>
      <c r="M32" s="51">
        <f>IF(I32=1,$C32/(1+($B$104-0.0001)/2)^(J32-1),0)</f>
        <v/>
      </c>
      <c r="N32" s="51">
        <f>IF(I32=1,$C32/(1+$B$109/2)^(J32-1),0)</f>
        <v/>
      </c>
      <c r="O32" s="51">
        <f>IF(I32=1,$C32/(1+$B$111/2)^(J32-1),0)</f>
        <v/>
      </c>
      <c r="P32" s="51">
        <f>IF(I32=1,$C32/(1+($B$111+0.0001)/2)^(J32-1),0)</f>
        <v/>
      </c>
      <c r="Q32" s="51">
        <f>IF(I32=1,$C32/(1+($B$111-0.0001)/2)^(J32-1),0)</f>
        <v/>
      </c>
      <c r="R32" s="51">
        <f>IF(AND($C32&gt;0,B32&gt;$B$6,B32&lt;=$B$7),$C32*(1+$B$10*($B$7-B32)/365),0)</f>
        <v/>
      </c>
      <c r="U32" s="49" t="n">
        <v>18</v>
      </c>
      <c r="V32" s="50">
        <f>EDATE($V$2,-6*(62-$U32))</f>
        <v/>
      </c>
      <c r="W32" s="51">
        <f>IF(AND(V32&gt;$V$3,V32&lt;=$V$2),IF(V32=$V$2,$V$5+100,$V$5),0)</f>
        <v/>
      </c>
      <c r="X32" s="49">
        <f>IF(AND($W32&gt;0,V32&gt;$V$6),1,0)</f>
        <v/>
      </c>
      <c r="Y32" s="49">
        <f>IF(X32=1,SUM($X$15:X32),"")</f>
        <v/>
      </c>
      <c r="Z32" s="51">
        <f>IF(X32=1,$W32/(1+$V$8/2)^(Y32-1),0)</f>
        <v/>
      </c>
      <c r="AA32" s="51">
        <f>IF(X32=1,$W32/(1+($V$8+0.0001)/2)^(Y32-1),0)</f>
        <v/>
      </c>
      <c r="AB32" s="51">
        <f>IF(X32=1,$W32/(1+($V$8-0.0001)/2)^(Y32-1),0)</f>
        <v/>
      </c>
      <c r="AC32" s="49">
        <f>IF(AND($W32&gt;0,V32&gt;$V$7),1,0)</f>
        <v/>
      </c>
      <c r="AD32" s="49">
        <f>IF(AC32=1,SUM($AC$15:AC32),"")</f>
        <v/>
      </c>
      <c r="AE32" s="51">
        <f>IF(AC32=1,$W32/(1+$V$104/2)^(AD32-1),0)</f>
        <v/>
      </c>
      <c r="AF32" s="51">
        <f>IF(AC32=1,$W32/(1+($V$104+0.0001)/2)^(AD32-1),0)</f>
        <v/>
      </c>
      <c r="AG32" s="51">
        <f>IF(AC32=1,$W32/(1+($V$104-0.0001)/2)^(AD32-1),0)</f>
        <v/>
      </c>
      <c r="AH32" s="51">
        <f>IF(AC32=1,$W32/(1+$V$109/2)^(AD32-1),0)</f>
        <v/>
      </c>
      <c r="AI32" s="51">
        <f>IF(AC32=1,$W32/(1+$V$111/2)^(AD32-1),0)</f>
        <v/>
      </c>
      <c r="AJ32" s="51">
        <f>IF(AC32=1,$W32/(1+($V$111+0.0001)/2)^(AD32-1),0)</f>
        <v/>
      </c>
      <c r="AK32" s="51">
        <f>IF(AC32=1,$W32/(1+($V$111-0.0001)/2)^(AD32-1),0)</f>
        <v/>
      </c>
      <c r="AL32" s="51">
        <f>IF(AND($W32&gt;0,V32&gt;$V$6,V32&lt;=$V$7),$W32*(1+$V$10*($V$7-V32)/365),0)</f>
        <v/>
      </c>
      <c r="AO32" s="49" t="n">
        <v>18</v>
      </c>
      <c r="AP32" s="50">
        <f>EDATE($AP$2,-6*(62-$AO32))</f>
        <v/>
      </c>
      <c r="AQ32" s="51">
        <f>IF(AND(AP32&gt;$AP$3,AP32&lt;=$AP$2),IF(AP32=$AP$2,$AP$5+100,$AP$5),0)</f>
        <v/>
      </c>
      <c r="AR32" s="49">
        <f>IF(AND($AQ32&gt;0,AP32&gt;$AP$6),1,0)</f>
        <v/>
      </c>
      <c r="AS32" s="49">
        <f>IF(AR32=1,SUM($AR$15:AR32),"")</f>
        <v/>
      </c>
      <c r="AT32" s="51">
        <f>IF(AR32=1,$AQ32/(1+$AP$8/2)^(AS32-1),0)</f>
        <v/>
      </c>
      <c r="AU32" s="51">
        <f>IF(AR32=1,$AQ32/(1+($AP$8+0.0001)/2)^(AS32-1),0)</f>
        <v/>
      </c>
      <c r="AV32" s="51">
        <f>IF(AR32=1,$AQ32/(1+($AP$8-0.0001)/2)^(AS32-1),0)</f>
        <v/>
      </c>
      <c r="AW32" s="49">
        <f>IF(AND($AQ32&gt;0,AP32&gt;$AP$7),1,0)</f>
        <v/>
      </c>
      <c r="AX32" s="49">
        <f>IF(AW32=1,SUM($AW$15:AW32),"")</f>
        <v/>
      </c>
      <c r="AY32" s="51">
        <f>IF(AW32=1,$AQ32/(1+$AP$104/2)^(AX32-1),0)</f>
        <v/>
      </c>
      <c r="AZ32" s="51">
        <f>IF(AW32=1,$AQ32/(1+($AP$104+0.0001)/2)^(AX32-1),0)</f>
        <v/>
      </c>
      <c r="BA32" s="51">
        <f>IF(AW32=1,$AQ32/(1+($AP$104-0.0001)/2)^(AX32-1),0)</f>
        <v/>
      </c>
      <c r="BB32" s="51">
        <f>IF(AW32=1,$AQ32/(1+$AP$109/2)^(AX32-1),0)</f>
        <v/>
      </c>
      <c r="BC32" s="51">
        <f>IF(AW32=1,$AQ32/(1+$AP$111/2)^(AX32-1),0)</f>
        <v/>
      </c>
      <c r="BD32" s="51">
        <f>IF(AW32=1,$AQ32/(1+($AP$111+0.0001)/2)^(AX32-1),0)</f>
        <v/>
      </c>
      <c r="BE32" s="51">
        <f>IF(AW32=1,$AQ32/(1+($AP$111-0.0001)/2)^(AX32-1),0)</f>
        <v/>
      </c>
      <c r="BF32" s="51">
        <f>IF(AND($AQ32&gt;0,AP32&gt;$AP$6,AP32&lt;=$AP$7),$AQ32*(1+$AP$10*($AP$7-AP32)/365),0)</f>
        <v/>
      </c>
    </row>
    <row r="33">
      <c r="A33" s="49" t="n">
        <v>19</v>
      </c>
      <c r="B33" s="50">
        <f>EDATE($B$2,-6*(62-$A33))</f>
        <v/>
      </c>
      <c r="C33" s="51">
        <f>IF(AND(B33&gt;$B$3,B33&lt;=$B$2),IF(B33=$B$2,$B$5+100,$B$5),0)</f>
        <v/>
      </c>
      <c r="D33" s="49">
        <f>IF(AND($C33&gt;0,B33&gt;$B$6),1,0)</f>
        <v/>
      </c>
      <c r="E33" s="49">
        <f>IF(D33=1,SUM($D$15:D33),"")</f>
        <v/>
      </c>
      <c r="F33" s="51">
        <f>IF(D33=1,$C33/(1+$B$8/2)^(E33-1),0)</f>
        <v/>
      </c>
      <c r="G33" s="51">
        <f>IF(D33=1,$C33/(1+($B$8+0.0001)/2)^(E33-1),0)</f>
        <v/>
      </c>
      <c r="H33" s="51">
        <f>IF(D33=1,$C33/(1+($B$8-0.0001)/2)^(E33-1),0)</f>
        <v/>
      </c>
      <c r="I33" s="49">
        <f>IF(AND($C33&gt;0,B33&gt;$B$7),1,0)</f>
        <v/>
      </c>
      <c r="J33" s="49">
        <f>IF(I33=1,SUM($I$15:I33),"")</f>
        <v/>
      </c>
      <c r="K33" s="51">
        <f>IF(I33=1,$C33/(1+$B$104/2)^(J33-1),0)</f>
        <v/>
      </c>
      <c r="L33" s="51">
        <f>IF(I33=1,$C33/(1+($B$104+0.0001)/2)^(J33-1),0)</f>
        <v/>
      </c>
      <c r="M33" s="51">
        <f>IF(I33=1,$C33/(1+($B$104-0.0001)/2)^(J33-1),0)</f>
        <v/>
      </c>
      <c r="N33" s="51">
        <f>IF(I33=1,$C33/(1+$B$109/2)^(J33-1),0)</f>
        <v/>
      </c>
      <c r="O33" s="51">
        <f>IF(I33=1,$C33/(1+$B$111/2)^(J33-1),0)</f>
        <v/>
      </c>
      <c r="P33" s="51">
        <f>IF(I33=1,$C33/(1+($B$111+0.0001)/2)^(J33-1),0)</f>
        <v/>
      </c>
      <c r="Q33" s="51">
        <f>IF(I33=1,$C33/(1+($B$111-0.0001)/2)^(J33-1),0)</f>
        <v/>
      </c>
      <c r="R33" s="51">
        <f>IF(AND($C33&gt;0,B33&gt;$B$6,B33&lt;=$B$7),$C33*(1+$B$10*($B$7-B33)/365),0)</f>
        <v/>
      </c>
      <c r="U33" s="49" t="n">
        <v>19</v>
      </c>
      <c r="V33" s="50">
        <f>EDATE($V$2,-6*(62-$U33))</f>
        <v/>
      </c>
      <c r="W33" s="51">
        <f>IF(AND(V33&gt;$V$3,V33&lt;=$V$2),IF(V33=$V$2,$V$5+100,$V$5),0)</f>
        <v/>
      </c>
      <c r="X33" s="49">
        <f>IF(AND($W33&gt;0,V33&gt;$V$6),1,0)</f>
        <v/>
      </c>
      <c r="Y33" s="49">
        <f>IF(X33=1,SUM($X$15:X33),"")</f>
        <v/>
      </c>
      <c r="Z33" s="51">
        <f>IF(X33=1,$W33/(1+$V$8/2)^(Y33-1),0)</f>
        <v/>
      </c>
      <c r="AA33" s="51">
        <f>IF(X33=1,$W33/(1+($V$8+0.0001)/2)^(Y33-1),0)</f>
        <v/>
      </c>
      <c r="AB33" s="51">
        <f>IF(X33=1,$W33/(1+($V$8-0.0001)/2)^(Y33-1),0)</f>
        <v/>
      </c>
      <c r="AC33" s="49">
        <f>IF(AND($W33&gt;0,V33&gt;$V$7),1,0)</f>
        <v/>
      </c>
      <c r="AD33" s="49">
        <f>IF(AC33=1,SUM($AC$15:AC33),"")</f>
        <v/>
      </c>
      <c r="AE33" s="51">
        <f>IF(AC33=1,$W33/(1+$V$104/2)^(AD33-1),0)</f>
        <v/>
      </c>
      <c r="AF33" s="51">
        <f>IF(AC33=1,$W33/(1+($V$104+0.0001)/2)^(AD33-1),0)</f>
        <v/>
      </c>
      <c r="AG33" s="51">
        <f>IF(AC33=1,$W33/(1+($V$104-0.0001)/2)^(AD33-1),0)</f>
        <v/>
      </c>
      <c r="AH33" s="51">
        <f>IF(AC33=1,$W33/(1+$V$109/2)^(AD33-1),0)</f>
        <v/>
      </c>
      <c r="AI33" s="51">
        <f>IF(AC33=1,$W33/(1+$V$111/2)^(AD33-1),0)</f>
        <v/>
      </c>
      <c r="AJ33" s="51">
        <f>IF(AC33=1,$W33/(1+($V$111+0.0001)/2)^(AD33-1),0)</f>
        <v/>
      </c>
      <c r="AK33" s="51">
        <f>IF(AC33=1,$W33/(1+($V$111-0.0001)/2)^(AD33-1),0)</f>
        <v/>
      </c>
      <c r="AL33" s="51">
        <f>IF(AND($W33&gt;0,V33&gt;$V$6,V33&lt;=$V$7),$W33*(1+$V$10*($V$7-V33)/365),0)</f>
        <v/>
      </c>
      <c r="AO33" s="49" t="n">
        <v>19</v>
      </c>
      <c r="AP33" s="50">
        <f>EDATE($AP$2,-6*(62-$AO33))</f>
        <v/>
      </c>
      <c r="AQ33" s="51">
        <f>IF(AND(AP33&gt;$AP$3,AP33&lt;=$AP$2),IF(AP33=$AP$2,$AP$5+100,$AP$5),0)</f>
        <v/>
      </c>
      <c r="AR33" s="49">
        <f>IF(AND($AQ33&gt;0,AP33&gt;$AP$6),1,0)</f>
        <v/>
      </c>
      <c r="AS33" s="49">
        <f>IF(AR33=1,SUM($AR$15:AR33),"")</f>
        <v/>
      </c>
      <c r="AT33" s="51">
        <f>IF(AR33=1,$AQ33/(1+$AP$8/2)^(AS33-1),0)</f>
        <v/>
      </c>
      <c r="AU33" s="51">
        <f>IF(AR33=1,$AQ33/(1+($AP$8+0.0001)/2)^(AS33-1),0)</f>
        <v/>
      </c>
      <c r="AV33" s="51">
        <f>IF(AR33=1,$AQ33/(1+($AP$8-0.0001)/2)^(AS33-1),0)</f>
        <v/>
      </c>
      <c r="AW33" s="49">
        <f>IF(AND($AQ33&gt;0,AP33&gt;$AP$7),1,0)</f>
        <v/>
      </c>
      <c r="AX33" s="49">
        <f>IF(AW33=1,SUM($AW$15:AW33),"")</f>
        <v/>
      </c>
      <c r="AY33" s="51">
        <f>IF(AW33=1,$AQ33/(1+$AP$104/2)^(AX33-1),0)</f>
        <v/>
      </c>
      <c r="AZ33" s="51">
        <f>IF(AW33=1,$AQ33/(1+($AP$104+0.0001)/2)^(AX33-1),0)</f>
        <v/>
      </c>
      <c r="BA33" s="51">
        <f>IF(AW33=1,$AQ33/(1+($AP$104-0.0001)/2)^(AX33-1),0)</f>
        <v/>
      </c>
      <c r="BB33" s="51">
        <f>IF(AW33=1,$AQ33/(1+$AP$109/2)^(AX33-1),0)</f>
        <v/>
      </c>
      <c r="BC33" s="51">
        <f>IF(AW33=1,$AQ33/(1+$AP$111/2)^(AX33-1),0)</f>
        <v/>
      </c>
      <c r="BD33" s="51">
        <f>IF(AW33=1,$AQ33/(1+($AP$111+0.0001)/2)^(AX33-1),0)</f>
        <v/>
      </c>
      <c r="BE33" s="51">
        <f>IF(AW33=1,$AQ33/(1+($AP$111-0.0001)/2)^(AX33-1),0)</f>
        <v/>
      </c>
      <c r="BF33" s="51">
        <f>IF(AND($AQ33&gt;0,AP33&gt;$AP$6,AP33&lt;=$AP$7),$AQ33*(1+$AP$10*($AP$7-AP33)/365),0)</f>
        <v/>
      </c>
    </row>
    <row r="34">
      <c r="A34" s="49" t="n">
        <v>20</v>
      </c>
      <c r="B34" s="50">
        <f>EDATE($B$2,-6*(62-$A34))</f>
        <v/>
      </c>
      <c r="C34" s="51">
        <f>IF(AND(B34&gt;$B$3,B34&lt;=$B$2),IF(B34=$B$2,$B$5+100,$B$5),0)</f>
        <v/>
      </c>
      <c r="D34" s="49">
        <f>IF(AND($C34&gt;0,B34&gt;$B$6),1,0)</f>
        <v/>
      </c>
      <c r="E34" s="49">
        <f>IF(D34=1,SUM($D$15:D34),"")</f>
        <v/>
      </c>
      <c r="F34" s="51">
        <f>IF(D34=1,$C34/(1+$B$8/2)^(E34-1),0)</f>
        <v/>
      </c>
      <c r="G34" s="51">
        <f>IF(D34=1,$C34/(1+($B$8+0.0001)/2)^(E34-1),0)</f>
        <v/>
      </c>
      <c r="H34" s="51">
        <f>IF(D34=1,$C34/(1+($B$8-0.0001)/2)^(E34-1),0)</f>
        <v/>
      </c>
      <c r="I34" s="49">
        <f>IF(AND($C34&gt;0,B34&gt;$B$7),1,0)</f>
        <v/>
      </c>
      <c r="J34" s="49">
        <f>IF(I34=1,SUM($I$15:I34),"")</f>
        <v/>
      </c>
      <c r="K34" s="51">
        <f>IF(I34=1,$C34/(1+$B$104/2)^(J34-1),0)</f>
        <v/>
      </c>
      <c r="L34" s="51">
        <f>IF(I34=1,$C34/(1+($B$104+0.0001)/2)^(J34-1),0)</f>
        <v/>
      </c>
      <c r="M34" s="51">
        <f>IF(I34=1,$C34/(1+($B$104-0.0001)/2)^(J34-1),0)</f>
        <v/>
      </c>
      <c r="N34" s="51">
        <f>IF(I34=1,$C34/(1+$B$109/2)^(J34-1),0)</f>
        <v/>
      </c>
      <c r="O34" s="51">
        <f>IF(I34=1,$C34/(1+$B$111/2)^(J34-1),0)</f>
        <v/>
      </c>
      <c r="P34" s="51">
        <f>IF(I34=1,$C34/(1+($B$111+0.0001)/2)^(J34-1),0)</f>
        <v/>
      </c>
      <c r="Q34" s="51">
        <f>IF(I34=1,$C34/(1+($B$111-0.0001)/2)^(J34-1),0)</f>
        <v/>
      </c>
      <c r="R34" s="51">
        <f>IF(AND($C34&gt;0,B34&gt;$B$6,B34&lt;=$B$7),$C34*(1+$B$10*($B$7-B34)/365),0)</f>
        <v/>
      </c>
      <c r="U34" s="49" t="n">
        <v>20</v>
      </c>
      <c r="V34" s="50">
        <f>EDATE($V$2,-6*(62-$U34))</f>
        <v/>
      </c>
      <c r="W34" s="51">
        <f>IF(AND(V34&gt;$V$3,V34&lt;=$V$2),IF(V34=$V$2,$V$5+100,$V$5),0)</f>
        <v/>
      </c>
      <c r="X34" s="49">
        <f>IF(AND($W34&gt;0,V34&gt;$V$6),1,0)</f>
        <v/>
      </c>
      <c r="Y34" s="49">
        <f>IF(X34=1,SUM($X$15:X34),"")</f>
        <v/>
      </c>
      <c r="Z34" s="51">
        <f>IF(X34=1,$W34/(1+$V$8/2)^(Y34-1),0)</f>
        <v/>
      </c>
      <c r="AA34" s="51">
        <f>IF(X34=1,$W34/(1+($V$8+0.0001)/2)^(Y34-1),0)</f>
        <v/>
      </c>
      <c r="AB34" s="51">
        <f>IF(X34=1,$W34/(1+($V$8-0.0001)/2)^(Y34-1),0)</f>
        <v/>
      </c>
      <c r="AC34" s="49">
        <f>IF(AND($W34&gt;0,V34&gt;$V$7),1,0)</f>
        <v/>
      </c>
      <c r="AD34" s="49">
        <f>IF(AC34=1,SUM($AC$15:AC34),"")</f>
        <v/>
      </c>
      <c r="AE34" s="51">
        <f>IF(AC34=1,$W34/(1+$V$104/2)^(AD34-1),0)</f>
        <v/>
      </c>
      <c r="AF34" s="51">
        <f>IF(AC34=1,$W34/(1+($V$104+0.0001)/2)^(AD34-1),0)</f>
        <v/>
      </c>
      <c r="AG34" s="51">
        <f>IF(AC34=1,$W34/(1+($V$104-0.0001)/2)^(AD34-1),0)</f>
        <v/>
      </c>
      <c r="AH34" s="51">
        <f>IF(AC34=1,$W34/(1+$V$109/2)^(AD34-1),0)</f>
        <v/>
      </c>
      <c r="AI34" s="51">
        <f>IF(AC34=1,$W34/(1+$V$111/2)^(AD34-1),0)</f>
        <v/>
      </c>
      <c r="AJ34" s="51">
        <f>IF(AC34=1,$W34/(1+($V$111+0.0001)/2)^(AD34-1),0)</f>
        <v/>
      </c>
      <c r="AK34" s="51">
        <f>IF(AC34=1,$W34/(1+($V$111-0.0001)/2)^(AD34-1),0)</f>
        <v/>
      </c>
      <c r="AL34" s="51">
        <f>IF(AND($W34&gt;0,V34&gt;$V$6,V34&lt;=$V$7),$W34*(1+$V$10*($V$7-V34)/365),0)</f>
        <v/>
      </c>
      <c r="AO34" s="49" t="n">
        <v>20</v>
      </c>
      <c r="AP34" s="50">
        <f>EDATE($AP$2,-6*(62-$AO34))</f>
        <v/>
      </c>
      <c r="AQ34" s="51">
        <f>IF(AND(AP34&gt;$AP$3,AP34&lt;=$AP$2),IF(AP34=$AP$2,$AP$5+100,$AP$5),0)</f>
        <v/>
      </c>
      <c r="AR34" s="49">
        <f>IF(AND($AQ34&gt;0,AP34&gt;$AP$6),1,0)</f>
        <v/>
      </c>
      <c r="AS34" s="49">
        <f>IF(AR34=1,SUM($AR$15:AR34),"")</f>
        <v/>
      </c>
      <c r="AT34" s="51">
        <f>IF(AR34=1,$AQ34/(1+$AP$8/2)^(AS34-1),0)</f>
        <v/>
      </c>
      <c r="AU34" s="51">
        <f>IF(AR34=1,$AQ34/(1+($AP$8+0.0001)/2)^(AS34-1),0)</f>
        <v/>
      </c>
      <c r="AV34" s="51">
        <f>IF(AR34=1,$AQ34/(1+($AP$8-0.0001)/2)^(AS34-1),0)</f>
        <v/>
      </c>
      <c r="AW34" s="49">
        <f>IF(AND($AQ34&gt;0,AP34&gt;$AP$7),1,0)</f>
        <v/>
      </c>
      <c r="AX34" s="49">
        <f>IF(AW34=1,SUM($AW$15:AW34),"")</f>
        <v/>
      </c>
      <c r="AY34" s="51">
        <f>IF(AW34=1,$AQ34/(1+$AP$104/2)^(AX34-1),0)</f>
        <v/>
      </c>
      <c r="AZ34" s="51">
        <f>IF(AW34=1,$AQ34/(1+($AP$104+0.0001)/2)^(AX34-1),0)</f>
        <v/>
      </c>
      <c r="BA34" s="51">
        <f>IF(AW34=1,$AQ34/(1+($AP$104-0.0001)/2)^(AX34-1),0)</f>
        <v/>
      </c>
      <c r="BB34" s="51">
        <f>IF(AW34=1,$AQ34/(1+$AP$109/2)^(AX34-1),0)</f>
        <v/>
      </c>
      <c r="BC34" s="51">
        <f>IF(AW34=1,$AQ34/(1+$AP$111/2)^(AX34-1),0)</f>
        <v/>
      </c>
      <c r="BD34" s="51">
        <f>IF(AW34=1,$AQ34/(1+($AP$111+0.0001)/2)^(AX34-1),0)</f>
        <v/>
      </c>
      <c r="BE34" s="51">
        <f>IF(AW34=1,$AQ34/(1+($AP$111-0.0001)/2)^(AX34-1),0)</f>
        <v/>
      </c>
      <c r="BF34" s="51">
        <f>IF(AND($AQ34&gt;0,AP34&gt;$AP$6,AP34&lt;=$AP$7),$AQ34*(1+$AP$10*($AP$7-AP34)/365),0)</f>
        <v/>
      </c>
    </row>
    <row r="35">
      <c r="A35" s="49" t="n">
        <v>21</v>
      </c>
      <c r="B35" s="50">
        <f>EDATE($B$2,-6*(62-$A35))</f>
        <v/>
      </c>
      <c r="C35" s="51">
        <f>IF(AND(B35&gt;$B$3,B35&lt;=$B$2),IF(B35=$B$2,$B$5+100,$B$5),0)</f>
        <v/>
      </c>
      <c r="D35" s="49">
        <f>IF(AND($C35&gt;0,B35&gt;$B$6),1,0)</f>
        <v/>
      </c>
      <c r="E35" s="49">
        <f>IF(D35=1,SUM($D$15:D35),"")</f>
        <v/>
      </c>
      <c r="F35" s="51">
        <f>IF(D35=1,$C35/(1+$B$8/2)^(E35-1),0)</f>
        <v/>
      </c>
      <c r="G35" s="51">
        <f>IF(D35=1,$C35/(1+($B$8+0.0001)/2)^(E35-1),0)</f>
        <v/>
      </c>
      <c r="H35" s="51">
        <f>IF(D35=1,$C35/(1+($B$8-0.0001)/2)^(E35-1),0)</f>
        <v/>
      </c>
      <c r="I35" s="49">
        <f>IF(AND($C35&gt;0,B35&gt;$B$7),1,0)</f>
        <v/>
      </c>
      <c r="J35" s="49">
        <f>IF(I35=1,SUM($I$15:I35),"")</f>
        <v/>
      </c>
      <c r="K35" s="51">
        <f>IF(I35=1,$C35/(1+$B$104/2)^(J35-1),0)</f>
        <v/>
      </c>
      <c r="L35" s="51">
        <f>IF(I35=1,$C35/(1+($B$104+0.0001)/2)^(J35-1),0)</f>
        <v/>
      </c>
      <c r="M35" s="51">
        <f>IF(I35=1,$C35/(1+($B$104-0.0001)/2)^(J35-1),0)</f>
        <v/>
      </c>
      <c r="N35" s="51">
        <f>IF(I35=1,$C35/(1+$B$109/2)^(J35-1),0)</f>
        <v/>
      </c>
      <c r="O35" s="51">
        <f>IF(I35=1,$C35/(1+$B$111/2)^(J35-1),0)</f>
        <v/>
      </c>
      <c r="P35" s="51">
        <f>IF(I35=1,$C35/(1+($B$111+0.0001)/2)^(J35-1),0)</f>
        <v/>
      </c>
      <c r="Q35" s="51">
        <f>IF(I35=1,$C35/(1+($B$111-0.0001)/2)^(J35-1),0)</f>
        <v/>
      </c>
      <c r="R35" s="51">
        <f>IF(AND($C35&gt;0,B35&gt;$B$6,B35&lt;=$B$7),$C35*(1+$B$10*($B$7-B35)/365),0)</f>
        <v/>
      </c>
      <c r="U35" s="49" t="n">
        <v>21</v>
      </c>
      <c r="V35" s="50">
        <f>EDATE($V$2,-6*(62-$U35))</f>
        <v/>
      </c>
      <c r="W35" s="51">
        <f>IF(AND(V35&gt;$V$3,V35&lt;=$V$2),IF(V35=$V$2,$V$5+100,$V$5),0)</f>
        <v/>
      </c>
      <c r="X35" s="49">
        <f>IF(AND($W35&gt;0,V35&gt;$V$6),1,0)</f>
        <v/>
      </c>
      <c r="Y35" s="49">
        <f>IF(X35=1,SUM($X$15:X35),"")</f>
        <v/>
      </c>
      <c r="Z35" s="51">
        <f>IF(X35=1,$W35/(1+$V$8/2)^(Y35-1),0)</f>
        <v/>
      </c>
      <c r="AA35" s="51">
        <f>IF(X35=1,$W35/(1+($V$8+0.0001)/2)^(Y35-1),0)</f>
        <v/>
      </c>
      <c r="AB35" s="51">
        <f>IF(X35=1,$W35/(1+($V$8-0.0001)/2)^(Y35-1),0)</f>
        <v/>
      </c>
      <c r="AC35" s="49">
        <f>IF(AND($W35&gt;0,V35&gt;$V$7),1,0)</f>
        <v/>
      </c>
      <c r="AD35" s="49">
        <f>IF(AC35=1,SUM($AC$15:AC35),"")</f>
        <v/>
      </c>
      <c r="AE35" s="51">
        <f>IF(AC35=1,$W35/(1+$V$104/2)^(AD35-1),0)</f>
        <v/>
      </c>
      <c r="AF35" s="51">
        <f>IF(AC35=1,$W35/(1+($V$104+0.0001)/2)^(AD35-1),0)</f>
        <v/>
      </c>
      <c r="AG35" s="51">
        <f>IF(AC35=1,$W35/(1+($V$104-0.0001)/2)^(AD35-1),0)</f>
        <v/>
      </c>
      <c r="AH35" s="51">
        <f>IF(AC35=1,$W35/(1+$V$109/2)^(AD35-1),0)</f>
        <v/>
      </c>
      <c r="AI35" s="51">
        <f>IF(AC35=1,$W35/(1+$V$111/2)^(AD35-1),0)</f>
        <v/>
      </c>
      <c r="AJ35" s="51">
        <f>IF(AC35=1,$W35/(1+($V$111+0.0001)/2)^(AD35-1),0)</f>
        <v/>
      </c>
      <c r="AK35" s="51">
        <f>IF(AC35=1,$W35/(1+($V$111-0.0001)/2)^(AD35-1),0)</f>
        <v/>
      </c>
      <c r="AL35" s="51">
        <f>IF(AND($W35&gt;0,V35&gt;$V$6,V35&lt;=$V$7),$W35*(1+$V$10*($V$7-V35)/365),0)</f>
        <v/>
      </c>
      <c r="AO35" s="49" t="n">
        <v>21</v>
      </c>
      <c r="AP35" s="50">
        <f>EDATE($AP$2,-6*(62-$AO35))</f>
        <v/>
      </c>
      <c r="AQ35" s="51">
        <f>IF(AND(AP35&gt;$AP$3,AP35&lt;=$AP$2),IF(AP35=$AP$2,$AP$5+100,$AP$5),0)</f>
        <v/>
      </c>
      <c r="AR35" s="49">
        <f>IF(AND($AQ35&gt;0,AP35&gt;$AP$6),1,0)</f>
        <v/>
      </c>
      <c r="AS35" s="49">
        <f>IF(AR35=1,SUM($AR$15:AR35),"")</f>
        <v/>
      </c>
      <c r="AT35" s="51">
        <f>IF(AR35=1,$AQ35/(1+$AP$8/2)^(AS35-1),0)</f>
        <v/>
      </c>
      <c r="AU35" s="51">
        <f>IF(AR35=1,$AQ35/(1+($AP$8+0.0001)/2)^(AS35-1),0)</f>
        <v/>
      </c>
      <c r="AV35" s="51">
        <f>IF(AR35=1,$AQ35/(1+($AP$8-0.0001)/2)^(AS35-1),0)</f>
        <v/>
      </c>
      <c r="AW35" s="49">
        <f>IF(AND($AQ35&gt;0,AP35&gt;$AP$7),1,0)</f>
        <v/>
      </c>
      <c r="AX35" s="49">
        <f>IF(AW35=1,SUM($AW$15:AW35),"")</f>
        <v/>
      </c>
      <c r="AY35" s="51">
        <f>IF(AW35=1,$AQ35/(1+$AP$104/2)^(AX35-1),0)</f>
        <v/>
      </c>
      <c r="AZ35" s="51">
        <f>IF(AW35=1,$AQ35/(1+($AP$104+0.0001)/2)^(AX35-1),0)</f>
        <v/>
      </c>
      <c r="BA35" s="51">
        <f>IF(AW35=1,$AQ35/(1+($AP$104-0.0001)/2)^(AX35-1),0)</f>
        <v/>
      </c>
      <c r="BB35" s="51">
        <f>IF(AW35=1,$AQ35/(1+$AP$109/2)^(AX35-1),0)</f>
        <v/>
      </c>
      <c r="BC35" s="51">
        <f>IF(AW35=1,$AQ35/(1+$AP$111/2)^(AX35-1),0)</f>
        <v/>
      </c>
      <c r="BD35" s="51">
        <f>IF(AW35=1,$AQ35/(1+($AP$111+0.0001)/2)^(AX35-1),0)</f>
        <v/>
      </c>
      <c r="BE35" s="51">
        <f>IF(AW35=1,$AQ35/(1+($AP$111-0.0001)/2)^(AX35-1),0)</f>
        <v/>
      </c>
      <c r="BF35" s="51">
        <f>IF(AND($AQ35&gt;0,AP35&gt;$AP$6,AP35&lt;=$AP$7),$AQ35*(1+$AP$10*($AP$7-AP35)/365),0)</f>
        <v/>
      </c>
    </row>
    <row r="36">
      <c r="A36" s="49" t="n">
        <v>22</v>
      </c>
      <c r="B36" s="50">
        <f>EDATE($B$2,-6*(62-$A36))</f>
        <v/>
      </c>
      <c r="C36" s="51">
        <f>IF(AND(B36&gt;$B$3,B36&lt;=$B$2),IF(B36=$B$2,$B$5+100,$B$5),0)</f>
        <v/>
      </c>
      <c r="D36" s="49">
        <f>IF(AND($C36&gt;0,B36&gt;$B$6),1,0)</f>
        <v/>
      </c>
      <c r="E36" s="49">
        <f>IF(D36=1,SUM($D$15:D36),"")</f>
        <v/>
      </c>
      <c r="F36" s="51">
        <f>IF(D36=1,$C36/(1+$B$8/2)^(E36-1),0)</f>
        <v/>
      </c>
      <c r="G36" s="51">
        <f>IF(D36=1,$C36/(1+($B$8+0.0001)/2)^(E36-1),0)</f>
        <v/>
      </c>
      <c r="H36" s="51">
        <f>IF(D36=1,$C36/(1+($B$8-0.0001)/2)^(E36-1),0)</f>
        <v/>
      </c>
      <c r="I36" s="49">
        <f>IF(AND($C36&gt;0,B36&gt;$B$7),1,0)</f>
        <v/>
      </c>
      <c r="J36" s="49">
        <f>IF(I36=1,SUM($I$15:I36),"")</f>
        <v/>
      </c>
      <c r="K36" s="51">
        <f>IF(I36=1,$C36/(1+$B$104/2)^(J36-1),0)</f>
        <v/>
      </c>
      <c r="L36" s="51">
        <f>IF(I36=1,$C36/(1+($B$104+0.0001)/2)^(J36-1),0)</f>
        <v/>
      </c>
      <c r="M36" s="51">
        <f>IF(I36=1,$C36/(1+($B$104-0.0001)/2)^(J36-1),0)</f>
        <v/>
      </c>
      <c r="N36" s="51">
        <f>IF(I36=1,$C36/(1+$B$109/2)^(J36-1),0)</f>
        <v/>
      </c>
      <c r="O36" s="51">
        <f>IF(I36=1,$C36/(1+$B$111/2)^(J36-1),0)</f>
        <v/>
      </c>
      <c r="P36" s="51">
        <f>IF(I36=1,$C36/(1+($B$111+0.0001)/2)^(J36-1),0)</f>
        <v/>
      </c>
      <c r="Q36" s="51">
        <f>IF(I36=1,$C36/(1+($B$111-0.0001)/2)^(J36-1),0)</f>
        <v/>
      </c>
      <c r="R36" s="51">
        <f>IF(AND($C36&gt;0,B36&gt;$B$6,B36&lt;=$B$7),$C36*(1+$B$10*($B$7-B36)/365),0)</f>
        <v/>
      </c>
      <c r="U36" s="49" t="n">
        <v>22</v>
      </c>
      <c r="V36" s="50">
        <f>EDATE($V$2,-6*(62-$U36))</f>
        <v/>
      </c>
      <c r="W36" s="51">
        <f>IF(AND(V36&gt;$V$3,V36&lt;=$V$2),IF(V36=$V$2,$V$5+100,$V$5),0)</f>
        <v/>
      </c>
      <c r="X36" s="49">
        <f>IF(AND($W36&gt;0,V36&gt;$V$6),1,0)</f>
        <v/>
      </c>
      <c r="Y36" s="49">
        <f>IF(X36=1,SUM($X$15:X36),"")</f>
        <v/>
      </c>
      <c r="Z36" s="51">
        <f>IF(X36=1,$W36/(1+$V$8/2)^(Y36-1),0)</f>
        <v/>
      </c>
      <c r="AA36" s="51">
        <f>IF(X36=1,$W36/(1+($V$8+0.0001)/2)^(Y36-1),0)</f>
        <v/>
      </c>
      <c r="AB36" s="51">
        <f>IF(X36=1,$W36/(1+($V$8-0.0001)/2)^(Y36-1),0)</f>
        <v/>
      </c>
      <c r="AC36" s="49">
        <f>IF(AND($W36&gt;0,V36&gt;$V$7),1,0)</f>
        <v/>
      </c>
      <c r="AD36" s="49">
        <f>IF(AC36=1,SUM($AC$15:AC36),"")</f>
        <v/>
      </c>
      <c r="AE36" s="51">
        <f>IF(AC36=1,$W36/(1+$V$104/2)^(AD36-1),0)</f>
        <v/>
      </c>
      <c r="AF36" s="51">
        <f>IF(AC36=1,$W36/(1+($V$104+0.0001)/2)^(AD36-1),0)</f>
        <v/>
      </c>
      <c r="AG36" s="51">
        <f>IF(AC36=1,$W36/(1+($V$104-0.0001)/2)^(AD36-1),0)</f>
        <v/>
      </c>
      <c r="AH36" s="51">
        <f>IF(AC36=1,$W36/(1+$V$109/2)^(AD36-1),0)</f>
        <v/>
      </c>
      <c r="AI36" s="51">
        <f>IF(AC36=1,$W36/(1+$V$111/2)^(AD36-1),0)</f>
        <v/>
      </c>
      <c r="AJ36" s="51">
        <f>IF(AC36=1,$W36/(1+($V$111+0.0001)/2)^(AD36-1),0)</f>
        <v/>
      </c>
      <c r="AK36" s="51">
        <f>IF(AC36=1,$W36/(1+($V$111-0.0001)/2)^(AD36-1),0)</f>
        <v/>
      </c>
      <c r="AL36" s="51">
        <f>IF(AND($W36&gt;0,V36&gt;$V$6,V36&lt;=$V$7),$W36*(1+$V$10*($V$7-V36)/365),0)</f>
        <v/>
      </c>
      <c r="AO36" s="49" t="n">
        <v>22</v>
      </c>
      <c r="AP36" s="50">
        <f>EDATE($AP$2,-6*(62-$AO36))</f>
        <v/>
      </c>
      <c r="AQ36" s="51">
        <f>IF(AND(AP36&gt;$AP$3,AP36&lt;=$AP$2),IF(AP36=$AP$2,$AP$5+100,$AP$5),0)</f>
        <v/>
      </c>
      <c r="AR36" s="49">
        <f>IF(AND($AQ36&gt;0,AP36&gt;$AP$6),1,0)</f>
        <v/>
      </c>
      <c r="AS36" s="49">
        <f>IF(AR36=1,SUM($AR$15:AR36),"")</f>
        <v/>
      </c>
      <c r="AT36" s="51">
        <f>IF(AR36=1,$AQ36/(1+$AP$8/2)^(AS36-1),0)</f>
        <v/>
      </c>
      <c r="AU36" s="51">
        <f>IF(AR36=1,$AQ36/(1+($AP$8+0.0001)/2)^(AS36-1),0)</f>
        <v/>
      </c>
      <c r="AV36" s="51">
        <f>IF(AR36=1,$AQ36/(1+($AP$8-0.0001)/2)^(AS36-1),0)</f>
        <v/>
      </c>
      <c r="AW36" s="49">
        <f>IF(AND($AQ36&gt;0,AP36&gt;$AP$7),1,0)</f>
        <v/>
      </c>
      <c r="AX36" s="49">
        <f>IF(AW36=1,SUM($AW$15:AW36),"")</f>
        <v/>
      </c>
      <c r="AY36" s="51">
        <f>IF(AW36=1,$AQ36/(1+$AP$104/2)^(AX36-1),0)</f>
        <v/>
      </c>
      <c r="AZ36" s="51">
        <f>IF(AW36=1,$AQ36/(1+($AP$104+0.0001)/2)^(AX36-1),0)</f>
        <v/>
      </c>
      <c r="BA36" s="51">
        <f>IF(AW36=1,$AQ36/(1+($AP$104-0.0001)/2)^(AX36-1),0)</f>
        <v/>
      </c>
      <c r="BB36" s="51">
        <f>IF(AW36=1,$AQ36/(1+$AP$109/2)^(AX36-1),0)</f>
        <v/>
      </c>
      <c r="BC36" s="51">
        <f>IF(AW36=1,$AQ36/(1+$AP$111/2)^(AX36-1),0)</f>
        <v/>
      </c>
      <c r="BD36" s="51">
        <f>IF(AW36=1,$AQ36/(1+($AP$111+0.0001)/2)^(AX36-1),0)</f>
        <v/>
      </c>
      <c r="BE36" s="51">
        <f>IF(AW36=1,$AQ36/(1+($AP$111-0.0001)/2)^(AX36-1),0)</f>
        <v/>
      </c>
      <c r="BF36" s="51">
        <f>IF(AND($AQ36&gt;0,AP36&gt;$AP$6,AP36&lt;=$AP$7),$AQ36*(1+$AP$10*($AP$7-AP36)/365),0)</f>
        <v/>
      </c>
    </row>
    <row r="37">
      <c r="A37" s="49" t="n">
        <v>23</v>
      </c>
      <c r="B37" s="50">
        <f>EDATE($B$2,-6*(62-$A37))</f>
        <v/>
      </c>
      <c r="C37" s="51">
        <f>IF(AND(B37&gt;$B$3,B37&lt;=$B$2),IF(B37=$B$2,$B$5+100,$B$5),0)</f>
        <v/>
      </c>
      <c r="D37" s="49">
        <f>IF(AND($C37&gt;0,B37&gt;$B$6),1,0)</f>
        <v/>
      </c>
      <c r="E37" s="49">
        <f>IF(D37=1,SUM($D$15:D37),"")</f>
        <v/>
      </c>
      <c r="F37" s="51">
        <f>IF(D37=1,$C37/(1+$B$8/2)^(E37-1),0)</f>
        <v/>
      </c>
      <c r="G37" s="51">
        <f>IF(D37=1,$C37/(1+($B$8+0.0001)/2)^(E37-1),0)</f>
        <v/>
      </c>
      <c r="H37" s="51">
        <f>IF(D37=1,$C37/(1+($B$8-0.0001)/2)^(E37-1),0)</f>
        <v/>
      </c>
      <c r="I37" s="49">
        <f>IF(AND($C37&gt;0,B37&gt;$B$7),1,0)</f>
        <v/>
      </c>
      <c r="J37" s="49">
        <f>IF(I37=1,SUM($I$15:I37),"")</f>
        <v/>
      </c>
      <c r="K37" s="51">
        <f>IF(I37=1,$C37/(1+$B$104/2)^(J37-1),0)</f>
        <v/>
      </c>
      <c r="L37" s="51">
        <f>IF(I37=1,$C37/(1+($B$104+0.0001)/2)^(J37-1),0)</f>
        <v/>
      </c>
      <c r="M37" s="51">
        <f>IF(I37=1,$C37/(1+($B$104-0.0001)/2)^(J37-1),0)</f>
        <v/>
      </c>
      <c r="N37" s="51">
        <f>IF(I37=1,$C37/(1+$B$109/2)^(J37-1),0)</f>
        <v/>
      </c>
      <c r="O37" s="51">
        <f>IF(I37=1,$C37/(1+$B$111/2)^(J37-1),0)</f>
        <v/>
      </c>
      <c r="P37" s="51">
        <f>IF(I37=1,$C37/(1+($B$111+0.0001)/2)^(J37-1),0)</f>
        <v/>
      </c>
      <c r="Q37" s="51">
        <f>IF(I37=1,$C37/(1+($B$111-0.0001)/2)^(J37-1),0)</f>
        <v/>
      </c>
      <c r="R37" s="51">
        <f>IF(AND($C37&gt;0,B37&gt;$B$6,B37&lt;=$B$7),$C37*(1+$B$10*($B$7-B37)/365),0)</f>
        <v/>
      </c>
      <c r="U37" s="49" t="n">
        <v>23</v>
      </c>
      <c r="V37" s="50">
        <f>EDATE($V$2,-6*(62-$U37))</f>
        <v/>
      </c>
      <c r="W37" s="51">
        <f>IF(AND(V37&gt;$V$3,V37&lt;=$V$2),IF(V37=$V$2,$V$5+100,$V$5),0)</f>
        <v/>
      </c>
      <c r="X37" s="49">
        <f>IF(AND($W37&gt;0,V37&gt;$V$6),1,0)</f>
        <v/>
      </c>
      <c r="Y37" s="49">
        <f>IF(X37=1,SUM($X$15:X37),"")</f>
        <v/>
      </c>
      <c r="Z37" s="51">
        <f>IF(X37=1,$W37/(1+$V$8/2)^(Y37-1),0)</f>
        <v/>
      </c>
      <c r="AA37" s="51">
        <f>IF(X37=1,$W37/(1+($V$8+0.0001)/2)^(Y37-1),0)</f>
        <v/>
      </c>
      <c r="AB37" s="51">
        <f>IF(X37=1,$W37/(1+($V$8-0.0001)/2)^(Y37-1),0)</f>
        <v/>
      </c>
      <c r="AC37" s="49">
        <f>IF(AND($W37&gt;0,V37&gt;$V$7),1,0)</f>
        <v/>
      </c>
      <c r="AD37" s="49">
        <f>IF(AC37=1,SUM($AC$15:AC37),"")</f>
        <v/>
      </c>
      <c r="AE37" s="51">
        <f>IF(AC37=1,$W37/(1+$V$104/2)^(AD37-1),0)</f>
        <v/>
      </c>
      <c r="AF37" s="51">
        <f>IF(AC37=1,$W37/(1+($V$104+0.0001)/2)^(AD37-1),0)</f>
        <v/>
      </c>
      <c r="AG37" s="51">
        <f>IF(AC37=1,$W37/(1+($V$104-0.0001)/2)^(AD37-1),0)</f>
        <v/>
      </c>
      <c r="AH37" s="51">
        <f>IF(AC37=1,$W37/(1+$V$109/2)^(AD37-1),0)</f>
        <v/>
      </c>
      <c r="AI37" s="51">
        <f>IF(AC37=1,$W37/(1+$V$111/2)^(AD37-1),0)</f>
        <v/>
      </c>
      <c r="AJ37" s="51">
        <f>IF(AC37=1,$W37/(1+($V$111+0.0001)/2)^(AD37-1),0)</f>
        <v/>
      </c>
      <c r="AK37" s="51">
        <f>IF(AC37=1,$W37/(1+($V$111-0.0001)/2)^(AD37-1),0)</f>
        <v/>
      </c>
      <c r="AL37" s="51">
        <f>IF(AND($W37&gt;0,V37&gt;$V$6,V37&lt;=$V$7),$W37*(1+$V$10*($V$7-V37)/365),0)</f>
        <v/>
      </c>
      <c r="AO37" s="49" t="n">
        <v>23</v>
      </c>
      <c r="AP37" s="50">
        <f>EDATE($AP$2,-6*(62-$AO37))</f>
        <v/>
      </c>
      <c r="AQ37" s="51">
        <f>IF(AND(AP37&gt;$AP$3,AP37&lt;=$AP$2),IF(AP37=$AP$2,$AP$5+100,$AP$5),0)</f>
        <v/>
      </c>
      <c r="AR37" s="49">
        <f>IF(AND($AQ37&gt;0,AP37&gt;$AP$6),1,0)</f>
        <v/>
      </c>
      <c r="AS37" s="49">
        <f>IF(AR37=1,SUM($AR$15:AR37),"")</f>
        <v/>
      </c>
      <c r="AT37" s="51">
        <f>IF(AR37=1,$AQ37/(1+$AP$8/2)^(AS37-1),0)</f>
        <v/>
      </c>
      <c r="AU37" s="51">
        <f>IF(AR37=1,$AQ37/(1+($AP$8+0.0001)/2)^(AS37-1),0)</f>
        <v/>
      </c>
      <c r="AV37" s="51">
        <f>IF(AR37=1,$AQ37/(1+($AP$8-0.0001)/2)^(AS37-1),0)</f>
        <v/>
      </c>
      <c r="AW37" s="49">
        <f>IF(AND($AQ37&gt;0,AP37&gt;$AP$7),1,0)</f>
        <v/>
      </c>
      <c r="AX37" s="49">
        <f>IF(AW37=1,SUM($AW$15:AW37),"")</f>
        <v/>
      </c>
      <c r="AY37" s="51">
        <f>IF(AW37=1,$AQ37/(1+$AP$104/2)^(AX37-1),0)</f>
        <v/>
      </c>
      <c r="AZ37" s="51">
        <f>IF(AW37=1,$AQ37/(1+($AP$104+0.0001)/2)^(AX37-1),0)</f>
        <v/>
      </c>
      <c r="BA37" s="51">
        <f>IF(AW37=1,$AQ37/(1+($AP$104-0.0001)/2)^(AX37-1),0)</f>
        <v/>
      </c>
      <c r="BB37" s="51">
        <f>IF(AW37=1,$AQ37/(1+$AP$109/2)^(AX37-1),0)</f>
        <v/>
      </c>
      <c r="BC37" s="51">
        <f>IF(AW37=1,$AQ37/(1+$AP$111/2)^(AX37-1),0)</f>
        <v/>
      </c>
      <c r="BD37" s="51">
        <f>IF(AW37=1,$AQ37/(1+($AP$111+0.0001)/2)^(AX37-1),0)</f>
        <v/>
      </c>
      <c r="BE37" s="51">
        <f>IF(AW37=1,$AQ37/(1+($AP$111-0.0001)/2)^(AX37-1),0)</f>
        <v/>
      </c>
      <c r="BF37" s="51">
        <f>IF(AND($AQ37&gt;0,AP37&gt;$AP$6,AP37&lt;=$AP$7),$AQ37*(1+$AP$10*($AP$7-AP37)/365),0)</f>
        <v/>
      </c>
    </row>
    <row r="38">
      <c r="A38" s="49" t="n">
        <v>24</v>
      </c>
      <c r="B38" s="50">
        <f>EDATE($B$2,-6*(62-$A38))</f>
        <v/>
      </c>
      <c r="C38" s="51">
        <f>IF(AND(B38&gt;$B$3,B38&lt;=$B$2),IF(B38=$B$2,$B$5+100,$B$5),0)</f>
        <v/>
      </c>
      <c r="D38" s="49">
        <f>IF(AND($C38&gt;0,B38&gt;$B$6),1,0)</f>
        <v/>
      </c>
      <c r="E38" s="49">
        <f>IF(D38=1,SUM($D$15:D38),"")</f>
        <v/>
      </c>
      <c r="F38" s="51">
        <f>IF(D38=1,$C38/(1+$B$8/2)^(E38-1),0)</f>
        <v/>
      </c>
      <c r="G38" s="51">
        <f>IF(D38=1,$C38/(1+($B$8+0.0001)/2)^(E38-1),0)</f>
        <v/>
      </c>
      <c r="H38" s="51">
        <f>IF(D38=1,$C38/(1+($B$8-0.0001)/2)^(E38-1),0)</f>
        <v/>
      </c>
      <c r="I38" s="49">
        <f>IF(AND($C38&gt;0,B38&gt;$B$7),1,0)</f>
        <v/>
      </c>
      <c r="J38" s="49">
        <f>IF(I38=1,SUM($I$15:I38),"")</f>
        <v/>
      </c>
      <c r="K38" s="51">
        <f>IF(I38=1,$C38/(1+$B$104/2)^(J38-1),0)</f>
        <v/>
      </c>
      <c r="L38" s="51">
        <f>IF(I38=1,$C38/(1+($B$104+0.0001)/2)^(J38-1),0)</f>
        <v/>
      </c>
      <c r="M38" s="51">
        <f>IF(I38=1,$C38/(1+($B$104-0.0001)/2)^(J38-1),0)</f>
        <v/>
      </c>
      <c r="N38" s="51">
        <f>IF(I38=1,$C38/(1+$B$109/2)^(J38-1),0)</f>
        <v/>
      </c>
      <c r="O38" s="51">
        <f>IF(I38=1,$C38/(1+$B$111/2)^(J38-1),0)</f>
        <v/>
      </c>
      <c r="P38" s="51">
        <f>IF(I38=1,$C38/(1+($B$111+0.0001)/2)^(J38-1),0)</f>
        <v/>
      </c>
      <c r="Q38" s="51">
        <f>IF(I38=1,$C38/(1+($B$111-0.0001)/2)^(J38-1),0)</f>
        <v/>
      </c>
      <c r="R38" s="51">
        <f>IF(AND($C38&gt;0,B38&gt;$B$6,B38&lt;=$B$7),$C38*(1+$B$10*($B$7-B38)/365),0)</f>
        <v/>
      </c>
      <c r="U38" s="49" t="n">
        <v>24</v>
      </c>
      <c r="V38" s="50">
        <f>EDATE($V$2,-6*(62-$U38))</f>
        <v/>
      </c>
      <c r="W38" s="51">
        <f>IF(AND(V38&gt;$V$3,V38&lt;=$V$2),IF(V38=$V$2,$V$5+100,$V$5),0)</f>
        <v/>
      </c>
      <c r="X38" s="49">
        <f>IF(AND($W38&gt;0,V38&gt;$V$6),1,0)</f>
        <v/>
      </c>
      <c r="Y38" s="49">
        <f>IF(X38=1,SUM($X$15:X38),"")</f>
        <v/>
      </c>
      <c r="Z38" s="51">
        <f>IF(X38=1,$W38/(1+$V$8/2)^(Y38-1),0)</f>
        <v/>
      </c>
      <c r="AA38" s="51">
        <f>IF(X38=1,$W38/(1+($V$8+0.0001)/2)^(Y38-1),0)</f>
        <v/>
      </c>
      <c r="AB38" s="51">
        <f>IF(X38=1,$W38/(1+($V$8-0.0001)/2)^(Y38-1),0)</f>
        <v/>
      </c>
      <c r="AC38" s="49">
        <f>IF(AND($W38&gt;0,V38&gt;$V$7),1,0)</f>
        <v/>
      </c>
      <c r="AD38" s="49">
        <f>IF(AC38=1,SUM($AC$15:AC38),"")</f>
        <v/>
      </c>
      <c r="AE38" s="51">
        <f>IF(AC38=1,$W38/(1+$V$104/2)^(AD38-1),0)</f>
        <v/>
      </c>
      <c r="AF38" s="51">
        <f>IF(AC38=1,$W38/(1+($V$104+0.0001)/2)^(AD38-1),0)</f>
        <v/>
      </c>
      <c r="AG38" s="51">
        <f>IF(AC38=1,$W38/(1+($V$104-0.0001)/2)^(AD38-1),0)</f>
        <v/>
      </c>
      <c r="AH38" s="51">
        <f>IF(AC38=1,$W38/(1+$V$109/2)^(AD38-1),0)</f>
        <v/>
      </c>
      <c r="AI38" s="51">
        <f>IF(AC38=1,$W38/(1+$V$111/2)^(AD38-1),0)</f>
        <v/>
      </c>
      <c r="AJ38" s="51">
        <f>IF(AC38=1,$W38/(1+($V$111+0.0001)/2)^(AD38-1),0)</f>
        <v/>
      </c>
      <c r="AK38" s="51">
        <f>IF(AC38=1,$W38/(1+($V$111-0.0001)/2)^(AD38-1),0)</f>
        <v/>
      </c>
      <c r="AL38" s="51">
        <f>IF(AND($W38&gt;0,V38&gt;$V$6,V38&lt;=$V$7),$W38*(1+$V$10*($V$7-V38)/365),0)</f>
        <v/>
      </c>
      <c r="AO38" s="49" t="n">
        <v>24</v>
      </c>
      <c r="AP38" s="50">
        <f>EDATE($AP$2,-6*(62-$AO38))</f>
        <v/>
      </c>
      <c r="AQ38" s="51">
        <f>IF(AND(AP38&gt;$AP$3,AP38&lt;=$AP$2),IF(AP38=$AP$2,$AP$5+100,$AP$5),0)</f>
        <v/>
      </c>
      <c r="AR38" s="49">
        <f>IF(AND($AQ38&gt;0,AP38&gt;$AP$6),1,0)</f>
        <v/>
      </c>
      <c r="AS38" s="49">
        <f>IF(AR38=1,SUM($AR$15:AR38),"")</f>
        <v/>
      </c>
      <c r="AT38" s="51">
        <f>IF(AR38=1,$AQ38/(1+$AP$8/2)^(AS38-1),0)</f>
        <v/>
      </c>
      <c r="AU38" s="51">
        <f>IF(AR38=1,$AQ38/(1+($AP$8+0.0001)/2)^(AS38-1),0)</f>
        <v/>
      </c>
      <c r="AV38" s="51">
        <f>IF(AR38=1,$AQ38/(1+($AP$8-0.0001)/2)^(AS38-1),0)</f>
        <v/>
      </c>
      <c r="AW38" s="49">
        <f>IF(AND($AQ38&gt;0,AP38&gt;$AP$7),1,0)</f>
        <v/>
      </c>
      <c r="AX38" s="49">
        <f>IF(AW38=1,SUM($AW$15:AW38),"")</f>
        <v/>
      </c>
      <c r="AY38" s="51">
        <f>IF(AW38=1,$AQ38/(1+$AP$104/2)^(AX38-1),0)</f>
        <v/>
      </c>
      <c r="AZ38" s="51">
        <f>IF(AW38=1,$AQ38/(1+($AP$104+0.0001)/2)^(AX38-1),0)</f>
        <v/>
      </c>
      <c r="BA38" s="51">
        <f>IF(AW38=1,$AQ38/(1+($AP$104-0.0001)/2)^(AX38-1),0)</f>
        <v/>
      </c>
      <c r="BB38" s="51">
        <f>IF(AW38=1,$AQ38/(1+$AP$109/2)^(AX38-1),0)</f>
        <v/>
      </c>
      <c r="BC38" s="51">
        <f>IF(AW38=1,$AQ38/(1+$AP$111/2)^(AX38-1),0)</f>
        <v/>
      </c>
      <c r="BD38" s="51">
        <f>IF(AW38=1,$AQ38/(1+($AP$111+0.0001)/2)^(AX38-1),0)</f>
        <v/>
      </c>
      <c r="BE38" s="51">
        <f>IF(AW38=1,$AQ38/(1+($AP$111-0.0001)/2)^(AX38-1),0)</f>
        <v/>
      </c>
      <c r="BF38" s="51">
        <f>IF(AND($AQ38&gt;0,AP38&gt;$AP$6,AP38&lt;=$AP$7),$AQ38*(1+$AP$10*($AP$7-AP38)/365),0)</f>
        <v/>
      </c>
    </row>
    <row r="39">
      <c r="A39" s="49" t="n">
        <v>25</v>
      </c>
      <c r="B39" s="50">
        <f>EDATE($B$2,-6*(62-$A39))</f>
        <v/>
      </c>
      <c r="C39" s="51">
        <f>IF(AND(B39&gt;$B$3,B39&lt;=$B$2),IF(B39=$B$2,$B$5+100,$B$5),0)</f>
        <v/>
      </c>
      <c r="D39" s="49">
        <f>IF(AND($C39&gt;0,B39&gt;$B$6),1,0)</f>
        <v/>
      </c>
      <c r="E39" s="49">
        <f>IF(D39=1,SUM($D$15:D39),"")</f>
        <v/>
      </c>
      <c r="F39" s="51">
        <f>IF(D39=1,$C39/(1+$B$8/2)^(E39-1),0)</f>
        <v/>
      </c>
      <c r="G39" s="51">
        <f>IF(D39=1,$C39/(1+($B$8+0.0001)/2)^(E39-1),0)</f>
        <v/>
      </c>
      <c r="H39" s="51">
        <f>IF(D39=1,$C39/(1+($B$8-0.0001)/2)^(E39-1),0)</f>
        <v/>
      </c>
      <c r="I39" s="49">
        <f>IF(AND($C39&gt;0,B39&gt;$B$7),1,0)</f>
        <v/>
      </c>
      <c r="J39" s="49">
        <f>IF(I39=1,SUM($I$15:I39),"")</f>
        <v/>
      </c>
      <c r="K39" s="51">
        <f>IF(I39=1,$C39/(1+$B$104/2)^(J39-1),0)</f>
        <v/>
      </c>
      <c r="L39" s="51">
        <f>IF(I39=1,$C39/(1+($B$104+0.0001)/2)^(J39-1),0)</f>
        <v/>
      </c>
      <c r="M39" s="51">
        <f>IF(I39=1,$C39/(1+($B$104-0.0001)/2)^(J39-1),0)</f>
        <v/>
      </c>
      <c r="N39" s="51">
        <f>IF(I39=1,$C39/(1+$B$109/2)^(J39-1),0)</f>
        <v/>
      </c>
      <c r="O39" s="51">
        <f>IF(I39=1,$C39/(1+$B$111/2)^(J39-1),0)</f>
        <v/>
      </c>
      <c r="P39" s="51">
        <f>IF(I39=1,$C39/(1+($B$111+0.0001)/2)^(J39-1),0)</f>
        <v/>
      </c>
      <c r="Q39" s="51">
        <f>IF(I39=1,$C39/(1+($B$111-0.0001)/2)^(J39-1),0)</f>
        <v/>
      </c>
      <c r="R39" s="51">
        <f>IF(AND($C39&gt;0,B39&gt;$B$6,B39&lt;=$B$7),$C39*(1+$B$10*($B$7-B39)/365),0)</f>
        <v/>
      </c>
      <c r="U39" s="49" t="n">
        <v>25</v>
      </c>
      <c r="V39" s="50">
        <f>EDATE($V$2,-6*(62-$U39))</f>
        <v/>
      </c>
      <c r="W39" s="51">
        <f>IF(AND(V39&gt;$V$3,V39&lt;=$V$2),IF(V39=$V$2,$V$5+100,$V$5),0)</f>
        <v/>
      </c>
      <c r="X39" s="49">
        <f>IF(AND($W39&gt;0,V39&gt;$V$6),1,0)</f>
        <v/>
      </c>
      <c r="Y39" s="49">
        <f>IF(X39=1,SUM($X$15:X39),"")</f>
        <v/>
      </c>
      <c r="Z39" s="51">
        <f>IF(X39=1,$W39/(1+$V$8/2)^(Y39-1),0)</f>
        <v/>
      </c>
      <c r="AA39" s="51">
        <f>IF(X39=1,$W39/(1+($V$8+0.0001)/2)^(Y39-1),0)</f>
        <v/>
      </c>
      <c r="AB39" s="51">
        <f>IF(X39=1,$W39/(1+($V$8-0.0001)/2)^(Y39-1),0)</f>
        <v/>
      </c>
      <c r="AC39" s="49">
        <f>IF(AND($W39&gt;0,V39&gt;$V$7),1,0)</f>
        <v/>
      </c>
      <c r="AD39" s="49">
        <f>IF(AC39=1,SUM($AC$15:AC39),"")</f>
        <v/>
      </c>
      <c r="AE39" s="51">
        <f>IF(AC39=1,$W39/(1+$V$104/2)^(AD39-1),0)</f>
        <v/>
      </c>
      <c r="AF39" s="51">
        <f>IF(AC39=1,$W39/(1+($V$104+0.0001)/2)^(AD39-1),0)</f>
        <v/>
      </c>
      <c r="AG39" s="51">
        <f>IF(AC39=1,$W39/(1+($V$104-0.0001)/2)^(AD39-1),0)</f>
        <v/>
      </c>
      <c r="AH39" s="51">
        <f>IF(AC39=1,$W39/(1+$V$109/2)^(AD39-1),0)</f>
        <v/>
      </c>
      <c r="AI39" s="51">
        <f>IF(AC39=1,$W39/(1+$V$111/2)^(AD39-1),0)</f>
        <v/>
      </c>
      <c r="AJ39" s="51">
        <f>IF(AC39=1,$W39/(1+($V$111+0.0001)/2)^(AD39-1),0)</f>
        <v/>
      </c>
      <c r="AK39" s="51">
        <f>IF(AC39=1,$W39/(1+($V$111-0.0001)/2)^(AD39-1),0)</f>
        <v/>
      </c>
      <c r="AL39" s="51">
        <f>IF(AND($W39&gt;0,V39&gt;$V$6,V39&lt;=$V$7),$W39*(1+$V$10*($V$7-V39)/365),0)</f>
        <v/>
      </c>
      <c r="AO39" s="49" t="n">
        <v>25</v>
      </c>
      <c r="AP39" s="50">
        <f>EDATE($AP$2,-6*(62-$AO39))</f>
        <v/>
      </c>
      <c r="AQ39" s="51">
        <f>IF(AND(AP39&gt;$AP$3,AP39&lt;=$AP$2),IF(AP39=$AP$2,$AP$5+100,$AP$5),0)</f>
        <v/>
      </c>
      <c r="AR39" s="49">
        <f>IF(AND($AQ39&gt;0,AP39&gt;$AP$6),1,0)</f>
        <v/>
      </c>
      <c r="AS39" s="49">
        <f>IF(AR39=1,SUM($AR$15:AR39),"")</f>
        <v/>
      </c>
      <c r="AT39" s="51">
        <f>IF(AR39=1,$AQ39/(1+$AP$8/2)^(AS39-1),0)</f>
        <v/>
      </c>
      <c r="AU39" s="51">
        <f>IF(AR39=1,$AQ39/(1+($AP$8+0.0001)/2)^(AS39-1),0)</f>
        <v/>
      </c>
      <c r="AV39" s="51">
        <f>IF(AR39=1,$AQ39/(1+($AP$8-0.0001)/2)^(AS39-1),0)</f>
        <v/>
      </c>
      <c r="AW39" s="49">
        <f>IF(AND($AQ39&gt;0,AP39&gt;$AP$7),1,0)</f>
        <v/>
      </c>
      <c r="AX39" s="49">
        <f>IF(AW39=1,SUM($AW$15:AW39),"")</f>
        <v/>
      </c>
      <c r="AY39" s="51">
        <f>IF(AW39=1,$AQ39/(1+$AP$104/2)^(AX39-1),0)</f>
        <v/>
      </c>
      <c r="AZ39" s="51">
        <f>IF(AW39=1,$AQ39/(1+($AP$104+0.0001)/2)^(AX39-1),0)</f>
        <v/>
      </c>
      <c r="BA39" s="51">
        <f>IF(AW39=1,$AQ39/(1+($AP$104-0.0001)/2)^(AX39-1),0)</f>
        <v/>
      </c>
      <c r="BB39" s="51">
        <f>IF(AW39=1,$AQ39/(1+$AP$109/2)^(AX39-1),0)</f>
        <v/>
      </c>
      <c r="BC39" s="51">
        <f>IF(AW39=1,$AQ39/(1+$AP$111/2)^(AX39-1),0)</f>
        <v/>
      </c>
      <c r="BD39" s="51">
        <f>IF(AW39=1,$AQ39/(1+($AP$111+0.0001)/2)^(AX39-1),0)</f>
        <v/>
      </c>
      <c r="BE39" s="51">
        <f>IF(AW39=1,$AQ39/(1+($AP$111-0.0001)/2)^(AX39-1),0)</f>
        <v/>
      </c>
      <c r="BF39" s="51">
        <f>IF(AND($AQ39&gt;0,AP39&gt;$AP$6,AP39&lt;=$AP$7),$AQ39*(1+$AP$10*($AP$7-AP39)/365),0)</f>
        <v/>
      </c>
    </row>
    <row r="40">
      <c r="A40" s="49" t="n">
        <v>26</v>
      </c>
      <c r="B40" s="50">
        <f>EDATE($B$2,-6*(62-$A40))</f>
        <v/>
      </c>
      <c r="C40" s="51">
        <f>IF(AND(B40&gt;$B$3,B40&lt;=$B$2),IF(B40=$B$2,$B$5+100,$B$5),0)</f>
        <v/>
      </c>
      <c r="D40" s="49">
        <f>IF(AND($C40&gt;0,B40&gt;$B$6),1,0)</f>
        <v/>
      </c>
      <c r="E40" s="49">
        <f>IF(D40=1,SUM($D$15:D40),"")</f>
        <v/>
      </c>
      <c r="F40" s="51">
        <f>IF(D40=1,$C40/(1+$B$8/2)^(E40-1),0)</f>
        <v/>
      </c>
      <c r="G40" s="51">
        <f>IF(D40=1,$C40/(1+($B$8+0.0001)/2)^(E40-1),0)</f>
        <v/>
      </c>
      <c r="H40" s="51">
        <f>IF(D40=1,$C40/(1+($B$8-0.0001)/2)^(E40-1),0)</f>
        <v/>
      </c>
      <c r="I40" s="49">
        <f>IF(AND($C40&gt;0,B40&gt;$B$7),1,0)</f>
        <v/>
      </c>
      <c r="J40" s="49">
        <f>IF(I40=1,SUM($I$15:I40),"")</f>
        <v/>
      </c>
      <c r="K40" s="51">
        <f>IF(I40=1,$C40/(1+$B$104/2)^(J40-1),0)</f>
        <v/>
      </c>
      <c r="L40" s="51">
        <f>IF(I40=1,$C40/(1+($B$104+0.0001)/2)^(J40-1),0)</f>
        <v/>
      </c>
      <c r="M40" s="51">
        <f>IF(I40=1,$C40/(1+($B$104-0.0001)/2)^(J40-1),0)</f>
        <v/>
      </c>
      <c r="N40" s="51">
        <f>IF(I40=1,$C40/(1+$B$109/2)^(J40-1),0)</f>
        <v/>
      </c>
      <c r="O40" s="51">
        <f>IF(I40=1,$C40/(1+$B$111/2)^(J40-1),0)</f>
        <v/>
      </c>
      <c r="P40" s="51">
        <f>IF(I40=1,$C40/(1+($B$111+0.0001)/2)^(J40-1),0)</f>
        <v/>
      </c>
      <c r="Q40" s="51">
        <f>IF(I40=1,$C40/(1+($B$111-0.0001)/2)^(J40-1),0)</f>
        <v/>
      </c>
      <c r="R40" s="51">
        <f>IF(AND($C40&gt;0,B40&gt;$B$6,B40&lt;=$B$7),$C40*(1+$B$10*($B$7-B40)/365),0)</f>
        <v/>
      </c>
      <c r="U40" s="49" t="n">
        <v>26</v>
      </c>
      <c r="V40" s="50">
        <f>EDATE($V$2,-6*(62-$U40))</f>
        <v/>
      </c>
      <c r="W40" s="51">
        <f>IF(AND(V40&gt;$V$3,V40&lt;=$V$2),IF(V40=$V$2,$V$5+100,$V$5),0)</f>
        <v/>
      </c>
      <c r="X40" s="49">
        <f>IF(AND($W40&gt;0,V40&gt;$V$6),1,0)</f>
        <v/>
      </c>
      <c r="Y40" s="49">
        <f>IF(X40=1,SUM($X$15:X40),"")</f>
        <v/>
      </c>
      <c r="Z40" s="51">
        <f>IF(X40=1,$W40/(1+$V$8/2)^(Y40-1),0)</f>
        <v/>
      </c>
      <c r="AA40" s="51">
        <f>IF(X40=1,$W40/(1+($V$8+0.0001)/2)^(Y40-1),0)</f>
        <v/>
      </c>
      <c r="AB40" s="51">
        <f>IF(X40=1,$W40/(1+($V$8-0.0001)/2)^(Y40-1),0)</f>
        <v/>
      </c>
      <c r="AC40" s="49">
        <f>IF(AND($W40&gt;0,V40&gt;$V$7),1,0)</f>
        <v/>
      </c>
      <c r="AD40" s="49">
        <f>IF(AC40=1,SUM($AC$15:AC40),"")</f>
        <v/>
      </c>
      <c r="AE40" s="51">
        <f>IF(AC40=1,$W40/(1+$V$104/2)^(AD40-1),0)</f>
        <v/>
      </c>
      <c r="AF40" s="51">
        <f>IF(AC40=1,$W40/(1+($V$104+0.0001)/2)^(AD40-1),0)</f>
        <v/>
      </c>
      <c r="AG40" s="51">
        <f>IF(AC40=1,$W40/(1+($V$104-0.0001)/2)^(AD40-1),0)</f>
        <v/>
      </c>
      <c r="AH40" s="51">
        <f>IF(AC40=1,$W40/(1+$V$109/2)^(AD40-1),0)</f>
        <v/>
      </c>
      <c r="AI40" s="51">
        <f>IF(AC40=1,$W40/(1+$V$111/2)^(AD40-1),0)</f>
        <v/>
      </c>
      <c r="AJ40" s="51">
        <f>IF(AC40=1,$W40/(1+($V$111+0.0001)/2)^(AD40-1),0)</f>
        <v/>
      </c>
      <c r="AK40" s="51">
        <f>IF(AC40=1,$W40/(1+($V$111-0.0001)/2)^(AD40-1),0)</f>
        <v/>
      </c>
      <c r="AL40" s="51">
        <f>IF(AND($W40&gt;0,V40&gt;$V$6,V40&lt;=$V$7),$W40*(1+$V$10*($V$7-V40)/365),0)</f>
        <v/>
      </c>
      <c r="AO40" s="49" t="n">
        <v>26</v>
      </c>
      <c r="AP40" s="50">
        <f>EDATE($AP$2,-6*(62-$AO40))</f>
        <v/>
      </c>
      <c r="AQ40" s="51">
        <f>IF(AND(AP40&gt;$AP$3,AP40&lt;=$AP$2),IF(AP40=$AP$2,$AP$5+100,$AP$5),0)</f>
        <v/>
      </c>
      <c r="AR40" s="49">
        <f>IF(AND($AQ40&gt;0,AP40&gt;$AP$6),1,0)</f>
        <v/>
      </c>
      <c r="AS40" s="49">
        <f>IF(AR40=1,SUM($AR$15:AR40),"")</f>
        <v/>
      </c>
      <c r="AT40" s="51">
        <f>IF(AR40=1,$AQ40/(1+$AP$8/2)^(AS40-1),0)</f>
        <v/>
      </c>
      <c r="AU40" s="51">
        <f>IF(AR40=1,$AQ40/(1+($AP$8+0.0001)/2)^(AS40-1),0)</f>
        <v/>
      </c>
      <c r="AV40" s="51">
        <f>IF(AR40=1,$AQ40/(1+($AP$8-0.0001)/2)^(AS40-1),0)</f>
        <v/>
      </c>
      <c r="AW40" s="49">
        <f>IF(AND($AQ40&gt;0,AP40&gt;$AP$7),1,0)</f>
        <v/>
      </c>
      <c r="AX40" s="49">
        <f>IF(AW40=1,SUM($AW$15:AW40),"")</f>
        <v/>
      </c>
      <c r="AY40" s="51">
        <f>IF(AW40=1,$AQ40/(1+$AP$104/2)^(AX40-1),0)</f>
        <v/>
      </c>
      <c r="AZ40" s="51">
        <f>IF(AW40=1,$AQ40/(1+($AP$104+0.0001)/2)^(AX40-1),0)</f>
        <v/>
      </c>
      <c r="BA40" s="51">
        <f>IF(AW40=1,$AQ40/(1+($AP$104-0.0001)/2)^(AX40-1),0)</f>
        <v/>
      </c>
      <c r="BB40" s="51">
        <f>IF(AW40=1,$AQ40/(1+$AP$109/2)^(AX40-1),0)</f>
        <v/>
      </c>
      <c r="BC40" s="51">
        <f>IF(AW40=1,$AQ40/(1+$AP$111/2)^(AX40-1),0)</f>
        <v/>
      </c>
      <c r="BD40" s="51">
        <f>IF(AW40=1,$AQ40/(1+($AP$111+0.0001)/2)^(AX40-1),0)</f>
        <v/>
      </c>
      <c r="BE40" s="51">
        <f>IF(AW40=1,$AQ40/(1+($AP$111-0.0001)/2)^(AX40-1),0)</f>
        <v/>
      </c>
      <c r="BF40" s="51">
        <f>IF(AND($AQ40&gt;0,AP40&gt;$AP$6,AP40&lt;=$AP$7),$AQ40*(1+$AP$10*($AP$7-AP40)/365),0)</f>
        <v/>
      </c>
    </row>
    <row r="41">
      <c r="A41" s="49" t="n">
        <v>27</v>
      </c>
      <c r="B41" s="50">
        <f>EDATE($B$2,-6*(62-$A41))</f>
        <v/>
      </c>
      <c r="C41" s="51">
        <f>IF(AND(B41&gt;$B$3,B41&lt;=$B$2),IF(B41=$B$2,$B$5+100,$B$5),0)</f>
        <v/>
      </c>
      <c r="D41" s="49">
        <f>IF(AND($C41&gt;0,B41&gt;$B$6),1,0)</f>
        <v/>
      </c>
      <c r="E41" s="49">
        <f>IF(D41=1,SUM($D$15:D41),"")</f>
        <v/>
      </c>
      <c r="F41" s="51">
        <f>IF(D41=1,$C41/(1+$B$8/2)^(E41-1),0)</f>
        <v/>
      </c>
      <c r="G41" s="51">
        <f>IF(D41=1,$C41/(1+($B$8+0.0001)/2)^(E41-1),0)</f>
        <v/>
      </c>
      <c r="H41" s="51">
        <f>IF(D41=1,$C41/(1+($B$8-0.0001)/2)^(E41-1),0)</f>
        <v/>
      </c>
      <c r="I41" s="49">
        <f>IF(AND($C41&gt;0,B41&gt;$B$7),1,0)</f>
        <v/>
      </c>
      <c r="J41" s="49">
        <f>IF(I41=1,SUM($I$15:I41),"")</f>
        <v/>
      </c>
      <c r="K41" s="51">
        <f>IF(I41=1,$C41/(1+$B$104/2)^(J41-1),0)</f>
        <v/>
      </c>
      <c r="L41" s="51">
        <f>IF(I41=1,$C41/(1+($B$104+0.0001)/2)^(J41-1),0)</f>
        <v/>
      </c>
      <c r="M41" s="51">
        <f>IF(I41=1,$C41/(1+($B$104-0.0001)/2)^(J41-1),0)</f>
        <v/>
      </c>
      <c r="N41" s="51">
        <f>IF(I41=1,$C41/(1+$B$109/2)^(J41-1),0)</f>
        <v/>
      </c>
      <c r="O41" s="51">
        <f>IF(I41=1,$C41/(1+$B$111/2)^(J41-1),0)</f>
        <v/>
      </c>
      <c r="P41" s="51">
        <f>IF(I41=1,$C41/(1+($B$111+0.0001)/2)^(J41-1),0)</f>
        <v/>
      </c>
      <c r="Q41" s="51">
        <f>IF(I41=1,$C41/(1+($B$111-0.0001)/2)^(J41-1),0)</f>
        <v/>
      </c>
      <c r="R41" s="51">
        <f>IF(AND($C41&gt;0,B41&gt;$B$6,B41&lt;=$B$7),$C41*(1+$B$10*($B$7-B41)/365),0)</f>
        <v/>
      </c>
      <c r="U41" s="49" t="n">
        <v>27</v>
      </c>
      <c r="V41" s="50">
        <f>EDATE($V$2,-6*(62-$U41))</f>
        <v/>
      </c>
      <c r="W41" s="51">
        <f>IF(AND(V41&gt;$V$3,V41&lt;=$V$2),IF(V41=$V$2,$V$5+100,$V$5),0)</f>
        <v/>
      </c>
      <c r="X41" s="49">
        <f>IF(AND($W41&gt;0,V41&gt;$V$6),1,0)</f>
        <v/>
      </c>
      <c r="Y41" s="49">
        <f>IF(X41=1,SUM($X$15:X41),"")</f>
        <v/>
      </c>
      <c r="Z41" s="51">
        <f>IF(X41=1,$W41/(1+$V$8/2)^(Y41-1),0)</f>
        <v/>
      </c>
      <c r="AA41" s="51">
        <f>IF(X41=1,$W41/(1+($V$8+0.0001)/2)^(Y41-1),0)</f>
        <v/>
      </c>
      <c r="AB41" s="51">
        <f>IF(X41=1,$W41/(1+($V$8-0.0001)/2)^(Y41-1),0)</f>
        <v/>
      </c>
      <c r="AC41" s="49">
        <f>IF(AND($W41&gt;0,V41&gt;$V$7),1,0)</f>
        <v/>
      </c>
      <c r="AD41" s="49">
        <f>IF(AC41=1,SUM($AC$15:AC41),"")</f>
        <v/>
      </c>
      <c r="AE41" s="51">
        <f>IF(AC41=1,$W41/(1+$V$104/2)^(AD41-1),0)</f>
        <v/>
      </c>
      <c r="AF41" s="51">
        <f>IF(AC41=1,$W41/(1+($V$104+0.0001)/2)^(AD41-1),0)</f>
        <v/>
      </c>
      <c r="AG41" s="51">
        <f>IF(AC41=1,$W41/(1+($V$104-0.0001)/2)^(AD41-1),0)</f>
        <v/>
      </c>
      <c r="AH41" s="51">
        <f>IF(AC41=1,$W41/(1+$V$109/2)^(AD41-1),0)</f>
        <v/>
      </c>
      <c r="AI41" s="51">
        <f>IF(AC41=1,$W41/(1+$V$111/2)^(AD41-1),0)</f>
        <v/>
      </c>
      <c r="AJ41" s="51">
        <f>IF(AC41=1,$W41/(1+($V$111+0.0001)/2)^(AD41-1),0)</f>
        <v/>
      </c>
      <c r="AK41" s="51">
        <f>IF(AC41=1,$W41/(1+($V$111-0.0001)/2)^(AD41-1),0)</f>
        <v/>
      </c>
      <c r="AL41" s="51">
        <f>IF(AND($W41&gt;0,V41&gt;$V$6,V41&lt;=$V$7),$W41*(1+$V$10*($V$7-V41)/365),0)</f>
        <v/>
      </c>
      <c r="AO41" s="49" t="n">
        <v>27</v>
      </c>
      <c r="AP41" s="50">
        <f>EDATE($AP$2,-6*(62-$AO41))</f>
        <v/>
      </c>
      <c r="AQ41" s="51">
        <f>IF(AND(AP41&gt;$AP$3,AP41&lt;=$AP$2),IF(AP41=$AP$2,$AP$5+100,$AP$5),0)</f>
        <v/>
      </c>
      <c r="AR41" s="49">
        <f>IF(AND($AQ41&gt;0,AP41&gt;$AP$6),1,0)</f>
        <v/>
      </c>
      <c r="AS41" s="49">
        <f>IF(AR41=1,SUM($AR$15:AR41),"")</f>
        <v/>
      </c>
      <c r="AT41" s="51">
        <f>IF(AR41=1,$AQ41/(1+$AP$8/2)^(AS41-1),0)</f>
        <v/>
      </c>
      <c r="AU41" s="51">
        <f>IF(AR41=1,$AQ41/(1+($AP$8+0.0001)/2)^(AS41-1),0)</f>
        <v/>
      </c>
      <c r="AV41" s="51">
        <f>IF(AR41=1,$AQ41/(1+($AP$8-0.0001)/2)^(AS41-1),0)</f>
        <v/>
      </c>
      <c r="AW41" s="49">
        <f>IF(AND($AQ41&gt;0,AP41&gt;$AP$7),1,0)</f>
        <v/>
      </c>
      <c r="AX41" s="49">
        <f>IF(AW41=1,SUM($AW$15:AW41),"")</f>
        <v/>
      </c>
      <c r="AY41" s="51">
        <f>IF(AW41=1,$AQ41/(1+$AP$104/2)^(AX41-1),0)</f>
        <v/>
      </c>
      <c r="AZ41" s="51">
        <f>IF(AW41=1,$AQ41/(1+($AP$104+0.0001)/2)^(AX41-1),0)</f>
        <v/>
      </c>
      <c r="BA41" s="51">
        <f>IF(AW41=1,$AQ41/(1+($AP$104-0.0001)/2)^(AX41-1),0)</f>
        <v/>
      </c>
      <c r="BB41" s="51">
        <f>IF(AW41=1,$AQ41/(1+$AP$109/2)^(AX41-1),0)</f>
        <v/>
      </c>
      <c r="BC41" s="51">
        <f>IF(AW41=1,$AQ41/(1+$AP$111/2)^(AX41-1),0)</f>
        <v/>
      </c>
      <c r="BD41" s="51">
        <f>IF(AW41=1,$AQ41/(1+($AP$111+0.0001)/2)^(AX41-1),0)</f>
        <v/>
      </c>
      <c r="BE41" s="51">
        <f>IF(AW41=1,$AQ41/(1+($AP$111-0.0001)/2)^(AX41-1),0)</f>
        <v/>
      </c>
      <c r="BF41" s="51">
        <f>IF(AND($AQ41&gt;0,AP41&gt;$AP$6,AP41&lt;=$AP$7),$AQ41*(1+$AP$10*($AP$7-AP41)/365),0)</f>
        <v/>
      </c>
    </row>
    <row r="42">
      <c r="A42" s="49" t="n">
        <v>28</v>
      </c>
      <c r="B42" s="50">
        <f>EDATE($B$2,-6*(62-$A42))</f>
        <v/>
      </c>
      <c r="C42" s="51">
        <f>IF(AND(B42&gt;$B$3,B42&lt;=$B$2),IF(B42=$B$2,$B$5+100,$B$5),0)</f>
        <v/>
      </c>
      <c r="D42" s="49">
        <f>IF(AND($C42&gt;0,B42&gt;$B$6),1,0)</f>
        <v/>
      </c>
      <c r="E42" s="49">
        <f>IF(D42=1,SUM($D$15:D42),"")</f>
        <v/>
      </c>
      <c r="F42" s="51">
        <f>IF(D42=1,$C42/(1+$B$8/2)^(E42-1),0)</f>
        <v/>
      </c>
      <c r="G42" s="51">
        <f>IF(D42=1,$C42/(1+($B$8+0.0001)/2)^(E42-1),0)</f>
        <v/>
      </c>
      <c r="H42" s="51">
        <f>IF(D42=1,$C42/(1+($B$8-0.0001)/2)^(E42-1),0)</f>
        <v/>
      </c>
      <c r="I42" s="49">
        <f>IF(AND($C42&gt;0,B42&gt;$B$7),1,0)</f>
        <v/>
      </c>
      <c r="J42" s="49">
        <f>IF(I42=1,SUM($I$15:I42),"")</f>
        <v/>
      </c>
      <c r="K42" s="51">
        <f>IF(I42=1,$C42/(1+$B$104/2)^(J42-1),0)</f>
        <v/>
      </c>
      <c r="L42" s="51">
        <f>IF(I42=1,$C42/(1+($B$104+0.0001)/2)^(J42-1),0)</f>
        <v/>
      </c>
      <c r="M42" s="51">
        <f>IF(I42=1,$C42/(1+($B$104-0.0001)/2)^(J42-1),0)</f>
        <v/>
      </c>
      <c r="N42" s="51">
        <f>IF(I42=1,$C42/(1+$B$109/2)^(J42-1),0)</f>
        <v/>
      </c>
      <c r="O42" s="51">
        <f>IF(I42=1,$C42/(1+$B$111/2)^(J42-1),0)</f>
        <v/>
      </c>
      <c r="P42" s="51">
        <f>IF(I42=1,$C42/(1+($B$111+0.0001)/2)^(J42-1),0)</f>
        <v/>
      </c>
      <c r="Q42" s="51">
        <f>IF(I42=1,$C42/(1+($B$111-0.0001)/2)^(J42-1),0)</f>
        <v/>
      </c>
      <c r="R42" s="51">
        <f>IF(AND($C42&gt;0,B42&gt;$B$6,B42&lt;=$B$7),$C42*(1+$B$10*($B$7-B42)/365),0)</f>
        <v/>
      </c>
      <c r="U42" s="49" t="n">
        <v>28</v>
      </c>
      <c r="V42" s="50">
        <f>EDATE($V$2,-6*(62-$U42))</f>
        <v/>
      </c>
      <c r="W42" s="51">
        <f>IF(AND(V42&gt;$V$3,V42&lt;=$V$2),IF(V42=$V$2,$V$5+100,$V$5),0)</f>
        <v/>
      </c>
      <c r="X42" s="49">
        <f>IF(AND($W42&gt;0,V42&gt;$V$6),1,0)</f>
        <v/>
      </c>
      <c r="Y42" s="49">
        <f>IF(X42=1,SUM($X$15:X42),"")</f>
        <v/>
      </c>
      <c r="Z42" s="51">
        <f>IF(X42=1,$W42/(1+$V$8/2)^(Y42-1),0)</f>
        <v/>
      </c>
      <c r="AA42" s="51">
        <f>IF(X42=1,$W42/(1+($V$8+0.0001)/2)^(Y42-1),0)</f>
        <v/>
      </c>
      <c r="AB42" s="51">
        <f>IF(X42=1,$W42/(1+($V$8-0.0001)/2)^(Y42-1),0)</f>
        <v/>
      </c>
      <c r="AC42" s="49">
        <f>IF(AND($W42&gt;0,V42&gt;$V$7),1,0)</f>
        <v/>
      </c>
      <c r="AD42" s="49">
        <f>IF(AC42=1,SUM($AC$15:AC42),"")</f>
        <v/>
      </c>
      <c r="AE42" s="51">
        <f>IF(AC42=1,$W42/(1+$V$104/2)^(AD42-1),0)</f>
        <v/>
      </c>
      <c r="AF42" s="51">
        <f>IF(AC42=1,$W42/(1+($V$104+0.0001)/2)^(AD42-1),0)</f>
        <v/>
      </c>
      <c r="AG42" s="51">
        <f>IF(AC42=1,$W42/(1+($V$104-0.0001)/2)^(AD42-1),0)</f>
        <v/>
      </c>
      <c r="AH42" s="51">
        <f>IF(AC42=1,$W42/(1+$V$109/2)^(AD42-1),0)</f>
        <v/>
      </c>
      <c r="AI42" s="51">
        <f>IF(AC42=1,$W42/(1+$V$111/2)^(AD42-1),0)</f>
        <v/>
      </c>
      <c r="AJ42" s="51">
        <f>IF(AC42=1,$W42/(1+($V$111+0.0001)/2)^(AD42-1),0)</f>
        <v/>
      </c>
      <c r="AK42" s="51">
        <f>IF(AC42=1,$W42/(1+($V$111-0.0001)/2)^(AD42-1),0)</f>
        <v/>
      </c>
      <c r="AL42" s="51">
        <f>IF(AND($W42&gt;0,V42&gt;$V$6,V42&lt;=$V$7),$W42*(1+$V$10*($V$7-V42)/365),0)</f>
        <v/>
      </c>
      <c r="AO42" s="49" t="n">
        <v>28</v>
      </c>
      <c r="AP42" s="50">
        <f>EDATE($AP$2,-6*(62-$AO42))</f>
        <v/>
      </c>
      <c r="AQ42" s="51">
        <f>IF(AND(AP42&gt;$AP$3,AP42&lt;=$AP$2),IF(AP42=$AP$2,$AP$5+100,$AP$5),0)</f>
        <v/>
      </c>
      <c r="AR42" s="49">
        <f>IF(AND($AQ42&gt;0,AP42&gt;$AP$6),1,0)</f>
        <v/>
      </c>
      <c r="AS42" s="49">
        <f>IF(AR42=1,SUM($AR$15:AR42),"")</f>
        <v/>
      </c>
      <c r="AT42" s="51">
        <f>IF(AR42=1,$AQ42/(1+$AP$8/2)^(AS42-1),0)</f>
        <v/>
      </c>
      <c r="AU42" s="51">
        <f>IF(AR42=1,$AQ42/(1+($AP$8+0.0001)/2)^(AS42-1),0)</f>
        <v/>
      </c>
      <c r="AV42" s="51">
        <f>IF(AR42=1,$AQ42/(1+($AP$8-0.0001)/2)^(AS42-1),0)</f>
        <v/>
      </c>
      <c r="AW42" s="49">
        <f>IF(AND($AQ42&gt;0,AP42&gt;$AP$7),1,0)</f>
        <v/>
      </c>
      <c r="AX42" s="49">
        <f>IF(AW42=1,SUM($AW$15:AW42),"")</f>
        <v/>
      </c>
      <c r="AY42" s="51">
        <f>IF(AW42=1,$AQ42/(1+$AP$104/2)^(AX42-1),0)</f>
        <v/>
      </c>
      <c r="AZ42" s="51">
        <f>IF(AW42=1,$AQ42/(1+($AP$104+0.0001)/2)^(AX42-1),0)</f>
        <v/>
      </c>
      <c r="BA42" s="51">
        <f>IF(AW42=1,$AQ42/(1+($AP$104-0.0001)/2)^(AX42-1),0)</f>
        <v/>
      </c>
      <c r="BB42" s="51">
        <f>IF(AW42=1,$AQ42/(1+$AP$109/2)^(AX42-1),0)</f>
        <v/>
      </c>
      <c r="BC42" s="51">
        <f>IF(AW42=1,$AQ42/(1+$AP$111/2)^(AX42-1),0)</f>
        <v/>
      </c>
      <c r="BD42" s="51">
        <f>IF(AW42=1,$AQ42/(1+($AP$111+0.0001)/2)^(AX42-1),0)</f>
        <v/>
      </c>
      <c r="BE42" s="51">
        <f>IF(AW42=1,$AQ42/(1+($AP$111-0.0001)/2)^(AX42-1),0)</f>
        <v/>
      </c>
      <c r="BF42" s="51">
        <f>IF(AND($AQ42&gt;0,AP42&gt;$AP$6,AP42&lt;=$AP$7),$AQ42*(1+$AP$10*($AP$7-AP42)/365),0)</f>
        <v/>
      </c>
    </row>
    <row r="43">
      <c r="A43" s="49" t="n">
        <v>29</v>
      </c>
      <c r="B43" s="50">
        <f>EDATE($B$2,-6*(62-$A43))</f>
        <v/>
      </c>
      <c r="C43" s="51">
        <f>IF(AND(B43&gt;$B$3,B43&lt;=$B$2),IF(B43=$B$2,$B$5+100,$B$5),0)</f>
        <v/>
      </c>
      <c r="D43" s="49">
        <f>IF(AND($C43&gt;0,B43&gt;$B$6),1,0)</f>
        <v/>
      </c>
      <c r="E43" s="49">
        <f>IF(D43=1,SUM($D$15:D43),"")</f>
        <v/>
      </c>
      <c r="F43" s="51">
        <f>IF(D43=1,$C43/(1+$B$8/2)^(E43-1),0)</f>
        <v/>
      </c>
      <c r="G43" s="51">
        <f>IF(D43=1,$C43/(1+($B$8+0.0001)/2)^(E43-1),0)</f>
        <v/>
      </c>
      <c r="H43" s="51">
        <f>IF(D43=1,$C43/(1+($B$8-0.0001)/2)^(E43-1),0)</f>
        <v/>
      </c>
      <c r="I43" s="49">
        <f>IF(AND($C43&gt;0,B43&gt;$B$7),1,0)</f>
        <v/>
      </c>
      <c r="J43" s="49">
        <f>IF(I43=1,SUM($I$15:I43),"")</f>
        <v/>
      </c>
      <c r="K43" s="51">
        <f>IF(I43=1,$C43/(1+$B$104/2)^(J43-1),0)</f>
        <v/>
      </c>
      <c r="L43" s="51">
        <f>IF(I43=1,$C43/(1+($B$104+0.0001)/2)^(J43-1),0)</f>
        <v/>
      </c>
      <c r="M43" s="51">
        <f>IF(I43=1,$C43/(1+($B$104-0.0001)/2)^(J43-1),0)</f>
        <v/>
      </c>
      <c r="N43" s="51">
        <f>IF(I43=1,$C43/(1+$B$109/2)^(J43-1),0)</f>
        <v/>
      </c>
      <c r="O43" s="51">
        <f>IF(I43=1,$C43/(1+$B$111/2)^(J43-1),0)</f>
        <v/>
      </c>
      <c r="P43" s="51">
        <f>IF(I43=1,$C43/(1+($B$111+0.0001)/2)^(J43-1),0)</f>
        <v/>
      </c>
      <c r="Q43" s="51">
        <f>IF(I43=1,$C43/(1+($B$111-0.0001)/2)^(J43-1),0)</f>
        <v/>
      </c>
      <c r="R43" s="51">
        <f>IF(AND($C43&gt;0,B43&gt;$B$6,B43&lt;=$B$7),$C43*(1+$B$10*($B$7-B43)/365),0)</f>
        <v/>
      </c>
      <c r="U43" s="49" t="n">
        <v>29</v>
      </c>
      <c r="V43" s="50">
        <f>EDATE($V$2,-6*(62-$U43))</f>
        <v/>
      </c>
      <c r="W43" s="51">
        <f>IF(AND(V43&gt;$V$3,V43&lt;=$V$2),IF(V43=$V$2,$V$5+100,$V$5),0)</f>
        <v/>
      </c>
      <c r="X43" s="49">
        <f>IF(AND($W43&gt;0,V43&gt;$V$6),1,0)</f>
        <v/>
      </c>
      <c r="Y43" s="49">
        <f>IF(X43=1,SUM($X$15:X43),"")</f>
        <v/>
      </c>
      <c r="Z43" s="51">
        <f>IF(X43=1,$W43/(1+$V$8/2)^(Y43-1),0)</f>
        <v/>
      </c>
      <c r="AA43" s="51">
        <f>IF(X43=1,$W43/(1+($V$8+0.0001)/2)^(Y43-1),0)</f>
        <v/>
      </c>
      <c r="AB43" s="51">
        <f>IF(X43=1,$W43/(1+($V$8-0.0001)/2)^(Y43-1),0)</f>
        <v/>
      </c>
      <c r="AC43" s="49">
        <f>IF(AND($W43&gt;0,V43&gt;$V$7),1,0)</f>
        <v/>
      </c>
      <c r="AD43" s="49">
        <f>IF(AC43=1,SUM($AC$15:AC43),"")</f>
        <v/>
      </c>
      <c r="AE43" s="51">
        <f>IF(AC43=1,$W43/(1+$V$104/2)^(AD43-1),0)</f>
        <v/>
      </c>
      <c r="AF43" s="51">
        <f>IF(AC43=1,$W43/(1+($V$104+0.0001)/2)^(AD43-1),0)</f>
        <v/>
      </c>
      <c r="AG43" s="51">
        <f>IF(AC43=1,$W43/(1+($V$104-0.0001)/2)^(AD43-1),0)</f>
        <v/>
      </c>
      <c r="AH43" s="51">
        <f>IF(AC43=1,$W43/(1+$V$109/2)^(AD43-1),0)</f>
        <v/>
      </c>
      <c r="AI43" s="51">
        <f>IF(AC43=1,$W43/(1+$V$111/2)^(AD43-1),0)</f>
        <v/>
      </c>
      <c r="AJ43" s="51">
        <f>IF(AC43=1,$W43/(1+($V$111+0.0001)/2)^(AD43-1),0)</f>
        <v/>
      </c>
      <c r="AK43" s="51">
        <f>IF(AC43=1,$W43/(1+($V$111-0.0001)/2)^(AD43-1),0)</f>
        <v/>
      </c>
      <c r="AL43" s="51">
        <f>IF(AND($W43&gt;0,V43&gt;$V$6,V43&lt;=$V$7),$W43*(1+$V$10*($V$7-V43)/365),0)</f>
        <v/>
      </c>
      <c r="AO43" s="49" t="n">
        <v>29</v>
      </c>
      <c r="AP43" s="50">
        <f>EDATE($AP$2,-6*(62-$AO43))</f>
        <v/>
      </c>
      <c r="AQ43" s="51">
        <f>IF(AND(AP43&gt;$AP$3,AP43&lt;=$AP$2),IF(AP43=$AP$2,$AP$5+100,$AP$5),0)</f>
        <v/>
      </c>
      <c r="AR43" s="49">
        <f>IF(AND($AQ43&gt;0,AP43&gt;$AP$6),1,0)</f>
        <v/>
      </c>
      <c r="AS43" s="49">
        <f>IF(AR43=1,SUM($AR$15:AR43),"")</f>
        <v/>
      </c>
      <c r="AT43" s="51">
        <f>IF(AR43=1,$AQ43/(1+$AP$8/2)^(AS43-1),0)</f>
        <v/>
      </c>
      <c r="AU43" s="51">
        <f>IF(AR43=1,$AQ43/(1+($AP$8+0.0001)/2)^(AS43-1),0)</f>
        <v/>
      </c>
      <c r="AV43" s="51">
        <f>IF(AR43=1,$AQ43/(1+($AP$8-0.0001)/2)^(AS43-1),0)</f>
        <v/>
      </c>
      <c r="AW43" s="49">
        <f>IF(AND($AQ43&gt;0,AP43&gt;$AP$7),1,0)</f>
        <v/>
      </c>
      <c r="AX43" s="49">
        <f>IF(AW43=1,SUM($AW$15:AW43),"")</f>
        <v/>
      </c>
      <c r="AY43" s="51">
        <f>IF(AW43=1,$AQ43/(1+$AP$104/2)^(AX43-1),0)</f>
        <v/>
      </c>
      <c r="AZ43" s="51">
        <f>IF(AW43=1,$AQ43/(1+($AP$104+0.0001)/2)^(AX43-1),0)</f>
        <v/>
      </c>
      <c r="BA43" s="51">
        <f>IF(AW43=1,$AQ43/(1+($AP$104-0.0001)/2)^(AX43-1),0)</f>
        <v/>
      </c>
      <c r="BB43" s="51">
        <f>IF(AW43=1,$AQ43/(1+$AP$109/2)^(AX43-1),0)</f>
        <v/>
      </c>
      <c r="BC43" s="51">
        <f>IF(AW43=1,$AQ43/(1+$AP$111/2)^(AX43-1),0)</f>
        <v/>
      </c>
      <c r="BD43" s="51">
        <f>IF(AW43=1,$AQ43/(1+($AP$111+0.0001)/2)^(AX43-1),0)</f>
        <v/>
      </c>
      <c r="BE43" s="51">
        <f>IF(AW43=1,$AQ43/(1+($AP$111-0.0001)/2)^(AX43-1),0)</f>
        <v/>
      </c>
      <c r="BF43" s="51">
        <f>IF(AND($AQ43&gt;0,AP43&gt;$AP$6,AP43&lt;=$AP$7),$AQ43*(1+$AP$10*($AP$7-AP43)/365),0)</f>
        <v/>
      </c>
    </row>
    <row r="44">
      <c r="A44" s="49" t="n">
        <v>30</v>
      </c>
      <c r="B44" s="50">
        <f>EDATE($B$2,-6*(62-$A44))</f>
        <v/>
      </c>
      <c r="C44" s="51">
        <f>IF(AND(B44&gt;$B$3,B44&lt;=$B$2),IF(B44=$B$2,$B$5+100,$B$5),0)</f>
        <v/>
      </c>
      <c r="D44" s="49">
        <f>IF(AND($C44&gt;0,B44&gt;$B$6),1,0)</f>
        <v/>
      </c>
      <c r="E44" s="49">
        <f>IF(D44=1,SUM($D$15:D44),"")</f>
        <v/>
      </c>
      <c r="F44" s="51">
        <f>IF(D44=1,$C44/(1+$B$8/2)^(E44-1),0)</f>
        <v/>
      </c>
      <c r="G44" s="51">
        <f>IF(D44=1,$C44/(1+($B$8+0.0001)/2)^(E44-1),0)</f>
        <v/>
      </c>
      <c r="H44" s="51">
        <f>IF(D44=1,$C44/(1+($B$8-0.0001)/2)^(E44-1),0)</f>
        <v/>
      </c>
      <c r="I44" s="49">
        <f>IF(AND($C44&gt;0,B44&gt;$B$7),1,0)</f>
        <v/>
      </c>
      <c r="J44" s="49">
        <f>IF(I44=1,SUM($I$15:I44),"")</f>
        <v/>
      </c>
      <c r="K44" s="51">
        <f>IF(I44=1,$C44/(1+$B$104/2)^(J44-1),0)</f>
        <v/>
      </c>
      <c r="L44" s="51">
        <f>IF(I44=1,$C44/(1+($B$104+0.0001)/2)^(J44-1),0)</f>
        <v/>
      </c>
      <c r="M44" s="51">
        <f>IF(I44=1,$C44/(1+($B$104-0.0001)/2)^(J44-1),0)</f>
        <v/>
      </c>
      <c r="N44" s="51">
        <f>IF(I44=1,$C44/(1+$B$109/2)^(J44-1),0)</f>
        <v/>
      </c>
      <c r="O44" s="51">
        <f>IF(I44=1,$C44/(1+$B$111/2)^(J44-1),0)</f>
        <v/>
      </c>
      <c r="P44" s="51">
        <f>IF(I44=1,$C44/(1+($B$111+0.0001)/2)^(J44-1),0)</f>
        <v/>
      </c>
      <c r="Q44" s="51">
        <f>IF(I44=1,$C44/(1+($B$111-0.0001)/2)^(J44-1),0)</f>
        <v/>
      </c>
      <c r="R44" s="51">
        <f>IF(AND($C44&gt;0,B44&gt;$B$6,B44&lt;=$B$7),$C44*(1+$B$10*($B$7-B44)/365),0)</f>
        <v/>
      </c>
      <c r="U44" s="49" t="n">
        <v>30</v>
      </c>
      <c r="V44" s="50">
        <f>EDATE($V$2,-6*(62-$U44))</f>
        <v/>
      </c>
      <c r="W44" s="51">
        <f>IF(AND(V44&gt;$V$3,V44&lt;=$V$2),IF(V44=$V$2,$V$5+100,$V$5),0)</f>
        <v/>
      </c>
      <c r="X44" s="49">
        <f>IF(AND($W44&gt;0,V44&gt;$V$6),1,0)</f>
        <v/>
      </c>
      <c r="Y44" s="49">
        <f>IF(X44=1,SUM($X$15:X44),"")</f>
        <v/>
      </c>
      <c r="Z44" s="51">
        <f>IF(X44=1,$W44/(1+$V$8/2)^(Y44-1),0)</f>
        <v/>
      </c>
      <c r="AA44" s="51">
        <f>IF(X44=1,$W44/(1+($V$8+0.0001)/2)^(Y44-1),0)</f>
        <v/>
      </c>
      <c r="AB44" s="51">
        <f>IF(X44=1,$W44/(1+($V$8-0.0001)/2)^(Y44-1),0)</f>
        <v/>
      </c>
      <c r="AC44" s="49">
        <f>IF(AND($W44&gt;0,V44&gt;$V$7),1,0)</f>
        <v/>
      </c>
      <c r="AD44" s="49">
        <f>IF(AC44=1,SUM($AC$15:AC44),"")</f>
        <v/>
      </c>
      <c r="AE44" s="51">
        <f>IF(AC44=1,$W44/(1+$V$104/2)^(AD44-1),0)</f>
        <v/>
      </c>
      <c r="AF44" s="51">
        <f>IF(AC44=1,$W44/(1+($V$104+0.0001)/2)^(AD44-1),0)</f>
        <v/>
      </c>
      <c r="AG44" s="51">
        <f>IF(AC44=1,$W44/(1+($V$104-0.0001)/2)^(AD44-1),0)</f>
        <v/>
      </c>
      <c r="AH44" s="51">
        <f>IF(AC44=1,$W44/(1+$V$109/2)^(AD44-1),0)</f>
        <v/>
      </c>
      <c r="AI44" s="51">
        <f>IF(AC44=1,$W44/(1+$V$111/2)^(AD44-1),0)</f>
        <v/>
      </c>
      <c r="AJ44" s="51">
        <f>IF(AC44=1,$W44/(1+($V$111+0.0001)/2)^(AD44-1),0)</f>
        <v/>
      </c>
      <c r="AK44" s="51">
        <f>IF(AC44=1,$W44/(1+($V$111-0.0001)/2)^(AD44-1),0)</f>
        <v/>
      </c>
      <c r="AL44" s="51">
        <f>IF(AND($W44&gt;0,V44&gt;$V$6,V44&lt;=$V$7),$W44*(1+$V$10*($V$7-V44)/365),0)</f>
        <v/>
      </c>
      <c r="AO44" s="49" t="n">
        <v>30</v>
      </c>
      <c r="AP44" s="50">
        <f>EDATE($AP$2,-6*(62-$AO44))</f>
        <v/>
      </c>
      <c r="AQ44" s="51">
        <f>IF(AND(AP44&gt;$AP$3,AP44&lt;=$AP$2),IF(AP44=$AP$2,$AP$5+100,$AP$5),0)</f>
        <v/>
      </c>
      <c r="AR44" s="49">
        <f>IF(AND($AQ44&gt;0,AP44&gt;$AP$6),1,0)</f>
        <v/>
      </c>
      <c r="AS44" s="49">
        <f>IF(AR44=1,SUM($AR$15:AR44),"")</f>
        <v/>
      </c>
      <c r="AT44" s="51">
        <f>IF(AR44=1,$AQ44/(1+$AP$8/2)^(AS44-1),0)</f>
        <v/>
      </c>
      <c r="AU44" s="51">
        <f>IF(AR44=1,$AQ44/(1+($AP$8+0.0001)/2)^(AS44-1),0)</f>
        <v/>
      </c>
      <c r="AV44" s="51">
        <f>IF(AR44=1,$AQ44/(1+($AP$8-0.0001)/2)^(AS44-1),0)</f>
        <v/>
      </c>
      <c r="AW44" s="49">
        <f>IF(AND($AQ44&gt;0,AP44&gt;$AP$7),1,0)</f>
        <v/>
      </c>
      <c r="AX44" s="49">
        <f>IF(AW44=1,SUM($AW$15:AW44),"")</f>
        <v/>
      </c>
      <c r="AY44" s="51">
        <f>IF(AW44=1,$AQ44/(1+$AP$104/2)^(AX44-1),0)</f>
        <v/>
      </c>
      <c r="AZ44" s="51">
        <f>IF(AW44=1,$AQ44/(1+($AP$104+0.0001)/2)^(AX44-1),0)</f>
        <v/>
      </c>
      <c r="BA44" s="51">
        <f>IF(AW44=1,$AQ44/(1+($AP$104-0.0001)/2)^(AX44-1),0)</f>
        <v/>
      </c>
      <c r="BB44" s="51">
        <f>IF(AW44=1,$AQ44/(1+$AP$109/2)^(AX44-1),0)</f>
        <v/>
      </c>
      <c r="BC44" s="51">
        <f>IF(AW44=1,$AQ44/(1+$AP$111/2)^(AX44-1),0)</f>
        <v/>
      </c>
      <c r="BD44" s="51">
        <f>IF(AW44=1,$AQ44/(1+($AP$111+0.0001)/2)^(AX44-1),0)</f>
        <v/>
      </c>
      <c r="BE44" s="51">
        <f>IF(AW44=1,$AQ44/(1+($AP$111-0.0001)/2)^(AX44-1),0)</f>
        <v/>
      </c>
      <c r="BF44" s="51">
        <f>IF(AND($AQ44&gt;0,AP44&gt;$AP$6,AP44&lt;=$AP$7),$AQ44*(1+$AP$10*($AP$7-AP44)/365),0)</f>
        <v/>
      </c>
    </row>
    <row r="45">
      <c r="A45" s="49" t="n">
        <v>31</v>
      </c>
      <c r="B45" s="50">
        <f>EDATE($B$2,-6*(62-$A45))</f>
        <v/>
      </c>
      <c r="C45" s="51">
        <f>IF(AND(B45&gt;$B$3,B45&lt;=$B$2),IF(B45=$B$2,$B$5+100,$B$5),0)</f>
        <v/>
      </c>
      <c r="D45" s="49">
        <f>IF(AND($C45&gt;0,B45&gt;$B$6),1,0)</f>
        <v/>
      </c>
      <c r="E45" s="49">
        <f>IF(D45=1,SUM($D$15:D45),"")</f>
        <v/>
      </c>
      <c r="F45" s="51">
        <f>IF(D45=1,$C45/(1+$B$8/2)^(E45-1),0)</f>
        <v/>
      </c>
      <c r="G45" s="51">
        <f>IF(D45=1,$C45/(1+($B$8+0.0001)/2)^(E45-1),0)</f>
        <v/>
      </c>
      <c r="H45" s="51">
        <f>IF(D45=1,$C45/(1+($B$8-0.0001)/2)^(E45-1),0)</f>
        <v/>
      </c>
      <c r="I45" s="49">
        <f>IF(AND($C45&gt;0,B45&gt;$B$7),1,0)</f>
        <v/>
      </c>
      <c r="J45" s="49">
        <f>IF(I45=1,SUM($I$15:I45),"")</f>
        <v/>
      </c>
      <c r="K45" s="51">
        <f>IF(I45=1,$C45/(1+$B$104/2)^(J45-1),0)</f>
        <v/>
      </c>
      <c r="L45" s="51">
        <f>IF(I45=1,$C45/(1+($B$104+0.0001)/2)^(J45-1),0)</f>
        <v/>
      </c>
      <c r="M45" s="51">
        <f>IF(I45=1,$C45/(1+($B$104-0.0001)/2)^(J45-1),0)</f>
        <v/>
      </c>
      <c r="N45" s="51">
        <f>IF(I45=1,$C45/(1+$B$109/2)^(J45-1),0)</f>
        <v/>
      </c>
      <c r="O45" s="51">
        <f>IF(I45=1,$C45/(1+$B$111/2)^(J45-1),0)</f>
        <v/>
      </c>
      <c r="P45" s="51">
        <f>IF(I45=1,$C45/(1+($B$111+0.0001)/2)^(J45-1),0)</f>
        <v/>
      </c>
      <c r="Q45" s="51">
        <f>IF(I45=1,$C45/(1+($B$111-0.0001)/2)^(J45-1),0)</f>
        <v/>
      </c>
      <c r="R45" s="51">
        <f>IF(AND($C45&gt;0,B45&gt;$B$6,B45&lt;=$B$7),$C45*(1+$B$10*($B$7-B45)/365),0)</f>
        <v/>
      </c>
      <c r="U45" s="49" t="n">
        <v>31</v>
      </c>
      <c r="V45" s="50">
        <f>EDATE($V$2,-6*(62-$U45))</f>
        <v/>
      </c>
      <c r="W45" s="51">
        <f>IF(AND(V45&gt;$V$3,V45&lt;=$V$2),IF(V45=$V$2,$V$5+100,$V$5),0)</f>
        <v/>
      </c>
      <c r="X45" s="49">
        <f>IF(AND($W45&gt;0,V45&gt;$V$6),1,0)</f>
        <v/>
      </c>
      <c r="Y45" s="49">
        <f>IF(X45=1,SUM($X$15:X45),"")</f>
        <v/>
      </c>
      <c r="Z45" s="51">
        <f>IF(X45=1,$W45/(1+$V$8/2)^(Y45-1),0)</f>
        <v/>
      </c>
      <c r="AA45" s="51">
        <f>IF(X45=1,$W45/(1+($V$8+0.0001)/2)^(Y45-1),0)</f>
        <v/>
      </c>
      <c r="AB45" s="51">
        <f>IF(X45=1,$W45/(1+($V$8-0.0001)/2)^(Y45-1),0)</f>
        <v/>
      </c>
      <c r="AC45" s="49">
        <f>IF(AND($W45&gt;0,V45&gt;$V$7),1,0)</f>
        <v/>
      </c>
      <c r="AD45" s="49">
        <f>IF(AC45=1,SUM($AC$15:AC45),"")</f>
        <v/>
      </c>
      <c r="AE45" s="51">
        <f>IF(AC45=1,$W45/(1+$V$104/2)^(AD45-1),0)</f>
        <v/>
      </c>
      <c r="AF45" s="51">
        <f>IF(AC45=1,$W45/(1+($V$104+0.0001)/2)^(AD45-1),0)</f>
        <v/>
      </c>
      <c r="AG45" s="51">
        <f>IF(AC45=1,$W45/(1+($V$104-0.0001)/2)^(AD45-1),0)</f>
        <v/>
      </c>
      <c r="AH45" s="51">
        <f>IF(AC45=1,$W45/(1+$V$109/2)^(AD45-1),0)</f>
        <v/>
      </c>
      <c r="AI45" s="51">
        <f>IF(AC45=1,$W45/(1+$V$111/2)^(AD45-1),0)</f>
        <v/>
      </c>
      <c r="AJ45" s="51">
        <f>IF(AC45=1,$W45/(1+($V$111+0.0001)/2)^(AD45-1),0)</f>
        <v/>
      </c>
      <c r="AK45" s="51">
        <f>IF(AC45=1,$W45/(1+($V$111-0.0001)/2)^(AD45-1),0)</f>
        <v/>
      </c>
      <c r="AL45" s="51">
        <f>IF(AND($W45&gt;0,V45&gt;$V$6,V45&lt;=$V$7),$W45*(1+$V$10*($V$7-V45)/365),0)</f>
        <v/>
      </c>
      <c r="AO45" s="49" t="n">
        <v>31</v>
      </c>
      <c r="AP45" s="50">
        <f>EDATE($AP$2,-6*(62-$AO45))</f>
        <v/>
      </c>
      <c r="AQ45" s="51">
        <f>IF(AND(AP45&gt;$AP$3,AP45&lt;=$AP$2),IF(AP45=$AP$2,$AP$5+100,$AP$5),0)</f>
        <v/>
      </c>
      <c r="AR45" s="49">
        <f>IF(AND($AQ45&gt;0,AP45&gt;$AP$6),1,0)</f>
        <v/>
      </c>
      <c r="AS45" s="49">
        <f>IF(AR45=1,SUM($AR$15:AR45),"")</f>
        <v/>
      </c>
      <c r="AT45" s="51">
        <f>IF(AR45=1,$AQ45/(1+$AP$8/2)^(AS45-1),0)</f>
        <v/>
      </c>
      <c r="AU45" s="51">
        <f>IF(AR45=1,$AQ45/(1+($AP$8+0.0001)/2)^(AS45-1),0)</f>
        <v/>
      </c>
      <c r="AV45" s="51">
        <f>IF(AR45=1,$AQ45/(1+($AP$8-0.0001)/2)^(AS45-1),0)</f>
        <v/>
      </c>
      <c r="AW45" s="49">
        <f>IF(AND($AQ45&gt;0,AP45&gt;$AP$7),1,0)</f>
        <v/>
      </c>
      <c r="AX45" s="49">
        <f>IF(AW45=1,SUM($AW$15:AW45),"")</f>
        <v/>
      </c>
      <c r="AY45" s="51">
        <f>IF(AW45=1,$AQ45/(1+$AP$104/2)^(AX45-1),0)</f>
        <v/>
      </c>
      <c r="AZ45" s="51">
        <f>IF(AW45=1,$AQ45/(1+($AP$104+0.0001)/2)^(AX45-1),0)</f>
        <v/>
      </c>
      <c r="BA45" s="51">
        <f>IF(AW45=1,$AQ45/(1+($AP$104-0.0001)/2)^(AX45-1),0)</f>
        <v/>
      </c>
      <c r="BB45" s="51">
        <f>IF(AW45=1,$AQ45/(1+$AP$109/2)^(AX45-1),0)</f>
        <v/>
      </c>
      <c r="BC45" s="51">
        <f>IF(AW45=1,$AQ45/(1+$AP$111/2)^(AX45-1),0)</f>
        <v/>
      </c>
      <c r="BD45" s="51">
        <f>IF(AW45=1,$AQ45/(1+($AP$111+0.0001)/2)^(AX45-1),0)</f>
        <v/>
      </c>
      <c r="BE45" s="51">
        <f>IF(AW45=1,$AQ45/(1+($AP$111-0.0001)/2)^(AX45-1),0)</f>
        <v/>
      </c>
      <c r="BF45" s="51">
        <f>IF(AND($AQ45&gt;0,AP45&gt;$AP$6,AP45&lt;=$AP$7),$AQ45*(1+$AP$10*($AP$7-AP45)/365),0)</f>
        <v/>
      </c>
    </row>
    <row r="46">
      <c r="A46" s="49" t="n">
        <v>32</v>
      </c>
      <c r="B46" s="50">
        <f>EDATE($B$2,-6*(62-$A46))</f>
        <v/>
      </c>
      <c r="C46" s="51">
        <f>IF(AND(B46&gt;$B$3,B46&lt;=$B$2),IF(B46=$B$2,$B$5+100,$B$5),0)</f>
        <v/>
      </c>
      <c r="D46" s="49">
        <f>IF(AND($C46&gt;0,B46&gt;$B$6),1,0)</f>
        <v/>
      </c>
      <c r="E46" s="49">
        <f>IF(D46=1,SUM($D$15:D46),"")</f>
        <v/>
      </c>
      <c r="F46" s="51">
        <f>IF(D46=1,$C46/(1+$B$8/2)^(E46-1),0)</f>
        <v/>
      </c>
      <c r="G46" s="51">
        <f>IF(D46=1,$C46/(1+($B$8+0.0001)/2)^(E46-1),0)</f>
        <v/>
      </c>
      <c r="H46" s="51">
        <f>IF(D46=1,$C46/(1+($B$8-0.0001)/2)^(E46-1),0)</f>
        <v/>
      </c>
      <c r="I46" s="49">
        <f>IF(AND($C46&gt;0,B46&gt;$B$7),1,0)</f>
        <v/>
      </c>
      <c r="J46" s="49">
        <f>IF(I46=1,SUM($I$15:I46),"")</f>
        <v/>
      </c>
      <c r="K46" s="51">
        <f>IF(I46=1,$C46/(1+$B$104/2)^(J46-1),0)</f>
        <v/>
      </c>
      <c r="L46" s="51">
        <f>IF(I46=1,$C46/(1+($B$104+0.0001)/2)^(J46-1),0)</f>
        <v/>
      </c>
      <c r="M46" s="51">
        <f>IF(I46=1,$C46/(1+($B$104-0.0001)/2)^(J46-1),0)</f>
        <v/>
      </c>
      <c r="N46" s="51">
        <f>IF(I46=1,$C46/(1+$B$109/2)^(J46-1),0)</f>
        <v/>
      </c>
      <c r="O46" s="51">
        <f>IF(I46=1,$C46/(1+$B$111/2)^(J46-1),0)</f>
        <v/>
      </c>
      <c r="P46" s="51">
        <f>IF(I46=1,$C46/(1+($B$111+0.0001)/2)^(J46-1),0)</f>
        <v/>
      </c>
      <c r="Q46" s="51">
        <f>IF(I46=1,$C46/(1+($B$111-0.0001)/2)^(J46-1),0)</f>
        <v/>
      </c>
      <c r="R46" s="51">
        <f>IF(AND($C46&gt;0,B46&gt;$B$6,B46&lt;=$B$7),$C46*(1+$B$10*($B$7-B46)/365),0)</f>
        <v/>
      </c>
      <c r="U46" s="49" t="n">
        <v>32</v>
      </c>
      <c r="V46" s="50">
        <f>EDATE($V$2,-6*(62-$U46))</f>
        <v/>
      </c>
      <c r="W46" s="51">
        <f>IF(AND(V46&gt;$V$3,V46&lt;=$V$2),IF(V46=$V$2,$V$5+100,$V$5),0)</f>
        <v/>
      </c>
      <c r="X46" s="49">
        <f>IF(AND($W46&gt;0,V46&gt;$V$6),1,0)</f>
        <v/>
      </c>
      <c r="Y46" s="49">
        <f>IF(X46=1,SUM($X$15:X46),"")</f>
        <v/>
      </c>
      <c r="Z46" s="51">
        <f>IF(X46=1,$W46/(1+$V$8/2)^(Y46-1),0)</f>
        <v/>
      </c>
      <c r="AA46" s="51">
        <f>IF(X46=1,$W46/(1+($V$8+0.0001)/2)^(Y46-1),0)</f>
        <v/>
      </c>
      <c r="AB46" s="51">
        <f>IF(X46=1,$W46/(1+($V$8-0.0001)/2)^(Y46-1),0)</f>
        <v/>
      </c>
      <c r="AC46" s="49">
        <f>IF(AND($W46&gt;0,V46&gt;$V$7),1,0)</f>
        <v/>
      </c>
      <c r="AD46" s="49">
        <f>IF(AC46=1,SUM($AC$15:AC46),"")</f>
        <v/>
      </c>
      <c r="AE46" s="51">
        <f>IF(AC46=1,$W46/(1+$V$104/2)^(AD46-1),0)</f>
        <v/>
      </c>
      <c r="AF46" s="51">
        <f>IF(AC46=1,$W46/(1+($V$104+0.0001)/2)^(AD46-1),0)</f>
        <v/>
      </c>
      <c r="AG46" s="51">
        <f>IF(AC46=1,$W46/(1+($V$104-0.0001)/2)^(AD46-1),0)</f>
        <v/>
      </c>
      <c r="AH46" s="51">
        <f>IF(AC46=1,$W46/(1+$V$109/2)^(AD46-1),0)</f>
        <v/>
      </c>
      <c r="AI46" s="51">
        <f>IF(AC46=1,$W46/(1+$V$111/2)^(AD46-1),0)</f>
        <v/>
      </c>
      <c r="AJ46" s="51">
        <f>IF(AC46=1,$W46/(1+($V$111+0.0001)/2)^(AD46-1),0)</f>
        <v/>
      </c>
      <c r="AK46" s="51">
        <f>IF(AC46=1,$W46/(1+($V$111-0.0001)/2)^(AD46-1),0)</f>
        <v/>
      </c>
      <c r="AL46" s="51">
        <f>IF(AND($W46&gt;0,V46&gt;$V$6,V46&lt;=$V$7),$W46*(1+$V$10*($V$7-V46)/365),0)</f>
        <v/>
      </c>
      <c r="AO46" s="49" t="n">
        <v>32</v>
      </c>
      <c r="AP46" s="50">
        <f>EDATE($AP$2,-6*(62-$AO46))</f>
        <v/>
      </c>
      <c r="AQ46" s="51">
        <f>IF(AND(AP46&gt;$AP$3,AP46&lt;=$AP$2),IF(AP46=$AP$2,$AP$5+100,$AP$5),0)</f>
        <v/>
      </c>
      <c r="AR46" s="49">
        <f>IF(AND($AQ46&gt;0,AP46&gt;$AP$6),1,0)</f>
        <v/>
      </c>
      <c r="AS46" s="49">
        <f>IF(AR46=1,SUM($AR$15:AR46),"")</f>
        <v/>
      </c>
      <c r="AT46" s="51">
        <f>IF(AR46=1,$AQ46/(1+$AP$8/2)^(AS46-1),0)</f>
        <v/>
      </c>
      <c r="AU46" s="51">
        <f>IF(AR46=1,$AQ46/(1+($AP$8+0.0001)/2)^(AS46-1),0)</f>
        <v/>
      </c>
      <c r="AV46" s="51">
        <f>IF(AR46=1,$AQ46/(1+($AP$8-0.0001)/2)^(AS46-1),0)</f>
        <v/>
      </c>
      <c r="AW46" s="49">
        <f>IF(AND($AQ46&gt;0,AP46&gt;$AP$7),1,0)</f>
        <v/>
      </c>
      <c r="AX46" s="49">
        <f>IF(AW46=1,SUM($AW$15:AW46),"")</f>
        <v/>
      </c>
      <c r="AY46" s="51">
        <f>IF(AW46=1,$AQ46/(1+$AP$104/2)^(AX46-1),0)</f>
        <v/>
      </c>
      <c r="AZ46" s="51">
        <f>IF(AW46=1,$AQ46/(1+($AP$104+0.0001)/2)^(AX46-1),0)</f>
        <v/>
      </c>
      <c r="BA46" s="51">
        <f>IF(AW46=1,$AQ46/(1+($AP$104-0.0001)/2)^(AX46-1),0)</f>
        <v/>
      </c>
      <c r="BB46" s="51">
        <f>IF(AW46=1,$AQ46/(1+$AP$109/2)^(AX46-1),0)</f>
        <v/>
      </c>
      <c r="BC46" s="51">
        <f>IF(AW46=1,$AQ46/(1+$AP$111/2)^(AX46-1),0)</f>
        <v/>
      </c>
      <c r="BD46" s="51">
        <f>IF(AW46=1,$AQ46/(1+($AP$111+0.0001)/2)^(AX46-1),0)</f>
        <v/>
      </c>
      <c r="BE46" s="51">
        <f>IF(AW46=1,$AQ46/(1+($AP$111-0.0001)/2)^(AX46-1),0)</f>
        <v/>
      </c>
      <c r="BF46" s="51">
        <f>IF(AND($AQ46&gt;0,AP46&gt;$AP$6,AP46&lt;=$AP$7),$AQ46*(1+$AP$10*($AP$7-AP46)/365),0)</f>
        <v/>
      </c>
    </row>
    <row r="47">
      <c r="A47" s="49" t="n">
        <v>33</v>
      </c>
      <c r="B47" s="50">
        <f>EDATE($B$2,-6*(62-$A47))</f>
        <v/>
      </c>
      <c r="C47" s="51">
        <f>IF(AND(B47&gt;$B$3,B47&lt;=$B$2),IF(B47=$B$2,$B$5+100,$B$5),0)</f>
        <v/>
      </c>
      <c r="D47" s="49">
        <f>IF(AND($C47&gt;0,B47&gt;$B$6),1,0)</f>
        <v/>
      </c>
      <c r="E47" s="49">
        <f>IF(D47=1,SUM($D$15:D47),"")</f>
        <v/>
      </c>
      <c r="F47" s="51">
        <f>IF(D47=1,$C47/(1+$B$8/2)^(E47-1),0)</f>
        <v/>
      </c>
      <c r="G47" s="51">
        <f>IF(D47=1,$C47/(1+($B$8+0.0001)/2)^(E47-1),0)</f>
        <v/>
      </c>
      <c r="H47" s="51">
        <f>IF(D47=1,$C47/(1+($B$8-0.0001)/2)^(E47-1),0)</f>
        <v/>
      </c>
      <c r="I47" s="49">
        <f>IF(AND($C47&gt;0,B47&gt;$B$7),1,0)</f>
        <v/>
      </c>
      <c r="J47" s="49">
        <f>IF(I47=1,SUM($I$15:I47),"")</f>
        <v/>
      </c>
      <c r="K47" s="51">
        <f>IF(I47=1,$C47/(1+$B$104/2)^(J47-1),0)</f>
        <v/>
      </c>
      <c r="L47" s="51">
        <f>IF(I47=1,$C47/(1+($B$104+0.0001)/2)^(J47-1),0)</f>
        <v/>
      </c>
      <c r="M47" s="51">
        <f>IF(I47=1,$C47/(1+($B$104-0.0001)/2)^(J47-1),0)</f>
        <v/>
      </c>
      <c r="N47" s="51">
        <f>IF(I47=1,$C47/(1+$B$109/2)^(J47-1),0)</f>
        <v/>
      </c>
      <c r="O47" s="51">
        <f>IF(I47=1,$C47/(1+$B$111/2)^(J47-1),0)</f>
        <v/>
      </c>
      <c r="P47" s="51">
        <f>IF(I47=1,$C47/(1+($B$111+0.0001)/2)^(J47-1),0)</f>
        <v/>
      </c>
      <c r="Q47" s="51">
        <f>IF(I47=1,$C47/(1+($B$111-0.0001)/2)^(J47-1),0)</f>
        <v/>
      </c>
      <c r="R47" s="51">
        <f>IF(AND($C47&gt;0,B47&gt;$B$6,B47&lt;=$B$7),$C47*(1+$B$10*($B$7-B47)/365),0)</f>
        <v/>
      </c>
      <c r="U47" s="49" t="n">
        <v>33</v>
      </c>
      <c r="V47" s="50">
        <f>EDATE($V$2,-6*(62-$U47))</f>
        <v/>
      </c>
      <c r="W47" s="51">
        <f>IF(AND(V47&gt;$V$3,V47&lt;=$V$2),IF(V47=$V$2,$V$5+100,$V$5),0)</f>
        <v/>
      </c>
      <c r="X47" s="49">
        <f>IF(AND($W47&gt;0,V47&gt;$V$6),1,0)</f>
        <v/>
      </c>
      <c r="Y47" s="49">
        <f>IF(X47=1,SUM($X$15:X47),"")</f>
        <v/>
      </c>
      <c r="Z47" s="51">
        <f>IF(X47=1,$W47/(1+$V$8/2)^(Y47-1),0)</f>
        <v/>
      </c>
      <c r="AA47" s="51">
        <f>IF(X47=1,$W47/(1+($V$8+0.0001)/2)^(Y47-1),0)</f>
        <v/>
      </c>
      <c r="AB47" s="51">
        <f>IF(X47=1,$W47/(1+($V$8-0.0001)/2)^(Y47-1),0)</f>
        <v/>
      </c>
      <c r="AC47" s="49">
        <f>IF(AND($W47&gt;0,V47&gt;$V$7),1,0)</f>
        <v/>
      </c>
      <c r="AD47" s="49">
        <f>IF(AC47=1,SUM($AC$15:AC47),"")</f>
        <v/>
      </c>
      <c r="AE47" s="51">
        <f>IF(AC47=1,$W47/(1+$V$104/2)^(AD47-1),0)</f>
        <v/>
      </c>
      <c r="AF47" s="51">
        <f>IF(AC47=1,$W47/(1+($V$104+0.0001)/2)^(AD47-1),0)</f>
        <v/>
      </c>
      <c r="AG47" s="51">
        <f>IF(AC47=1,$W47/(1+($V$104-0.0001)/2)^(AD47-1),0)</f>
        <v/>
      </c>
      <c r="AH47" s="51">
        <f>IF(AC47=1,$W47/(1+$V$109/2)^(AD47-1),0)</f>
        <v/>
      </c>
      <c r="AI47" s="51">
        <f>IF(AC47=1,$W47/(1+$V$111/2)^(AD47-1),0)</f>
        <v/>
      </c>
      <c r="AJ47" s="51">
        <f>IF(AC47=1,$W47/(1+($V$111+0.0001)/2)^(AD47-1),0)</f>
        <v/>
      </c>
      <c r="AK47" s="51">
        <f>IF(AC47=1,$W47/(1+($V$111-0.0001)/2)^(AD47-1),0)</f>
        <v/>
      </c>
      <c r="AL47" s="51">
        <f>IF(AND($W47&gt;0,V47&gt;$V$6,V47&lt;=$V$7),$W47*(1+$V$10*($V$7-V47)/365),0)</f>
        <v/>
      </c>
      <c r="AO47" s="49" t="n">
        <v>33</v>
      </c>
      <c r="AP47" s="50">
        <f>EDATE($AP$2,-6*(62-$AO47))</f>
        <v/>
      </c>
      <c r="AQ47" s="51">
        <f>IF(AND(AP47&gt;$AP$3,AP47&lt;=$AP$2),IF(AP47=$AP$2,$AP$5+100,$AP$5),0)</f>
        <v/>
      </c>
      <c r="AR47" s="49">
        <f>IF(AND($AQ47&gt;0,AP47&gt;$AP$6),1,0)</f>
        <v/>
      </c>
      <c r="AS47" s="49">
        <f>IF(AR47=1,SUM($AR$15:AR47),"")</f>
        <v/>
      </c>
      <c r="AT47" s="51">
        <f>IF(AR47=1,$AQ47/(1+$AP$8/2)^(AS47-1),0)</f>
        <v/>
      </c>
      <c r="AU47" s="51">
        <f>IF(AR47=1,$AQ47/(1+($AP$8+0.0001)/2)^(AS47-1),0)</f>
        <v/>
      </c>
      <c r="AV47" s="51">
        <f>IF(AR47=1,$AQ47/(1+($AP$8-0.0001)/2)^(AS47-1),0)</f>
        <v/>
      </c>
      <c r="AW47" s="49">
        <f>IF(AND($AQ47&gt;0,AP47&gt;$AP$7),1,0)</f>
        <v/>
      </c>
      <c r="AX47" s="49">
        <f>IF(AW47=1,SUM($AW$15:AW47),"")</f>
        <v/>
      </c>
      <c r="AY47" s="51">
        <f>IF(AW47=1,$AQ47/(1+$AP$104/2)^(AX47-1),0)</f>
        <v/>
      </c>
      <c r="AZ47" s="51">
        <f>IF(AW47=1,$AQ47/(1+($AP$104+0.0001)/2)^(AX47-1),0)</f>
        <v/>
      </c>
      <c r="BA47" s="51">
        <f>IF(AW47=1,$AQ47/(1+($AP$104-0.0001)/2)^(AX47-1),0)</f>
        <v/>
      </c>
      <c r="BB47" s="51">
        <f>IF(AW47=1,$AQ47/(1+$AP$109/2)^(AX47-1),0)</f>
        <v/>
      </c>
      <c r="BC47" s="51">
        <f>IF(AW47=1,$AQ47/(1+$AP$111/2)^(AX47-1),0)</f>
        <v/>
      </c>
      <c r="BD47" s="51">
        <f>IF(AW47=1,$AQ47/(1+($AP$111+0.0001)/2)^(AX47-1),0)</f>
        <v/>
      </c>
      <c r="BE47" s="51">
        <f>IF(AW47=1,$AQ47/(1+($AP$111-0.0001)/2)^(AX47-1),0)</f>
        <v/>
      </c>
      <c r="BF47" s="51">
        <f>IF(AND($AQ47&gt;0,AP47&gt;$AP$6,AP47&lt;=$AP$7),$AQ47*(1+$AP$10*($AP$7-AP47)/365),0)</f>
        <v/>
      </c>
    </row>
    <row r="48">
      <c r="A48" s="49" t="n">
        <v>34</v>
      </c>
      <c r="B48" s="50">
        <f>EDATE($B$2,-6*(62-$A48))</f>
        <v/>
      </c>
      <c r="C48" s="51">
        <f>IF(AND(B48&gt;$B$3,B48&lt;=$B$2),IF(B48=$B$2,$B$5+100,$B$5),0)</f>
        <v/>
      </c>
      <c r="D48" s="49">
        <f>IF(AND($C48&gt;0,B48&gt;$B$6),1,0)</f>
        <v/>
      </c>
      <c r="E48" s="49">
        <f>IF(D48=1,SUM($D$15:D48),"")</f>
        <v/>
      </c>
      <c r="F48" s="51">
        <f>IF(D48=1,$C48/(1+$B$8/2)^(E48-1),0)</f>
        <v/>
      </c>
      <c r="G48" s="51">
        <f>IF(D48=1,$C48/(1+($B$8+0.0001)/2)^(E48-1),0)</f>
        <v/>
      </c>
      <c r="H48" s="51">
        <f>IF(D48=1,$C48/(1+($B$8-0.0001)/2)^(E48-1),0)</f>
        <v/>
      </c>
      <c r="I48" s="49">
        <f>IF(AND($C48&gt;0,B48&gt;$B$7),1,0)</f>
        <v/>
      </c>
      <c r="J48" s="49">
        <f>IF(I48=1,SUM($I$15:I48),"")</f>
        <v/>
      </c>
      <c r="K48" s="51">
        <f>IF(I48=1,$C48/(1+$B$104/2)^(J48-1),0)</f>
        <v/>
      </c>
      <c r="L48" s="51">
        <f>IF(I48=1,$C48/(1+($B$104+0.0001)/2)^(J48-1),0)</f>
        <v/>
      </c>
      <c r="M48" s="51">
        <f>IF(I48=1,$C48/(1+($B$104-0.0001)/2)^(J48-1),0)</f>
        <v/>
      </c>
      <c r="N48" s="51">
        <f>IF(I48=1,$C48/(1+$B$109/2)^(J48-1),0)</f>
        <v/>
      </c>
      <c r="O48" s="51">
        <f>IF(I48=1,$C48/(1+$B$111/2)^(J48-1),0)</f>
        <v/>
      </c>
      <c r="P48" s="51">
        <f>IF(I48=1,$C48/(1+($B$111+0.0001)/2)^(J48-1),0)</f>
        <v/>
      </c>
      <c r="Q48" s="51">
        <f>IF(I48=1,$C48/(1+($B$111-0.0001)/2)^(J48-1),0)</f>
        <v/>
      </c>
      <c r="R48" s="51">
        <f>IF(AND($C48&gt;0,B48&gt;$B$6,B48&lt;=$B$7),$C48*(1+$B$10*($B$7-B48)/365),0)</f>
        <v/>
      </c>
      <c r="U48" s="49" t="n">
        <v>34</v>
      </c>
      <c r="V48" s="50">
        <f>EDATE($V$2,-6*(62-$U48))</f>
        <v/>
      </c>
      <c r="W48" s="51">
        <f>IF(AND(V48&gt;$V$3,V48&lt;=$V$2),IF(V48=$V$2,$V$5+100,$V$5),0)</f>
        <v/>
      </c>
      <c r="X48" s="49">
        <f>IF(AND($W48&gt;0,V48&gt;$V$6),1,0)</f>
        <v/>
      </c>
      <c r="Y48" s="49">
        <f>IF(X48=1,SUM($X$15:X48),"")</f>
        <v/>
      </c>
      <c r="Z48" s="51">
        <f>IF(X48=1,$W48/(1+$V$8/2)^(Y48-1),0)</f>
        <v/>
      </c>
      <c r="AA48" s="51">
        <f>IF(X48=1,$W48/(1+($V$8+0.0001)/2)^(Y48-1),0)</f>
        <v/>
      </c>
      <c r="AB48" s="51">
        <f>IF(X48=1,$W48/(1+($V$8-0.0001)/2)^(Y48-1),0)</f>
        <v/>
      </c>
      <c r="AC48" s="49">
        <f>IF(AND($W48&gt;0,V48&gt;$V$7),1,0)</f>
        <v/>
      </c>
      <c r="AD48" s="49">
        <f>IF(AC48=1,SUM($AC$15:AC48),"")</f>
        <v/>
      </c>
      <c r="AE48" s="51">
        <f>IF(AC48=1,$W48/(1+$V$104/2)^(AD48-1),0)</f>
        <v/>
      </c>
      <c r="AF48" s="51">
        <f>IF(AC48=1,$W48/(1+($V$104+0.0001)/2)^(AD48-1),0)</f>
        <v/>
      </c>
      <c r="AG48" s="51">
        <f>IF(AC48=1,$W48/(1+($V$104-0.0001)/2)^(AD48-1),0)</f>
        <v/>
      </c>
      <c r="AH48" s="51">
        <f>IF(AC48=1,$W48/(1+$V$109/2)^(AD48-1),0)</f>
        <v/>
      </c>
      <c r="AI48" s="51">
        <f>IF(AC48=1,$W48/(1+$V$111/2)^(AD48-1),0)</f>
        <v/>
      </c>
      <c r="AJ48" s="51">
        <f>IF(AC48=1,$W48/(1+($V$111+0.0001)/2)^(AD48-1),0)</f>
        <v/>
      </c>
      <c r="AK48" s="51">
        <f>IF(AC48=1,$W48/(1+($V$111-0.0001)/2)^(AD48-1),0)</f>
        <v/>
      </c>
      <c r="AL48" s="51">
        <f>IF(AND($W48&gt;0,V48&gt;$V$6,V48&lt;=$V$7),$W48*(1+$V$10*($V$7-V48)/365),0)</f>
        <v/>
      </c>
      <c r="AO48" s="49" t="n">
        <v>34</v>
      </c>
      <c r="AP48" s="50">
        <f>EDATE($AP$2,-6*(62-$AO48))</f>
        <v/>
      </c>
      <c r="AQ48" s="51">
        <f>IF(AND(AP48&gt;$AP$3,AP48&lt;=$AP$2),IF(AP48=$AP$2,$AP$5+100,$AP$5),0)</f>
        <v/>
      </c>
      <c r="AR48" s="49">
        <f>IF(AND($AQ48&gt;0,AP48&gt;$AP$6),1,0)</f>
        <v/>
      </c>
      <c r="AS48" s="49">
        <f>IF(AR48=1,SUM($AR$15:AR48),"")</f>
        <v/>
      </c>
      <c r="AT48" s="51">
        <f>IF(AR48=1,$AQ48/(1+$AP$8/2)^(AS48-1),0)</f>
        <v/>
      </c>
      <c r="AU48" s="51">
        <f>IF(AR48=1,$AQ48/(1+($AP$8+0.0001)/2)^(AS48-1),0)</f>
        <v/>
      </c>
      <c r="AV48" s="51">
        <f>IF(AR48=1,$AQ48/(1+($AP$8-0.0001)/2)^(AS48-1),0)</f>
        <v/>
      </c>
      <c r="AW48" s="49">
        <f>IF(AND($AQ48&gt;0,AP48&gt;$AP$7),1,0)</f>
        <v/>
      </c>
      <c r="AX48" s="49">
        <f>IF(AW48=1,SUM($AW$15:AW48),"")</f>
        <v/>
      </c>
      <c r="AY48" s="51">
        <f>IF(AW48=1,$AQ48/(1+$AP$104/2)^(AX48-1),0)</f>
        <v/>
      </c>
      <c r="AZ48" s="51">
        <f>IF(AW48=1,$AQ48/(1+($AP$104+0.0001)/2)^(AX48-1),0)</f>
        <v/>
      </c>
      <c r="BA48" s="51">
        <f>IF(AW48=1,$AQ48/(1+($AP$104-0.0001)/2)^(AX48-1),0)</f>
        <v/>
      </c>
      <c r="BB48" s="51">
        <f>IF(AW48=1,$AQ48/(1+$AP$109/2)^(AX48-1),0)</f>
        <v/>
      </c>
      <c r="BC48" s="51">
        <f>IF(AW48=1,$AQ48/(1+$AP$111/2)^(AX48-1),0)</f>
        <v/>
      </c>
      <c r="BD48" s="51">
        <f>IF(AW48=1,$AQ48/(1+($AP$111+0.0001)/2)^(AX48-1),0)</f>
        <v/>
      </c>
      <c r="BE48" s="51">
        <f>IF(AW48=1,$AQ48/(1+($AP$111-0.0001)/2)^(AX48-1),0)</f>
        <v/>
      </c>
      <c r="BF48" s="51">
        <f>IF(AND($AQ48&gt;0,AP48&gt;$AP$6,AP48&lt;=$AP$7),$AQ48*(1+$AP$10*($AP$7-AP48)/365),0)</f>
        <v/>
      </c>
    </row>
    <row r="49">
      <c r="A49" s="49" t="n">
        <v>35</v>
      </c>
      <c r="B49" s="50">
        <f>EDATE($B$2,-6*(62-$A49))</f>
        <v/>
      </c>
      <c r="C49" s="51">
        <f>IF(AND(B49&gt;$B$3,B49&lt;=$B$2),IF(B49=$B$2,$B$5+100,$B$5),0)</f>
        <v/>
      </c>
      <c r="D49" s="49">
        <f>IF(AND($C49&gt;0,B49&gt;$B$6),1,0)</f>
        <v/>
      </c>
      <c r="E49" s="49">
        <f>IF(D49=1,SUM($D$15:D49),"")</f>
        <v/>
      </c>
      <c r="F49" s="51">
        <f>IF(D49=1,$C49/(1+$B$8/2)^(E49-1),0)</f>
        <v/>
      </c>
      <c r="G49" s="51">
        <f>IF(D49=1,$C49/(1+($B$8+0.0001)/2)^(E49-1),0)</f>
        <v/>
      </c>
      <c r="H49" s="51">
        <f>IF(D49=1,$C49/(1+($B$8-0.0001)/2)^(E49-1),0)</f>
        <v/>
      </c>
      <c r="I49" s="49">
        <f>IF(AND($C49&gt;0,B49&gt;$B$7),1,0)</f>
        <v/>
      </c>
      <c r="J49" s="49">
        <f>IF(I49=1,SUM($I$15:I49),"")</f>
        <v/>
      </c>
      <c r="K49" s="51">
        <f>IF(I49=1,$C49/(1+$B$104/2)^(J49-1),0)</f>
        <v/>
      </c>
      <c r="L49" s="51">
        <f>IF(I49=1,$C49/(1+($B$104+0.0001)/2)^(J49-1),0)</f>
        <v/>
      </c>
      <c r="M49" s="51">
        <f>IF(I49=1,$C49/(1+($B$104-0.0001)/2)^(J49-1),0)</f>
        <v/>
      </c>
      <c r="N49" s="51">
        <f>IF(I49=1,$C49/(1+$B$109/2)^(J49-1),0)</f>
        <v/>
      </c>
      <c r="O49" s="51">
        <f>IF(I49=1,$C49/(1+$B$111/2)^(J49-1),0)</f>
        <v/>
      </c>
      <c r="P49" s="51">
        <f>IF(I49=1,$C49/(1+($B$111+0.0001)/2)^(J49-1),0)</f>
        <v/>
      </c>
      <c r="Q49" s="51">
        <f>IF(I49=1,$C49/(1+($B$111-0.0001)/2)^(J49-1),0)</f>
        <v/>
      </c>
      <c r="R49" s="51">
        <f>IF(AND($C49&gt;0,B49&gt;$B$6,B49&lt;=$B$7),$C49*(1+$B$10*($B$7-B49)/365),0)</f>
        <v/>
      </c>
      <c r="U49" s="49" t="n">
        <v>35</v>
      </c>
      <c r="V49" s="50">
        <f>EDATE($V$2,-6*(62-$U49))</f>
        <v/>
      </c>
      <c r="W49" s="51">
        <f>IF(AND(V49&gt;$V$3,V49&lt;=$V$2),IF(V49=$V$2,$V$5+100,$V$5),0)</f>
        <v/>
      </c>
      <c r="X49" s="49">
        <f>IF(AND($W49&gt;0,V49&gt;$V$6),1,0)</f>
        <v/>
      </c>
      <c r="Y49" s="49">
        <f>IF(X49=1,SUM($X$15:X49),"")</f>
        <v/>
      </c>
      <c r="Z49" s="51">
        <f>IF(X49=1,$W49/(1+$V$8/2)^(Y49-1),0)</f>
        <v/>
      </c>
      <c r="AA49" s="51">
        <f>IF(X49=1,$W49/(1+($V$8+0.0001)/2)^(Y49-1),0)</f>
        <v/>
      </c>
      <c r="AB49" s="51">
        <f>IF(X49=1,$W49/(1+($V$8-0.0001)/2)^(Y49-1),0)</f>
        <v/>
      </c>
      <c r="AC49" s="49">
        <f>IF(AND($W49&gt;0,V49&gt;$V$7),1,0)</f>
        <v/>
      </c>
      <c r="AD49" s="49">
        <f>IF(AC49=1,SUM($AC$15:AC49),"")</f>
        <v/>
      </c>
      <c r="AE49" s="51">
        <f>IF(AC49=1,$W49/(1+$V$104/2)^(AD49-1),0)</f>
        <v/>
      </c>
      <c r="AF49" s="51">
        <f>IF(AC49=1,$W49/(1+($V$104+0.0001)/2)^(AD49-1),0)</f>
        <v/>
      </c>
      <c r="AG49" s="51">
        <f>IF(AC49=1,$W49/(1+($V$104-0.0001)/2)^(AD49-1),0)</f>
        <v/>
      </c>
      <c r="AH49" s="51">
        <f>IF(AC49=1,$W49/(1+$V$109/2)^(AD49-1),0)</f>
        <v/>
      </c>
      <c r="AI49" s="51">
        <f>IF(AC49=1,$W49/(1+$V$111/2)^(AD49-1),0)</f>
        <v/>
      </c>
      <c r="AJ49" s="51">
        <f>IF(AC49=1,$W49/(1+($V$111+0.0001)/2)^(AD49-1),0)</f>
        <v/>
      </c>
      <c r="AK49" s="51">
        <f>IF(AC49=1,$W49/(1+($V$111-0.0001)/2)^(AD49-1),0)</f>
        <v/>
      </c>
      <c r="AL49" s="51">
        <f>IF(AND($W49&gt;0,V49&gt;$V$6,V49&lt;=$V$7),$W49*(1+$V$10*($V$7-V49)/365),0)</f>
        <v/>
      </c>
      <c r="AO49" s="49" t="n">
        <v>35</v>
      </c>
      <c r="AP49" s="50">
        <f>EDATE($AP$2,-6*(62-$AO49))</f>
        <v/>
      </c>
      <c r="AQ49" s="51">
        <f>IF(AND(AP49&gt;$AP$3,AP49&lt;=$AP$2),IF(AP49=$AP$2,$AP$5+100,$AP$5),0)</f>
        <v/>
      </c>
      <c r="AR49" s="49">
        <f>IF(AND($AQ49&gt;0,AP49&gt;$AP$6),1,0)</f>
        <v/>
      </c>
      <c r="AS49" s="49">
        <f>IF(AR49=1,SUM($AR$15:AR49),"")</f>
        <v/>
      </c>
      <c r="AT49" s="51">
        <f>IF(AR49=1,$AQ49/(1+$AP$8/2)^(AS49-1),0)</f>
        <v/>
      </c>
      <c r="AU49" s="51">
        <f>IF(AR49=1,$AQ49/(1+($AP$8+0.0001)/2)^(AS49-1),0)</f>
        <v/>
      </c>
      <c r="AV49" s="51">
        <f>IF(AR49=1,$AQ49/(1+($AP$8-0.0001)/2)^(AS49-1),0)</f>
        <v/>
      </c>
      <c r="AW49" s="49">
        <f>IF(AND($AQ49&gt;0,AP49&gt;$AP$7),1,0)</f>
        <v/>
      </c>
      <c r="AX49" s="49">
        <f>IF(AW49=1,SUM($AW$15:AW49),"")</f>
        <v/>
      </c>
      <c r="AY49" s="51">
        <f>IF(AW49=1,$AQ49/(1+$AP$104/2)^(AX49-1),0)</f>
        <v/>
      </c>
      <c r="AZ49" s="51">
        <f>IF(AW49=1,$AQ49/(1+($AP$104+0.0001)/2)^(AX49-1),0)</f>
        <v/>
      </c>
      <c r="BA49" s="51">
        <f>IF(AW49=1,$AQ49/(1+($AP$104-0.0001)/2)^(AX49-1),0)</f>
        <v/>
      </c>
      <c r="BB49" s="51">
        <f>IF(AW49=1,$AQ49/(1+$AP$109/2)^(AX49-1),0)</f>
        <v/>
      </c>
      <c r="BC49" s="51">
        <f>IF(AW49=1,$AQ49/(1+$AP$111/2)^(AX49-1),0)</f>
        <v/>
      </c>
      <c r="BD49" s="51">
        <f>IF(AW49=1,$AQ49/(1+($AP$111+0.0001)/2)^(AX49-1),0)</f>
        <v/>
      </c>
      <c r="BE49" s="51">
        <f>IF(AW49=1,$AQ49/(1+($AP$111-0.0001)/2)^(AX49-1),0)</f>
        <v/>
      </c>
      <c r="BF49" s="51">
        <f>IF(AND($AQ49&gt;0,AP49&gt;$AP$6,AP49&lt;=$AP$7),$AQ49*(1+$AP$10*($AP$7-AP49)/365),0)</f>
        <v/>
      </c>
    </row>
    <row r="50">
      <c r="A50" s="49" t="n">
        <v>36</v>
      </c>
      <c r="B50" s="50">
        <f>EDATE($B$2,-6*(62-$A50))</f>
        <v/>
      </c>
      <c r="C50" s="51">
        <f>IF(AND(B50&gt;$B$3,B50&lt;=$B$2),IF(B50=$B$2,$B$5+100,$B$5),0)</f>
        <v/>
      </c>
      <c r="D50" s="49">
        <f>IF(AND($C50&gt;0,B50&gt;$B$6),1,0)</f>
        <v/>
      </c>
      <c r="E50" s="49">
        <f>IF(D50=1,SUM($D$15:D50),"")</f>
        <v/>
      </c>
      <c r="F50" s="51">
        <f>IF(D50=1,$C50/(1+$B$8/2)^(E50-1),0)</f>
        <v/>
      </c>
      <c r="G50" s="51">
        <f>IF(D50=1,$C50/(1+($B$8+0.0001)/2)^(E50-1),0)</f>
        <v/>
      </c>
      <c r="H50" s="51">
        <f>IF(D50=1,$C50/(1+($B$8-0.0001)/2)^(E50-1),0)</f>
        <v/>
      </c>
      <c r="I50" s="49">
        <f>IF(AND($C50&gt;0,B50&gt;$B$7),1,0)</f>
        <v/>
      </c>
      <c r="J50" s="49">
        <f>IF(I50=1,SUM($I$15:I50),"")</f>
        <v/>
      </c>
      <c r="K50" s="51">
        <f>IF(I50=1,$C50/(1+$B$104/2)^(J50-1),0)</f>
        <v/>
      </c>
      <c r="L50" s="51">
        <f>IF(I50=1,$C50/(1+($B$104+0.0001)/2)^(J50-1),0)</f>
        <v/>
      </c>
      <c r="M50" s="51">
        <f>IF(I50=1,$C50/(1+($B$104-0.0001)/2)^(J50-1),0)</f>
        <v/>
      </c>
      <c r="N50" s="51">
        <f>IF(I50=1,$C50/(1+$B$109/2)^(J50-1),0)</f>
        <v/>
      </c>
      <c r="O50" s="51">
        <f>IF(I50=1,$C50/(1+$B$111/2)^(J50-1),0)</f>
        <v/>
      </c>
      <c r="P50" s="51">
        <f>IF(I50=1,$C50/(1+($B$111+0.0001)/2)^(J50-1),0)</f>
        <v/>
      </c>
      <c r="Q50" s="51">
        <f>IF(I50=1,$C50/(1+($B$111-0.0001)/2)^(J50-1),0)</f>
        <v/>
      </c>
      <c r="R50" s="51">
        <f>IF(AND($C50&gt;0,B50&gt;$B$6,B50&lt;=$B$7),$C50*(1+$B$10*($B$7-B50)/365),0)</f>
        <v/>
      </c>
      <c r="U50" s="49" t="n">
        <v>36</v>
      </c>
      <c r="V50" s="50">
        <f>EDATE($V$2,-6*(62-$U50))</f>
        <v/>
      </c>
      <c r="W50" s="51">
        <f>IF(AND(V50&gt;$V$3,V50&lt;=$V$2),IF(V50=$V$2,$V$5+100,$V$5),0)</f>
        <v/>
      </c>
      <c r="X50" s="49">
        <f>IF(AND($W50&gt;0,V50&gt;$V$6),1,0)</f>
        <v/>
      </c>
      <c r="Y50" s="49">
        <f>IF(X50=1,SUM($X$15:X50),"")</f>
        <v/>
      </c>
      <c r="Z50" s="51">
        <f>IF(X50=1,$W50/(1+$V$8/2)^(Y50-1),0)</f>
        <v/>
      </c>
      <c r="AA50" s="51">
        <f>IF(X50=1,$W50/(1+($V$8+0.0001)/2)^(Y50-1),0)</f>
        <v/>
      </c>
      <c r="AB50" s="51">
        <f>IF(X50=1,$W50/(1+($V$8-0.0001)/2)^(Y50-1),0)</f>
        <v/>
      </c>
      <c r="AC50" s="49">
        <f>IF(AND($W50&gt;0,V50&gt;$V$7),1,0)</f>
        <v/>
      </c>
      <c r="AD50" s="49">
        <f>IF(AC50=1,SUM($AC$15:AC50),"")</f>
        <v/>
      </c>
      <c r="AE50" s="51">
        <f>IF(AC50=1,$W50/(1+$V$104/2)^(AD50-1),0)</f>
        <v/>
      </c>
      <c r="AF50" s="51">
        <f>IF(AC50=1,$W50/(1+($V$104+0.0001)/2)^(AD50-1),0)</f>
        <v/>
      </c>
      <c r="AG50" s="51">
        <f>IF(AC50=1,$W50/(1+($V$104-0.0001)/2)^(AD50-1),0)</f>
        <v/>
      </c>
      <c r="AH50" s="51">
        <f>IF(AC50=1,$W50/(1+$V$109/2)^(AD50-1),0)</f>
        <v/>
      </c>
      <c r="AI50" s="51">
        <f>IF(AC50=1,$W50/(1+$V$111/2)^(AD50-1),0)</f>
        <v/>
      </c>
      <c r="AJ50" s="51">
        <f>IF(AC50=1,$W50/(1+($V$111+0.0001)/2)^(AD50-1),0)</f>
        <v/>
      </c>
      <c r="AK50" s="51">
        <f>IF(AC50=1,$W50/(1+($V$111-0.0001)/2)^(AD50-1),0)</f>
        <v/>
      </c>
      <c r="AL50" s="51">
        <f>IF(AND($W50&gt;0,V50&gt;$V$6,V50&lt;=$V$7),$W50*(1+$V$10*($V$7-V50)/365),0)</f>
        <v/>
      </c>
      <c r="AO50" s="49" t="n">
        <v>36</v>
      </c>
      <c r="AP50" s="50">
        <f>EDATE($AP$2,-6*(62-$AO50))</f>
        <v/>
      </c>
      <c r="AQ50" s="51">
        <f>IF(AND(AP50&gt;$AP$3,AP50&lt;=$AP$2),IF(AP50=$AP$2,$AP$5+100,$AP$5),0)</f>
        <v/>
      </c>
      <c r="AR50" s="49">
        <f>IF(AND($AQ50&gt;0,AP50&gt;$AP$6),1,0)</f>
        <v/>
      </c>
      <c r="AS50" s="49">
        <f>IF(AR50=1,SUM($AR$15:AR50),"")</f>
        <v/>
      </c>
      <c r="AT50" s="51">
        <f>IF(AR50=1,$AQ50/(1+$AP$8/2)^(AS50-1),0)</f>
        <v/>
      </c>
      <c r="AU50" s="51">
        <f>IF(AR50=1,$AQ50/(1+($AP$8+0.0001)/2)^(AS50-1),0)</f>
        <v/>
      </c>
      <c r="AV50" s="51">
        <f>IF(AR50=1,$AQ50/(1+($AP$8-0.0001)/2)^(AS50-1),0)</f>
        <v/>
      </c>
      <c r="AW50" s="49">
        <f>IF(AND($AQ50&gt;0,AP50&gt;$AP$7),1,0)</f>
        <v/>
      </c>
      <c r="AX50" s="49">
        <f>IF(AW50=1,SUM($AW$15:AW50),"")</f>
        <v/>
      </c>
      <c r="AY50" s="51">
        <f>IF(AW50=1,$AQ50/(1+$AP$104/2)^(AX50-1),0)</f>
        <v/>
      </c>
      <c r="AZ50" s="51">
        <f>IF(AW50=1,$AQ50/(1+($AP$104+0.0001)/2)^(AX50-1),0)</f>
        <v/>
      </c>
      <c r="BA50" s="51">
        <f>IF(AW50=1,$AQ50/(1+($AP$104-0.0001)/2)^(AX50-1),0)</f>
        <v/>
      </c>
      <c r="BB50" s="51">
        <f>IF(AW50=1,$AQ50/(1+$AP$109/2)^(AX50-1),0)</f>
        <v/>
      </c>
      <c r="BC50" s="51">
        <f>IF(AW50=1,$AQ50/(1+$AP$111/2)^(AX50-1),0)</f>
        <v/>
      </c>
      <c r="BD50" s="51">
        <f>IF(AW50=1,$AQ50/(1+($AP$111+0.0001)/2)^(AX50-1),0)</f>
        <v/>
      </c>
      <c r="BE50" s="51">
        <f>IF(AW50=1,$AQ50/(1+($AP$111-0.0001)/2)^(AX50-1),0)</f>
        <v/>
      </c>
      <c r="BF50" s="51">
        <f>IF(AND($AQ50&gt;0,AP50&gt;$AP$6,AP50&lt;=$AP$7),$AQ50*(1+$AP$10*($AP$7-AP50)/365),0)</f>
        <v/>
      </c>
    </row>
    <row r="51">
      <c r="A51" s="49" t="n">
        <v>37</v>
      </c>
      <c r="B51" s="50">
        <f>EDATE($B$2,-6*(62-$A51))</f>
        <v/>
      </c>
      <c r="C51" s="51">
        <f>IF(AND(B51&gt;$B$3,B51&lt;=$B$2),IF(B51=$B$2,$B$5+100,$B$5),0)</f>
        <v/>
      </c>
      <c r="D51" s="49">
        <f>IF(AND($C51&gt;0,B51&gt;$B$6),1,0)</f>
        <v/>
      </c>
      <c r="E51" s="49">
        <f>IF(D51=1,SUM($D$15:D51),"")</f>
        <v/>
      </c>
      <c r="F51" s="51">
        <f>IF(D51=1,$C51/(1+$B$8/2)^(E51-1),0)</f>
        <v/>
      </c>
      <c r="G51" s="51">
        <f>IF(D51=1,$C51/(1+($B$8+0.0001)/2)^(E51-1),0)</f>
        <v/>
      </c>
      <c r="H51" s="51">
        <f>IF(D51=1,$C51/(1+($B$8-0.0001)/2)^(E51-1),0)</f>
        <v/>
      </c>
      <c r="I51" s="49">
        <f>IF(AND($C51&gt;0,B51&gt;$B$7),1,0)</f>
        <v/>
      </c>
      <c r="J51" s="49">
        <f>IF(I51=1,SUM($I$15:I51),"")</f>
        <v/>
      </c>
      <c r="K51" s="51">
        <f>IF(I51=1,$C51/(1+$B$104/2)^(J51-1),0)</f>
        <v/>
      </c>
      <c r="L51" s="51">
        <f>IF(I51=1,$C51/(1+($B$104+0.0001)/2)^(J51-1),0)</f>
        <v/>
      </c>
      <c r="M51" s="51">
        <f>IF(I51=1,$C51/(1+($B$104-0.0001)/2)^(J51-1),0)</f>
        <v/>
      </c>
      <c r="N51" s="51">
        <f>IF(I51=1,$C51/(1+$B$109/2)^(J51-1),0)</f>
        <v/>
      </c>
      <c r="O51" s="51">
        <f>IF(I51=1,$C51/(1+$B$111/2)^(J51-1),0)</f>
        <v/>
      </c>
      <c r="P51" s="51">
        <f>IF(I51=1,$C51/(1+($B$111+0.0001)/2)^(J51-1),0)</f>
        <v/>
      </c>
      <c r="Q51" s="51">
        <f>IF(I51=1,$C51/(1+($B$111-0.0001)/2)^(J51-1),0)</f>
        <v/>
      </c>
      <c r="R51" s="51">
        <f>IF(AND($C51&gt;0,B51&gt;$B$6,B51&lt;=$B$7),$C51*(1+$B$10*($B$7-B51)/365),0)</f>
        <v/>
      </c>
      <c r="U51" s="49" t="n">
        <v>37</v>
      </c>
      <c r="V51" s="50">
        <f>EDATE($V$2,-6*(62-$U51))</f>
        <v/>
      </c>
      <c r="W51" s="51">
        <f>IF(AND(V51&gt;$V$3,V51&lt;=$V$2),IF(V51=$V$2,$V$5+100,$V$5),0)</f>
        <v/>
      </c>
      <c r="X51" s="49">
        <f>IF(AND($W51&gt;0,V51&gt;$V$6),1,0)</f>
        <v/>
      </c>
      <c r="Y51" s="49">
        <f>IF(X51=1,SUM($X$15:X51),"")</f>
        <v/>
      </c>
      <c r="Z51" s="51">
        <f>IF(X51=1,$W51/(1+$V$8/2)^(Y51-1),0)</f>
        <v/>
      </c>
      <c r="AA51" s="51">
        <f>IF(X51=1,$W51/(1+($V$8+0.0001)/2)^(Y51-1),0)</f>
        <v/>
      </c>
      <c r="AB51" s="51">
        <f>IF(X51=1,$W51/(1+($V$8-0.0001)/2)^(Y51-1),0)</f>
        <v/>
      </c>
      <c r="AC51" s="49">
        <f>IF(AND($W51&gt;0,V51&gt;$V$7),1,0)</f>
        <v/>
      </c>
      <c r="AD51" s="49">
        <f>IF(AC51=1,SUM($AC$15:AC51),"")</f>
        <v/>
      </c>
      <c r="AE51" s="51">
        <f>IF(AC51=1,$W51/(1+$V$104/2)^(AD51-1),0)</f>
        <v/>
      </c>
      <c r="AF51" s="51">
        <f>IF(AC51=1,$W51/(1+($V$104+0.0001)/2)^(AD51-1),0)</f>
        <v/>
      </c>
      <c r="AG51" s="51">
        <f>IF(AC51=1,$W51/(1+($V$104-0.0001)/2)^(AD51-1),0)</f>
        <v/>
      </c>
      <c r="AH51" s="51">
        <f>IF(AC51=1,$W51/(1+$V$109/2)^(AD51-1),0)</f>
        <v/>
      </c>
      <c r="AI51" s="51">
        <f>IF(AC51=1,$W51/(1+$V$111/2)^(AD51-1),0)</f>
        <v/>
      </c>
      <c r="AJ51" s="51">
        <f>IF(AC51=1,$W51/(1+($V$111+0.0001)/2)^(AD51-1),0)</f>
        <v/>
      </c>
      <c r="AK51" s="51">
        <f>IF(AC51=1,$W51/(1+($V$111-0.0001)/2)^(AD51-1),0)</f>
        <v/>
      </c>
      <c r="AL51" s="51">
        <f>IF(AND($W51&gt;0,V51&gt;$V$6,V51&lt;=$V$7),$W51*(1+$V$10*($V$7-V51)/365),0)</f>
        <v/>
      </c>
      <c r="AO51" s="49" t="n">
        <v>37</v>
      </c>
      <c r="AP51" s="50">
        <f>EDATE($AP$2,-6*(62-$AO51))</f>
        <v/>
      </c>
      <c r="AQ51" s="51">
        <f>IF(AND(AP51&gt;$AP$3,AP51&lt;=$AP$2),IF(AP51=$AP$2,$AP$5+100,$AP$5),0)</f>
        <v/>
      </c>
      <c r="AR51" s="49">
        <f>IF(AND($AQ51&gt;0,AP51&gt;$AP$6),1,0)</f>
        <v/>
      </c>
      <c r="AS51" s="49">
        <f>IF(AR51=1,SUM($AR$15:AR51),"")</f>
        <v/>
      </c>
      <c r="AT51" s="51">
        <f>IF(AR51=1,$AQ51/(1+$AP$8/2)^(AS51-1),0)</f>
        <v/>
      </c>
      <c r="AU51" s="51">
        <f>IF(AR51=1,$AQ51/(1+($AP$8+0.0001)/2)^(AS51-1),0)</f>
        <v/>
      </c>
      <c r="AV51" s="51">
        <f>IF(AR51=1,$AQ51/(1+($AP$8-0.0001)/2)^(AS51-1),0)</f>
        <v/>
      </c>
      <c r="AW51" s="49">
        <f>IF(AND($AQ51&gt;0,AP51&gt;$AP$7),1,0)</f>
        <v/>
      </c>
      <c r="AX51" s="49">
        <f>IF(AW51=1,SUM($AW$15:AW51),"")</f>
        <v/>
      </c>
      <c r="AY51" s="51">
        <f>IF(AW51=1,$AQ51/(1+$AP$104/2)^(AX51-1),0)</f>
        <v/>
      </c>
      <c r="AZ51" s="51">
        <f>IF(AW51=1,$AQ51/(1+($AP$104+0.0001)/2)^(AX51-1),0)</f>
        <v/>
      </c>
      <c r="BA51" s="51">
        <f>IF(AW51=1,$AQ51/(1+($AP$104-0.0001)/2)^(AX51-1),0)</f>
        <v/>
      </c>
      <c r="BB51" s="51">
        <f>IF(AW51=1,$AQ51/(1+$AP$109/2)^(AX51-1),0)</f>
        <v/>
      </c>
      <c r="BC51" s="51">
        <f>IF(AW51=1,$AQ51/(1+$AP$111/2)^(AX51-1),0)</f>
        <v/>
      </c>
      <c r="BD51" s="51">
        <f>IF(AW51=1,$AQ51/(1+($AP$111+0.0001)/2)^(AX51-1),0)</f>
        <v/>
      </c>
      <c r="BE51" s="51">
        <f>IF(AW51=1,$AQ51/(1+($AP$111-0.0001)/2)^(AX51-1),0)</f>
        <v/>
      </c>
      <c r="BF51" s="51">
        <f>IF(AND($AQ51&gt;0,AP51&gt;$AP$6,AP51&lt;=$AP$7),$AQ51*(1+$AP$10*($AP$7-AP51)/365),0)</f>
        <v/>
      </c>
    </row>
    <row r="52">
      <c r="A52" s="49" t="n">
        <v>38</v>
      </c>
      <c r="B52" s="50">
        <f>EDATE($B$2,-6*(62-$A52))</f>
        <v/>
      </c>
      <c r="C52" s="51">
        <f>IF(AND(B52&gt;$B$3,B52&lt;=$B$2),IF(B52=$B$2,$B$5+100,$B$5),0)</f>
        <v/>
      </c>
      <c r="D52" s="49">
        <f>IF(AND($C52&gt;0,B52&gt;$B$6),1,0)</f>
        <v/>
      </c>
      <c r="E52" s="49">
        <f>IF(D52=1,SUM($D$15:D52),"")</f>
        <v/>
      </c>
      <c r="F52" s="51">
        <f>IF(D52=1,$C52/(1+$B$8/2)^(E52-1),0)</f>
        <v/>
      </c>
      <c r="G52" s="51">
        <f>IF(D52=1,$C52/(1+($B$8+0.0001)/2)^(E52-1),0)</f>
        <v/>
      </c>
      <c r="H52" s="51">
        <f>IF(D52=1,$C52/(1+($B$8-0.0001)/2)^(E52-1),0)</f>
        <v/>
      </c>
      <c r="I52" s="49">
        <f>IF(AND($C52&gt;0,B52&gt;$B$7),1,0)</f>
        <v/>
      </c>
      <c r="J52" s="49">
        <f>IF(I52=1,SUM($I$15:I52),"")</f>
        <v/>
      </c>
      <c r="K52" s="51">
        <f>IF(I52=1,$C52/(1+$B$104/2)^(J52-1),0)</f>
        <v/>
      </c>
      <c r="L52" s="51">
        <f>IF(I52=1,$C52/(1+($B$104+0.0001)/2)^(J52-1),0)</f>
        <v/>
      </c>
      <c r="M52" s="51">
        <f>IF(I52=1,$C52/(1+($B$104-0.0001)/2)^(J52-1),0)</f>
        <v/>
      </c>
      <c r="N52" s="51">
        <f>IF(I52=1,$C52/(1+$B$109/2)^(J52-1),0)</f>
        <v/>
      </c>
      <c r="O52" s="51">
        <f>IF(I52=1,$C52/(1+$B$111/2)^(J52-1),0)</f>
        <v/>
      </c>
      <c r="P52" s="51">
        <f>IF(I52=1,$C52/(1+($B$111+0.0001)/2)^(J52-1),0)</f>
        <v/>
      </c>
      <c r="Q52" s="51">
        <f>IF(I52=1,$C52/(1+($B$111-0.0001)/2)^(J52-1),0)</f>
        <v/>
      </c>
      <c r="R52" s="51">
        <f>IF(AND($C52&gt;0,B52&gt;$B$6,B52&lt;=$B$7),$C52*(1+$B$10*($B$7-B52)/365),0)</f>
        <v/>
      </c>
      <c r="U52" s="49" t="n">
        <v>38</v>
      </c>
      <c r="V52" s="50">
        <f>EDATE($V$2,-6*(62-$U52))</f>
        <v/>
      </c>
      <c r="W52" s="51">
        <f>IF(AND(V52&gt;$V$3,V52&lt;=$V$2),IF(V52=$V$2,$V$5+100,$V$5),0)</f>
        <v/>
      </c>
      <c r="X52" s="49">
        <f>IF(AND($W52&gt;0,V52&gt;$V$6),1,0)</f>
        <v/>
      </c>
      <c r="Y52" s="49">
        <f>IF(X52=1,SUM($X$15:X52),"")</f>
        <v/>
      </c>
      <c r="Z52" s="51">
        <f>IF(X52=1,$W52/(1+$V$8/2)^(Y52-1),0)</f>
        <v/>
      </c>
      <c r="AA52" s="51">
        <f>IF(X52=1,$W52/(1+($V$8+0.0001)/2)^(Y52-1),0)</f>
        <v/>
      </c>
      <c r="AB52" s="51">
        <f>IF(X52=1,$W52/(1+($V$8-0.0001)/2)^(Y52-1),0)</f>
        <v/>
      </c>
      <c r="AC52" s="49">
        <f>IF(AND($W52&gt;0,V52&gt;$V$7),1,0)</f>
        <v/>
      </c>
      <c r="AD52" s="49">
        <f>IF(AC52=1,SUM($AC$15:AC52),"")</f>
        <v/>
      </c>
      <c r="AE52" s="51">
        <f>IF(AC52=1,$W52/(1+$V$104/2)^(AD52-1),0)</f>
        <v/>
      </c>
      <c r="AF52" s="51">
        <f>IF(AC52=1,$W52/(1+($V$104+0.0001)/2)^(AD52-1),0)</f>
        <v/>
      </c>
      <c r="AG52" s="51">
        <f>IF(AC52=1,$W52/(1+($V$104-0.0001)/2)^(AD52-1),0)</f>
        <v/>
      </c>
      <c r="AH52" s="51">
        <f>IF(AC52=1,$W52/(1+$V$109/2)^(AD52-1),0)</f>
        <v/>
      </c>
      <c r="AI52" s="51">
        <f>IF(AC52=1,$W52/(1+$V$111/2)^(AD52-1),0)</f>
        <v/>
      </c>
      <c r="AJ52" s="51">
        <f>IF(AC52=1,$W52/(1+($V$111+0.0001)/2)^(AD52-1),0)</f>
        <v/>
      </c>
      <c r="AK52" s="51">
        <f>IF(AC52=1,$W52/(1+($V$111-0.0001)/2)^(AD52-1),0)</f>
        <v/>
      </c>
      <c r="AL52" s="51">
        <f>IF(AND($W52&gt;0,V52&gt;$V$6,V52&lt;=$V$7),$W52*(1+$V$10*($V$7-V52)/365),0)</f>
        <v/>
      </c>
      <c r="AO52" s="49" t="n">
        <v>38</v>
      </c>
      <c r="AP52" s="50">
        <f>EDATE($AP$2,-6*(62-$AO52))</f>
        <v/>
      </c>
      <c r="AQ52" s="51">
        <f>IF(AND(AP52&gt;$AP$3,AP52&lt;=$AP$2),IF(AP52=$AP$2,$AP$5+100,$AP$5),0)</f>
        <v/>
      </c>
      <c r="AR52" s="49">
        <f>IF(AND($AQ52&gt;0,AP52&gt;$AP$6),1,0)</f>
        <v/>
      </c>
      <c r="AS52" s="49">
        <f>IF(AR52=1,SUM($AR$15:AR52),"")</f>
        <v/>
      </c>
      <c r="AT52" s="51">
        <f>IF(AR52=1,$AQ52/(1+$AP$8/2)^(AS52-1),0)</f>
        <v/>
      </c>
      <c r="AU52" s="51">
        <f>IF(AR52=1,$AQ52/(1+($AP$8+0.0001)/2)^(AS52-1),0)</f>
        <v/>
      </c>
      <c r="AV52" s="51">
        <f>IF(AR52=1,$AQ52/(1+($AP$8-0.0001)/2)^(AS52-1),0)</f>
        <v/>
      </c>
      <c r="AW52" s="49">
        <f>IF(AND($AQ52&gt;0,AP52&gt;$AP$7),1,0)</f>
        <v/>
      </c>
      <c r="AX52" s="49">
        <f>IF(AW52=1,SUM($AW$15:AW52),"")</f>
        <v/>
      </c>
      <c r="AY52" s="51">
        <f>IF(AW52=1,$AQ52/(1+$AP$104/2)^(AX52-1),0)</f>
        <v/>
      </c>
      <c r="AZ52" s="51">
        <f>IF(AW52=1,$AQ52/(1+($AP$104+0.0001)/2)^(AX52-1),0)</f>
        <v/>
      </c>
      <c r="BA52" s="51">
        <f>IF(AW52=1,$AQ52/(1+($AP$104-0.0001)/2)^(AX52-1),0)</f>
        <v/>
      </c>
      <c r="BB52" s="51">
        <f>IF(AW52=1,$AQ52/(1+$AP$109/2)^(AX52-1),0)</f>
        <v/>
      </c>
      <c r="BC52" s="51">
        <f>IF(AW52=1,$AQ52/(1+$AP$111/2)^(AX52-1),0)</f>
        <v/>
      </c>
      <c r="BD52" s="51">
        <f>IF(AW52=1,$AQ52/(1+($AP$111+0.0001)/2)^(AX52-1),0)</f>
        <v/>
      </c>
      <c r="BE52" s="51">
        <f>IF(AW52=1,$AQ52/(1+($AP$111-0.0001)/2)^(AX52-1),0)</f>
        <v/>
      </c>
      <c r="BF52" s="51">
        <f>IF(AND($AQ52&gt;0,AP52&gt;$AP$6,AP52&lt;=$AP$7),$AQ52*(1+$AP$10*($AP$7-AP52)/365),0)</f>
        <v/>
      </c>
    </row>
    <row r="53">
      <c r="A53" s="49" t="n">
        <v>39</v>
      </c>
      <c r="B53" s="50">
        <f>EDATE($B$2,-6*(62-$A53))</f>
        <v/>
      </c>
      <c r="C53" s="51">
        <f>IF(AND(B53&gt;$B$3,B53&lt;=$B$2),IF(B53=$B$2,$B$5+100,$B$5),0)</f>
        <v/>
      </c>
      <c r="D53" s="49">
        <f>IF(AND($C53&gt;0,B53&gt;$B$6),1,0)</f>
        <v/>
      </c>
      <c r="E53" s="49">
        <f>IF(D53=1,SUM($D$15:D53),"")</f>
        <v/>
      </c>
      <c r="F53" s="51">
        <f>IF(D53=1,$C53/(1+$B$8/2)^(E53-1),0)</f>
        <v/>
      </c>
      <c r="G53" s="51">
        <f>IF(D53=1,$C53/(1+($B$8+0.0001)/2)^(E53-1),0)</f>
        <v/>
      </c>
      <c r="H53" s="51">
        <f>IF(D53=1,$C53/(1+($B$8-0.0001)/2)^(E53-1),0)</f>
        <v/>
      </c>
      <c r="I53" s="49">
        <f>IF(AND($C53&gt;0,B53&gt;$B$7),1,0)</f>
        <v/>
      </c>
      <c r="J53" s="49">
        <f>IF(I53=1,SUM($I$15:I53),"")</f>
        <v/>
      </c>
      <c r="K53" s="51">
        <f>IF(I53=1,$C53/(1+$B$104/2)^(J53-1),0)</f>
        <v/>
      </c>
      <c r="L53" s="51">
        <f>IF(I53=1,$C53/(1+($B$104+0.0001)/2)^(J53-1),0)</f>
        <v/>
      </c>
      <c r="M53" s="51">
        <f>IF(I53=1,$C53/(1+($B$104-0.0001)/2)^(J53-1),0)</f>
        <v/>
      </c>
      <c r="N53" s="51">
        <f>IF(I53=1,$C53/(1+$B$109/2)^(J53-1),0)</f>
        <v/>
      </c>
      <c r="O53" s="51">
        <f>IF(I53=1,$C53/(1+$B$111/2)^(J53-1),0)</f>
        <v/>
      </c>
      <c r="P53" s="51">
        <f>IF(I53=1,$C53/(1+($B$111+0.0001)/2)^(J53-1),0)</f>
        <v/>
      </c>
      <c r="Q53" s="51">
        <f>IF(I53=1,$C53/(1+($B$111-0.0001)/2)^(J53-1),0)</f>
        <v/>
      </c>
      <c r="R53" s="51">
        <f>IF(AND($C53&gt;0,B53&gt;$B$6,B53&lt;=$B$7),$C53*(1+$B$10*($B$7-B53)/365),0)</f>
        <v/>
      </c>
      <c r="U53" s="49" t="n">
        <v>39</v>
      </c>
      <c r="V53" s="50">
        <f>EDATE($V$2,-6*(62-$U53))</f>
        <v/>
      </c>
      <c r="W53" s="51">
        <f>IF(AND(V53&gt;$V$3,V53&lt;=$V$2),IF(V53=$V$2,$V$5+100,$V$5),0)</f>
        <v/>
      </c>
      <c r="X53" s="49">
        <f>IF(AND($W53&gt;0,V53&gt;$V$6),1,0)</f>
        <v/>
      </c>
      <c r="Y53" s="49">
        <f>IF(X53=1,SUM($X$15:X53),"")</f>
        <v/>
      </c>
      <c r="Z53" s="51">
        <f>IF(X53=1,$W53/(1+$V$8/2)^(Y53-1),0)</f>
        <v/>
      </c>
      <c r="AA53" s="51">
        <f>IF(X53=1,$W53/(1+($V$8+0.0001)/2)^(Y53-1),0)</f>
        <v/>
      </c>
      <c r="AB53" s="51">
        <f>IF(X53=1,$W53/(1+($V$8-0.0001)/2)^(Y53-1),0)</f>
        <v/>
      </c>
      <c r="AC53" s="49">
        <f>IF(AND($W53&gt;0,V53&gt;$V$7),1,0)</f>
        <v/>
      </c>
      <c r="AD53" s="49">
        <f>IF(AC53=1,SUM($AC$15:AC53),"")</f>
        <v/>
      </c>
      <c r="AE53" s="51">
        <f>IF(AC53=1,$W53/(1+$V$104/2)^(AD53-1),0)</f>
        <v/>
      </c>
      <c r="AF53" s="51">
        <f>IF(AC53=1,$W53/(1+($V$104+0.0001)/2)^(AD53-1),0)</f>
        <v/>
      </c>
      <c r="AG53" s="51">
        <f>IF(AC53=1,$W53/(1+($V$104-0.0001)/2)^(AD53-1),0)</f>
        <v/>
      </c>
      <c r="AH53" s="51">
        <f>IF(AC53=1,$W53/(1+$V$109/2)^(AD53-1),0)</f>
        <v/>
      </c>
      <c r="AI53" s="51">
        <f>IF(AC53=1,$W53/(1+$V$111/2)^(AD53-1),0)</f>
        <v/>
      </c>
      <c r="AJ53" s="51">
        <f>IF(AC53=1,$W53/(1+($V$111+0.0001)/2)^(AD53-1),0)</f>
        <v/>
      </c>
      <c r="AK53" s="51">
        <f>IF(AC53=1,$W53/(1+($V$111-0.0001)/2)^(AD53-1),0)</f>
        <v/>
      </c>
      <c r="AL53" s="51">
        <f>IF(AND($W53&gt;0,V53&gt;$V$6,V53&lt;=$V$7),$W53*(1+$V$10*($V$7-V53)/365),0)</f>
        <v/>
      </c>
      <c r="AO53" s="49" t="n">
        <v>39</v>
      </c>
      <c r="AP53" s="50">
        <f>EDATE($AP$2,-6*(62-$AO53))</f>
        <v/>
      </c>
      <c r="AQ53" s="51">
        <f>IF(AND(AP53&gt;$AP$3,AP53&lt;=$AP$2),IF(AP53=$AP$2,$AP$5+100,$AP$5),0)</f>
        <v/>
      </c>
      <c r="AR53" s="49">
        <f>IF(AND($AQ53&gt;0,AP53&gt;$AP$6),1,0)</f>
        <v/>
      </c>
      <c r="AS53" s="49">
        <f>IF(AR53=1,SUM($AR$15:AR53),"")</f>
        <v/>
      </c>
      <c r="AT53" s="51">
        <f>IF(AR53=1,$AQ53/(1+$AP$8/2)^(AS53-1),0)</f>
        <v/>
      </c>
      <c r="AU53" s="51">
        <f>IF(AR53=1,$AQ53/(1+($AP$8+0.0001)/2)^(AS53-1),0)</f>
        <v/>
      </c>
      <c r="AV53" s="51">
        <f>IF(AR53=1,$AQ53/(1+($AP$8-0.0001)/2)^(AS53-1),0)</f>
        <v/>
      </c>
      <c r="AW53" s="49">
        <f>IF(AND($AQ53&gt;0,AP53&gt;$AP$7),1,0)</f>
        <v/>
      </c>
      <c r="AX53" s="49">
        <f>IF(AW53=1,SUM($AW$15:AW53),"")</f>
        <v/>
      </c>
      <c r="AY53" s="51">
        <f>IF(AW53=1,$AQ53/(1+$AP$104/2)^(AX53-1),0)</f>
        <v/>
      </c>
      <c r="AZ53" s="51">
        <f>IF(AW53=1,$AQ53/(1+($AP$104+0.0001)/2)^(AX53-1),0)</f>
        <v/>
      </c>
      <c r="BA53" s="51">
        <f>IF(AW53=1,$AQ53/(1+($AP$104-0.0001)/2)^(AX53-1),0)</f>
        <v/>
      </c>
      <c r="BB53" s="51">
        <f>IF(AW53=1,$AQ53/(1+$AP$109/2)^(AX53-1),0)</f>
        <v/>
      </c>
      <c r="BC53" s="51">
        <f>IF(AW53=1,$AQ53/(1+$AP$111/2)^(AX53-1),0)</f>
        <v/>
      </c>
      <c r="BD53" s="51">
        <f>IF(AW53=1,$AQ53/(1+($AP$111+0.0001)/2)^(AX53-1),0)</f>
        <v/>
      </c>
      <c r="BE53" s="51">
        <f>IF(AW53=1,$AQ53/(1+($AP$111-0.0001)/2)^(AX53-1),0)</f>
        <v/>
      </c>
      <c r="BF53" s="51">
        <f>IF(AND($AQ53&gt;0,AP53&gt;$AP$6,AP53&lt;=$AP$7),$AQ53*(1+$AP$10*($AP$7-AP53)/365),0)</f>
        <v/>
      </c>
    </row>
    <row r="54">
      <c r="A54" s="49" t="n">
        <v>40</v>
      </c>
      <c r="B54" s="50">
        <f>EDATE($B$2,-6*(62-$A54))</f>
        <v/>
      </c>
      <c r="C54" s="51">
        <f>IF(AND(B54&gt;$B$3,B54&lt;=$B$2),IF(B54=$B$2,$B$5+100,$B$5),0)</f>
        <v/>
      </c>
      <c r="D54" s="49">
        <f>IF(AND($C54&gt;0,B54&gt;$B$6),1,0)</f>
        <v/>
      </c>
      <c r="E54" s="49">
        <f>IF(D54=1,SUM($D$15:D54),"")</f>
        <v/>
      </c>
      <c r="F54" s="51">
        <f>IF(D54=1,$C54/(1+$B$8/2)^(E54-1),0)</f>
        <v/>
      </c>
      <c r="G54" s="51">
        <f>IF(D54=1,$C54/(1+($B$8+0.0001)/2)^(E54-1),0)</f>
        <v/>
      </c>
      <c r="H54" s="51">
        <f>IF(D54=1,$C54/(1+($B$8-0.0001)/2)^(E54-1),0)</f>
        <v/>
      </c>
      <c r="I54" s="49">
        <f>IF(AND($C54&gt;0,B54&gt;$B$7),1,0)</f>
        <v/>
      </c>
      <c r="J54" s="49">
        <f>IF(I54=1,SUM($I$15:I54),"")</f>
        <v/>
      </c>
      <c r="K54" s="51">
        <f>IF(I54=1,$C54/(1+$B$104/2)^(J54-1),0)</f>
        <v/>
      </c>
      <c r="L54" s="51">
        <f>IF(I54=1,$C54/(1+($B$104+0.0001)/2)^(J54-1),0)</f>
        <v/>
      </c>
      <c r="M54" s="51">
        <f>IF(I54=1,$C54/(1+($B$104-0.0001)/2)^(J54-1),0)</f>
        <v/>
      </c>
      <c r="N54" s="51">
        <f>IF(I54=1,$C54/(1+$B$109/2)^(J54-1),0)</f>
        <v/>
      </c>
      <c r="O54" s="51">
        <f>IF(I54=1,$C54/(1+$B$111/2)^(J54-1),0)</f>
        <v/>
      </c>
      <c r="P54" s="51">
        <f>IF(I54=1,$C54/(1+($B$111+0.0001)/2)^(J54-1),0)</f>
        <v/>
      </c>
      <c r="Q54" s="51">
        <f>IF(I54=1,$C54/(1+($B$111-0.0001)/2)^(J54-1),0)</f>
        <v/>
      </c>
      <c r="R54" s="51">
        <f>IF(AND($C54&gt;0,B54&gt;$B$6,B54&lt;=$B$7),$C54*(1+$B$10*($B$7-B54)/365),0)</f>
        <v/>
      </c>
      <c r="U54" s="49" t="n">
        <v>40</v>
      </c>
      <c r="V54" s="50">
        <f>EDATE($V$2,-6*(62-$U54))</f>
        <v/>
      </c>
      <c r="W54" s="51">
        <f>IF(AND(V54&gt;$V$3,V54&lt;=$V$2),IF(V54=$V$2,$V$5+100,$V$5),0)</f>
        <v/>
      </c>
      <c r="X54" s="49">
        <f>IF(AND($W54&gt;0,V54&gt;$V$6),1,0)</f>
        <v/>
      </c>
      <c r="Y54" s="49">
        <f>IF(X54=1,SUM($X$15:X54),"")</f>
        <v/>
      </c>
      <c r="Z54" s="51">
        <f>IF(X54=1,$W54/(1+$V$8/2)^(Y54-1),0)</f>
        <v/>
      </c>
      <c r="AA54" s="51">
        <f>IF(X54=1,$W54/(1+($V$8+0.0001)/2)^(Y54-1),0)</f>
        <v/>
      </c>
      <c r="AB54" s="51">
        <f>IF(X54=1,$W54/(1+($V$8-0.0001)/2)^(Y54-1),0)</f>
        <v/>
      </c>
      <c r="AC54" s="49">
        <f>IF(AND($W54&gt;0,V54&gt;$V$7),1,0)</f>
        <v/>
      </c>
      <c r="AD54" s="49">
        <f>IF(AC54=1,SUM($AC$15:AC54),"")</f>
        <v/>
      </c>
      <c r="AE54" s="51">
        <f>IF(AC54=1,$W54/(1+$V$104/2)^(AD54-1),0)</f>
        <v/>
      </c>
      <c r="AF54" s="51">
        <f>IF(AC54=1,$W54/(1+($V$104+0.0001)/2)^(AD54-1),0)</f>
        <v/>
      </c>
      <c r="AG54" s="51">
        <f>IF(AC54=1,$W54/(1+($V$104-0.0001)/2)^(AD54-1),0)</f>
        <v/>
      </c>
      <c r="AH54" s="51">
        <f>IF(AC54=1,$W54/(1+$V$109/2)^(AD54-1),0)</f>
        <v/>
      </c>
      <c r="AI54" s="51">
        <f>IF(AC54=1,$W54/(1+$V$111/2)^(AD54-1),0)</f>
        <v/>
      </c>
      <c r="AJ54" s="51">
        <f>IF(AC54=1,$W54/(1+($V$111+0.0001)/2)^(AD54-1),0)</f>
        <v/>
      </c>
      <c r="AK54" s="51">
        <f>IF(AC54=1,$W54/(1+($V$111-0.0001)/2)^(AD54-1),0)</f>
        <v/>
      </c>
      <c r="AL54" s="51">
        <f>IF(AND($W54&gt;0,V54&gt;$V$6,V54&lt;=$V$7),$W54*(1+$V$10*($V$7-V54)/365),0)</f>
        <v/>
      </c>
      <c r="AO54" s="49" t="n">
        <v>40</v>
      </c>
      <c r="AP54" s="50">
        <f>EDATE($AP$2,-6*(62-$AO54))</f>
        <v/>
      </c>
      <c r="AQ54" s="51">
        <f>IF(AND(AP54&gt;$AP$3,AP54&lt;=$AP$2),IF(AP54=$AP$2,$AP$5+100,$AP$5),0)</f>
        <v/>
      </c>
      <c r="AR54" s="49">
        <f>IF(AND($AQ54&gt;0,AP54&gt;$AP$6),1,0)</f>
        <v/>
      </c>
      <c r="AS54" s="49">
        <f>IF(AR54=1,SUM($AR$15:AR54),"")</f>
        <v/>
      </c>
      <c r="AT54" s="51">
        <f>IF(AR54=1,$AQ54/(1+$AP$8/2)^(AS54-1),0)</f>
        <v/>
      </c>
      <c r="AU54" s="51">
        <f>IF(AR54=1,$AQ54/(1+($AP$8+0.0001)/2)^(AS54-1),0)</f>
        <v/>
      </c>
      <c r="AV54" s="51">
        <f>IF(AR54=1,$AQ54/(1+($AP$8-0.0001)/2)^(AS54-1),0)</f>
        <v/>
      </c>
      <c r="AW54" s="49">
        <f>IF(AND($AQ54&gt;0,AP54&gt;$AP$7),1,0)</f>
        <v/>
      </c>
      <c r="AX54" s="49">
        <f>IF(AW54=1,SUM($AW$15:AW54),"")</f>
        <v/>
      </c>
      <c r="AY54" s="51">
        <f>IF(AW54=1,$AQ54/(1+$AP$104/2)^(AX54-1),0)</f>
        <v/>
      </c>
      <c r="AZ54" s="51">
        <f>IF(AW54=1,$AQ54/(1+($AP$104+0.0001)/2)^(AX54-1),0)</f>
        <v/>
      </c>
      <c r="BA54" s="51">
        <f>IF(AW54=1,$AQ54/(1+($AP$104-0.0001)/2)^(AX54-1),0)</f>
        <v/>
      </c>
      <c r="BB54" s="51">
        <f>IF(AW54=1,$AQ54/(1+$AP$109/2)^(AX54-1),0)</f>
        <v/>
      </c>
      <c r="BC54" s="51">
        <f>IF(AW54=1,$AQ54/(1+$AP$111/2)^(AX54-1),0)</f>
        <v/>
      </c>
      <c r="BD54" s="51">
        <f>IF(AW54=1,$AQ54/(1+($AP$111+0.0001)/2)^(AX54-1),0)</f>
        <v/>
      </c>
      <c r="BE54" s="51">
        <f>IF(AW54=1,$AQ54/(1+($AP$111-0.0001)/2)^(AX54-1),0)</f>
        <v/>
      </c>
      <c r="BF54" s="51">
        <f>IF(AND($AQ54&gt;0,AP54&gt;$AP$6,AP54&lt;=$AP$7),$AQ54*(1+$AP$10*($AP$7-AP54)/365),0)</f>
        <v/>
      </c>
    </row>
    <row r="55">
      <c r="A55" s="49" t="n">
        <v>41</v>
      </c>
      <c r="B55" s="50">
        <f>EDATE($B$2,-6*(62-$A55))</f>
        <v/>
      </c>
      <c r="C55" s="51">
        <f>IF(AND(B55&gt;$B$3,B55&lt;=$B$2),IF(B55=$B$2,$B$5+100,$B$5),0)</f>
        <v/>
      </c>
      <c r="D55" s="49">
        <f>IF(AND($C55&gt;0,B55&gt;$B$6),1,0)</f>
        <v/>
      </c>
      <c r="E55" s="49">
        <f>IF(D55=1,SUM($D$15:D55),"")</f>
        <v/>
      </c>
      <c r="F55" s="51">
        <f>IF(D55=1,$C55/(1+$B$8/2)^(E55-1),0)</f>
        <v/>
      </c>
      <c r="G55" s="51">
        <f>IF(D55=1,$C55/(1+($B$8+0.0001)/2)^(E55-1),0)</f>
        <v/>
      </c>
      <c r="H55" s="51">
        <f>IF(D55=1,$C55/(1+($B$8-0.0001)/2)^(E55-1),0)</f>
        <v/>
      </c>
      <c r="I55" s="49">
        <f>IF(AND($C55&gt;0,B55&gt;$B$7),1,0)</f>
        <v/>
      </c>
      <c r="J55" s="49">
        <f>IF(I55=1,SUM($I$15:I55),"")</f>
        <v/>
      </c>
      <c r="K55" s="51">
        <f>IF(I55=1,$C55/(1+$B$104/2)^(J55-1),0)</f>
        <v/>
      </c>
      <c r="L55" s="51">
        <f>IF(I55=1,$C55/(1+($B$104+0.0001)/2)^(J55-1),0)</f>
        <v/>
      </c>
      <c r="M55" s="51">
        <f>IF(I55=1,$C55/(1+($B$104-0.0001)/2)^(J55-1),0)</f>
        <v/>
      </c>
      <c r="N55" s="51">
        <f>IF(I55=1,$C55/(1+$B$109/2)^(J55-1),0)</f>
        <v/>
      </c>
      <c r="O55" s="51">
        <f>IF(I55=1,$C55/(1+$B$111/2)^(J55-1),0)</f>
        <v/>
      </c>
      <c r="P55" s="51">
        <f>IF(I55=1,$C55/(1+($B$111+0.0001)/2)^(J55-1),0)</f>
        <v/>
      </c>
      <c r="Q55" s="51">
        <f>IF(I55=1,$C55/(1+($B$111-0.0001)/2)^(J55-1),0)</f>
        <v/>
      </c>
      <c r="R55" s="51">
        <f>IF(AND($C55&gt;0,B55&gt;$B$6,B55&lt;=$B$7),$C55*(1+$B$10*($B$7-B55)/365),0)</f>
        <v/>
      </c>
      <c r="U55" s="49" t="n">
        <v>41</v>
      </c>
      <c r="V55" s="50">
        <f>EDATE($V$2,-6*(62-$U55))</f>
        <v/>
      </c>
      <c r="W55" s="51">
        <f>IF(AND(V55&gt;$V$3,V55&lt;=$V$2),IF(V55=$V$2,$V$5+100,$V$5),0)</f>
        <v/>
      </c>
      <c r="X55" s="49">
        <f>IF(AND($W55&gt;0,V55&gt;$V$6),1,0)</f>
        <v/>
      </c>
      <c r="Y55" s="49">
        <f>IF(X55=1,SUM($X$15:X55),"")</f>
        <v/>
      </c>
      <c r="Z55" s="51">
        <f>IF(X55=1,$W55/(1+$V$8/2)^(Y55-1),0)</f>
        <v/>
      </c>
      <c r="AA55" s="51">
        <f>IF(X55=1,$W55/(1+($V$8+0.0001)/2)^(Y55-1),0)</f>
        <v/>
      </c>
      <c r="AB55" s="51">
        <f>IF(X55=1,$W55/(1+($V$8-0.0001)/2)^(Y55-1),0)</f>
        <v/>
      </c>
      <c r="AC55" s="49">
        <f>IF(AND($W55&gt;0,V55&gt;$V$7),1,0)</f>
        <v/>
      </c>
      <c r="AD55" s="49">
        <f>IF(AC55=1,SUM($AC$15:AC55),"")</f>
        <v/>
      </c>
      <c r="AE55" s="51">
        <f>IF(AC55=1,$W55/(1+$V$104/2)^(AD55-1),0)</f>
        <v/>
      </c>
      <c r="AF55" s="51">
        <f>IF(AC55=1,$W55/(1+($V$104+0.0001)/2)^(AD55-1),0)</f>
        <v/>
      </c>
      <c r="AG55" s="51">
        <f>IF(AC55=1,$W55/(1+($V$104-0.0001)/2)^(AD55-1),0)</f>
        <v/>
      </c>
      <c r="AH55" s="51">
        <f>IF(AC55=1,$W55/(1+$V$109/2)^(AD55-1),0)</f>
        <v/>
      </c>
      <c r="AI55" s="51">
        <f>IF(AC55=1,$W55/(1+$V$111/2)^(AD55-1),0)</f>
        <v/>
      </c>
      <c r="AJ55" s="51">
        <f>IF(AC55=1,$W55/(1+($V$111+0.0001)/2)^(AD55-1),0)</f>
        <v/>
      </c>
      <c r="AK55" s="51">
        <f>IF(AC55=1,$W55/(1+($V$111-0.0001)/2)^(AD55-1),0)</f>
        <v/>
      </c>
      <c r="AL55" s="51">
        <f>IF(AND($W55&gt;0,V55&gt;$V$6,V55&lt;=$V$7),$W55*(1+$V$10*($V$7-V55)/365),0)</f>
        <v/>
      </c>
      <c r="AO55" s="49" t="n">
        <v>41</v>
      </c>
      <c r="AP55" s="50">
        <f>EDATE($AP$2,-6*(62-$AO55))</f>
        <v/>
      </c>
      <c r="AQ55" s="51">
        <f>IF(AND(AP55&gt;$AP$3,AP55&lt;=$AP$2),IF(AP55=$AP$2,$AP$5+100,$AP$5),0)</f>
        <v/>
      </c>
      <c r="AR55" s="49">
        <f>IF(AND($AQ55&gt;0,AP55&gt;$AP$6),1,0)</f>
        <v/>
      </c>
      <c r="AS55" s="49">
        <f>IF(AR55=1,SUM($AR$15:AR55),"")</f>
        <v/>
      </c>
      <c r="AT55" s="51">
        <f>IF(AR55=1,$AQ55/(1+$AP$8/2)^(AS55-1),0)</f>
        <v/>
      </c>
      <c r="AU55" s="51">
        <f>IF(AR55=1,$AQ55/(1+($AP$8+0.0001)/2)^(AS55-1),0)</f>
        <v/>
      </c>
      <c r="AV55" s="51">
        <f>IF(AR55=1,$AQ55/(1+($AP$8-0.0001)/2)^(AS55-1),0)</f>
        <v/>
      </c>
      <c r="AW55" s="49">
        <f>IF(AND($AQ55&gt;0,AP55&gt;$AP$7),1,0)</f>
        <v/>
      </c>
      <c r="AX55" s="49">
        <f>IF(AW55=1,SUM($AW$15:AW55),"")</f>
        <v/>
      </c>
      <c r="AY55" s="51">
        <f>IF(AW55=1,$AQ55/(1+$AP$104/2)^(AX55-1),0)</f>
        <v/>
      </c>
      <c r="AZ55" s="51">
        <f>IF(AW55=1,$AQ55/(1+($AP$104+0.0001)/2)^(AX55-1),0)</f>
        <v/>
      </c>
      <c r="BA55" s="51">
        <f>IF(AW55=1,$AQ55/(1+($AP$104-0.0001)/2)^(AX55-1),0)</f>
        <v/>
      </c>
      <c r="BB55" s="51">
        <f>IF(AW55=1,$AQ55/(1+$AP$109/2)^(AX55-1),0)</f>
        <v/>
      </c>
      <c r="BC55" s="51">
        <f>IF(AW55=1,$AQ55/(1+$AP$111/2)^(AX55-1),0)</f>
        <v/>
      </c>
      <c r="BD55" s="51">
        <f>IF(AW55=1,$AQ55/(1+($AP$111+0.0001)/2)^(AX55-1),0)</f>
        <v/>
      </c>
      <c r="BE55" s="51">
        <f>IF(AW55=1,$AQ55/(1+($AP$111-0.0001)/2)^(AX55-1),0)</f>
        <v/>
      </c>
      <c r="BF55" s="51">
        <f>IF(AND($AQ55&gt;0,AP55&gt;$AP$6,AP55&lt;=$AP$7),$AQ55*(1+$AP$10*($AP$7-AP55)/365),0)</f>
        <v/>
      </c>
    </row>
    <row r="56">
      <c r="A56" s="49" t="n">
        <v>42</v>
      </c>
      <c r="B56" s="50">
        <f>EDATE($B$2,-6*(62-$A56))</f>
        <v/>
      </c>
      <c r="C56" s="51">
        <f>IF(AND(B56&gt;$B$3,B56&lt;=$B$2),IF(B56=$B$2,$B$5+100,$B$5),0)</f>
        <v/>
      </c>
      <c r="D56" s="49">
        <f>IF(AND($C56&gt;0,B56&gt;$B$6),1,0)</f>
        <v/>
      </c>
      <c r="E56" s="49">
        <f>IF(D56=1,SUM($D$15:D56),"")</f>
        <v/>
      </c>
      <c r="F56" s="51">
        <f>IF(D56=1,$C56/(1+$B$8/2)^(E56-1),0)</f>
        <v/>
      </c>
      <c r="G56" s="51">
        <f>IF(D56=1,$C56/(1+($B$8+0.0001)/2)^(E56-1),0)</f>
        <v/>
      </c>
      <c r="H56" s="51">
        <f>IF(D56=1,$C56/(1+($B$8-0.0001)/2)^(E56-1),0)</f>
        <v/>
      </c>
      <c r="I56" s="49">
        <f>IF(AND($C56&gt;0,B56&gt;$B$7),1,0)</f>
        <v/>
      </c>
      <c r="J56" s="49">
        <f>IF(I56=1,SUM($I$15:I56),"")</f>
        <v/>
      </c>
      <c r="K56" s="51">
        <f>IF(I56=1,$C56/(1+$B$104/2)^(J56-1),0)</f>
        <v/>
      </c>
      <c r="L56" s="51">
        <f>IF(I56=1,$C56/(1+($B$104+0.0001)/2)^(J56-1),0)</f>
        <v/>
      </c>
      <c r="M56" s="51">
        <f>IF(I56=1,$C56/(1+($B$104-0.0001)/2)^(J56-1),0)</f>
        <v/>
      </c>
      <c r="N56" s="51">
        <f>IF(I56=1,$C56/(1+$B$109/2)^(J56-1),0)</f>
        <v/>
      </c>
      <c r="O56" s="51">
        <f>IF(I56=1,$C56/(1+$B$111/2)^(J56-1),0)</f>
        <v/>
      </c>
      <c r="P56" s="51">
        <f>IF(I56=1,$C56/(1+($B$111+0.0001)/2)^(J56-1),0)</f>
        <v/>
      </c>
      <c r="Q56" s="51">
        <f>IF(I56=1,$C56/(1+($B$111-0.0001)/2)^(J56-1),0)</f>
        <v/>
      </c>
      <c r="R56" s="51">
        <f>IF(AND($C56&gt;0,B56&gt;$B$6,B56&lt;=$B$7),$C56*(1+$B$10*($B$7-B56)/365),0)</f>
        <v/>
      </c>
      <c r="U56" s="49" t="n">
        <v>42</v>
      </c>
      <c r="V56" s="50">
        <f>EDATE($V$2,-6*(62-$U56))</f>
        <v/>
      </c>
      <c r="W56" s="51">
        <f>IF(AND(V56&gt;$V$3,V56&lt;=$V$2),IF(V56=$V$2,$V$5+100,$V$5),0)</f>
        <v/>
      </c>
      <c r="X56" s="49">
        <f>IF(AND($W56&gt;0,V56&gt;$V$6),1,0)</f>
        <v/>
      </c>
      <c r="Y56" s="49">
        <f>IF(X56=1,SUM($X$15:X56),"")</f>
        <v/>
      </c>
      <c r="Z56" s="51">
        <f>IF(X56=1,$W56/(1+$V$8/2)^(Y56-1),0)</f>
        <v/>
      </c>
      <c r="AA56" s="51">
        <f>IF(X56=1,$W56/(1+($V$8+0.0001)/2)^(Y56-1),0)</f>
        <v/>
      </c>
      <c r="AB56" s="51">
        <f>IF(X56=1,$W56/(1+($V$8-0.0001)/2)^(Y56-1),0)</f>
        <v/>
      </c>
      <c r="AC56" s="49">
        <f>IF(AND($W56&gt;0,V56&gt;$V$7),1,0)</f>
        <v/>
      </c>
      <c r="AD56" s="49">
        <f>IF(AC56=1,SUM($AC$15:AC56),"")</f>
        <v/>
      </c>
      <c r="AE56" s="51">
        <f>IF(AC56=1,$W56/(1+$V$104/2)^(AD56-1),0)</f>
        <v/>
      </c>
      <c r="AF56" s="51">
        <f>IF(AC56=1,$W56/(1+($V$104+0.0001)/2)^(AD56-1),0)</f>
        <v/>
      </c>
      <c r="AG56" s="51">
        <f>IF(AC56=1,$W56/(1+($V$104-0.0001)/2)^(AD56-1),0)</f>
        <v/>
      </c>
      <c r="AH56" s="51">
        <f>IF(AC56=1,$W56/(1+$V$109/2)^(AD56-1),0)</f>
        <v/>
      </c>
      <c r="AI56" s="51">
        <f>IF(AC56=1,$W56/(1+$V$111/2)^(AD56-1),0)</f>
        <v/>
      </c>
      <c r="AJ56" s="51">
        <f>IF(AC56=1,$W56/(1+($V$111+0.0001)/2)^(AD56-1),0)</f>
        <v/>
      </c>
      <c r="AK56" s="51">
        <f>IF(AC56=1,$W56/(1+($V$111-0.0001)/2)^(AD56-1),0)</f>
        <v/>
      </c>
      <c r="AL56" s="51">
        <f>IF(AND($W56&gt;0,V56&gt;$V$6,V56&lt;=$V$7),$W56*(1+$V$10*($V$7-V56)/365),0)</f>
        <v/>
      </c>
      <c r="AO56" s="49" t="n">
        <v>42</v>
      </c>
      <c r="AP56" s="50">
        <f>EDATE($AP$2,-6*(62-$AO56))</f>
        <v/>
      </c>
      <c r="AQ56" s="51">
        <f>IF(AND(AP56&gt;$AP$3,AP56&lt;=$AP$2),IF(AP56=$AP$2,$AP$5+100,$AP$5),0)</f>
        <v/>
      </c>
      <c r="AR56" s="49">
        <f>IF(AND($AQ56&gt;0,AP56&gt;$AP$6),1,0)</f>
        <v/>
      </c>
      <c r="AS56" s="49">
        <f>IF(AR56=1,SUM($AR$15:AR56),"")</f>
        <v/>
      </c>
      <c r="AT56" s="51">
        <f>IF(AR56=1,$AQ56/(1+$AP$8/2)^(AS56-1),0)</f>
        <v/>
      </c>
      <c r="AU56" s="51">
        <f>IF(AR56=1,$AQ56/(1+($AP$8+0.0001)/2)^(AS56-1),0)</f>
        <v/>
      </c>
      <c r="AV56" s="51">
        <f>IF(AR56=1,$AQ56/(1+($AP$8-0.0001)/2)^(AS56-1),0)</f>
        <v/>
      </c>
      <c r="AW56" s="49">
        <f>IF(AND($AQ56&gt;0,AP56&gt;$AP$7),1,0)</f>
        <v/>
      </c>
      <c r="AX56" s="49">
        <f>IF(AW56=1,SUM($AW$15:AW56),"")</f>
        <v/>
      </c>
      <c r="AY56" s="51">
        <f>IF(AW56=1,$AQ56/(1+$AP$104/2)^(AX56-1),0)</f>
        <v/>
      </c>
      <c r="AZ56" s="51">
        <f>IF(AW56=1,$AQ56/(1+($AP$104+0.0001)/2)^(AX56-1),0)</f>
        <v/>
      </c>
      <c r="BA56" s="51">
        <f>IF(AW56=1,$AQ56/(1+($AP$104-0.0001)/2)^(AX56-1),0)</f>
        <v/>
      </c>
      <c r="BB56" s="51">
        <f>IF(AW56=1,$AQ56/(1+$AP$109/2)^(AX56-1),0)</f>
        <v/>
      </c>
      <c r="BC56" s="51">
        <f>IF(AW56=1,$AQ56/(1+$AP$111/2)^(AX56-1),0)</f>
        <v/>
      </c>
      <c r="BD56" s="51">
        <f>IF(AW56=1,$AQ56/(1+($AP$111+0.0001)/2)^(AX56-1),0)</f>
        <v/>
      </c>
      <c r="BE56" s="51">
        <f>IF(AW56=1,$AQ56/(1+($AP$111-0.0001)/2)^(AX56-1),0)</f>
        <v/>
      </c>
      <c r="BF56" s="51">
        <f>IF(AND($AQ56&gt;0,AP56&gt;$AP$6,AP56&lt;=$AP$7),$AQ56*(1+$AP$10*($AP$7-AP56)/365),0)</f>
        <v/>
      </c>
    </row>
    <row r="57">
      <c r="A57" s="49" t="n">
        <v>43</v>
      </c>
      <c r="B57" s="50">
        <f>EDATE($B$2,-6*(62-$A57))</f>
        <v/>
      </c>
      <c r="C57" s="51">
        <f>IF(AND(B57&gt;$B$3,B57&lt;=$B$2),IF(B57=$B$2,$B$5+100,$B$5),0)</f>
        <v/>
      </c>
      <c r="D57" s="49">
        <f>IF(AND($C57&gt;0,B57&gt;$B$6),1,0)</f>
        <v/>
      </c>
      <c r="E57" s="49">
        <f>IF(D57=1,SUM($D$15:D57),"")</f>
        <v/>
      </c>
      <c r="F57" s="51">
        <f>IF(D57=1,$C57/(1+$B$8/2)^(E57-1),0)</f>
        <v/>
      </c>
      <c r="G57" s="51">
        <f>IF(D57=1,$C57/(1+($B$8+0.0001)/2)^(E57-1),0)</f>
        <v/>
      </c>
      <c r="H57" s="51">
        <f>IF(D57=1,$C57/(1+($B$8-0.0001)/2)^(E57-1),0)</f>
        <v/>
      </c>
      <c r="I57" s="49">
        <f>IF(AND($C57&gt;0,B57&gt;$B$7),1,0)</f>
        <v/>
      </c>
      <c r="J57" s="49">
        <f>IF(I57=1,SUM($I$15:I57),"")</f>
        <v/>
      </c>
      <c r="K57" s="51">
        <f>IF(I57=1,$C57/(1+$B$104/2)^(J57-1),0)</f>
        <v/>
      </c>
      <c r="L57" s="51">
        <f>IF(I57=1,$C57/(1+($B$104+0.0001)/2)^(J57-1),0)</f>
        <v/>
      </c>
      <c r="M57" s="51">
        <f>IF(I57=1,$C57/(1+($B$104-0.0001)/2)^(J57-1),0)</f>
        <v/>
      </c>
      <c r="N57" s="51">
        <f>IF(I57=1,$C57/(1+$B$109/2)^(J57-1),0)</f>
        <v/>
      </c>
      <c r="O57" s="51">
        <f>IF(I57=1,$C57/(1+$B$111/2)^(J57-1),0)</f>
        <v/>
      </c>
      <c r="P57" s="51">
        <f>IF(I57=1,$C57/(1+($B$111+0.0001)/2)^(J57-1),0)</f>
        <v/>
      </c>
      <c r="Q57" s="51">
        <f>IF(I57=1,$C57/(1+($B$111-0.0001)/2)^(J57-1),0)</f>
        <v/>
      </c>
      <c r="R57" s="51">
        <f>IF(AND($C57&gt;0,B57&gt;$B$6,B57&lt;=$B$7),$C57*(1+$B$10*($B$7-B57)/365),0)</f>
        <v/>
      </c>
      <c r="U57" s="49" t="n">
        <v>43</v>
      </c>
      <c r="V57" s="50">
        <f>EDATE($V$2,-6*(62-$U57))</f>
        <v/>
      </c>
      <c r="W57" s="51">
        <f>IF(AND(V57&gt;$V$3,V57&lt;=$V$2),IF(V57=$V$2,$V$5+100,$V$5),0)</f>
        <v/>
      </c>
      <c r="X57" s="49">
        <f>IF(AND($W57&gt;0,V57&gt;$V$6),1,0)</f>
        <v/>
      </c>
      <c r="Y57" s="49">
        <f>IF(X57=1,SUM($X$15:X57),"")</f>
        <v/>
      </c>
      <c r="Z57" s="51">
        <f>IF(X57=1,$W57/(1+$V$8/2)^(Y57-1),0)</f>
        <v/>
      </c>
      <c r="AA57" s="51">
        <f>IF(X57=1,$W57/(1+($V$8+0.0001)/2)^(Y57-1),0)</f>
        <v/>
      </c>
      <c r="AB57" s="51">
        <f>IF(X57=1,$W57/(1+($V$8-0.0001)/2)^(Y57-1),0)</f>
        <v/>
      </c>
      <c r="AC57" s="49">
        <f>IF(AND($W57&gt;0,V57&gt;$V$7),1,0)</f>
        <v/>
      </c>
      <c r="AD57" s="49">
        <f>IF(AC57=1,SUM($AC$15:AC57),"")</f>
        <v/>
      </c>
      <c r="AE57" s="51">
        <f>IF(AC57=1,$W57/(1+$V$104/2)^(AD57-1),0)</f>
        <v/>
      </c>
      <c r="AF57" s="51">
        <f>IF(AC57=1,$W57/(1+($V$104+0.0001)/2)^(AD57-1),0)</f>
        <v/>
      </c>
      <c r="AG57" s="51">
        <f>IF(AC57=1,$W57/(1+($V$104-0.0001)/2)^(AD57-1),0)</f>
        <v/>
      </c>
      <c r="AH57" s="51">
        <f>IF(AC57=1,$W57/(1+$V$109/2)^(AD57-1),0)</f>
        <v/>
      </c>
      <c r="AI57" s="51">
        <f>IF(AC57=1,$W57/(1+$V$111/2)^(AD57-1),0)</f>
        <v/>
      </c>
      <c r="AJ57" s="51">
        <f>IF(AC57=1,$W57/(1+($V$111+0.0001)/2)^(AD57-1),0)</f>
        <v/>
      </c>
      <c r="AK57" s="51">
        <f>IF(AC57=1,$W57/(1+($V$111-0.0001)/2)^(AD57-1),0)</f>
        <v/>
      </c>
      <c r="AL57" s="51">
        <f>IF(AND($W57&gt;0,V57&gt;$V$6,V57&lt;=$V$7),$W57*(1+$V$10*($V$7-V57)/365),0)</f>
        <v/>
      </c>
      <c r="AO57" s="49" t="n">
        <v>43</v>
      </c>
      <c r="AP57" s="50">
        <f>EDATE($AP$2,-6*(62-$AO57))</f>
        <v/>
      </c>
      <c r="AQ57" s="51">
        <f>IF(AND(AP57&gt;$AP$3,AP57&lt;=$AP$2),IF(AP57=$AP$2,$AP$5+100,$AP$5),0)</f>
        <v/>
      </c>
      <c r="AR57" s="49">
        <f>IF(AND($AQ57&gt;0,AP57&gt;$AP$6),1,0)</f>
        <v/>
      </c>
      <c r="AS57" s="49">
        <f>IF(AR57=1,SUM($AR$15:AR57),"")</f>
        <v/>
      </c>
      <c r="AT57" s="51">
        <f>IF(AR57=1,$AQ57/(1+$AP$8/2)^(AS57-1),0)</f>
        <v/>
      </c>
      <c r="AU57" s="51">
        <f>IF(AR57=1,$AQ57/(1+($AP$8+0.0001)/2)^(AS57-1),0)</f>
        <v/>
      </c>
      <c r="AV57" s="51">
        <f>IF(AR57=1,$AQ57/(1+($AP$8-0.0001)/2)^(AS57-1),0)</f>
        <v/>
      </c>
      <c r="AW57" s="49">
        <f>IF(AND($AQ57&gt;0,AP57&gt;$AP$7),1,0)</f>
        <v/>
      </c>
      <c r="AX57" s="49">
        <f>IF(AW57=1,SUM($AW$15:AW57),"")</f>
        <v/>
      </c>
      <c r="AY57" s="51">
        <f>IF(AW57=1,$AQ57/(1+$AP$104/2)^(AX57-1),0)</f>
        <v/>
      </c>
      <c r="AZ57" s="51">
        <f>IF(AW57=1,$AQ57/(1+($AP$104+0.0001)/2)^(AX57-1),0)</f>
        <v/>
      </c>
      <c r="BA57" s="51">
        <f>IF(AW57=1,$AQ57/(1+($AP$104-0.0001)/2)^(AX57-1),0)</f>
        <v/>
      </c>
      <c r="BB57" s="51">
        <f>IF(AW57=1,$AQ57/(1+$AP$109/2)^(AX57-1),0)</f>
        <v/>
      </c>
      <c r="BC57" s="51">
        <f>IF(AW57=1,$AQ57/(1+$AP$111/2)^(AX57-1),0)</f>
        <v/>
      </c>
      <c r="BD57" s="51">
        <f>IF(AW57=1,$AQ57/(1+($AP$111+0.0001)/2)^(AX57-1),0)</f>
        <v/>
      </c>
      <c r="BE57" s="51">
        <f>IF(AW57=1,$AQ57/(1+($AP$111-0.0001)/2)^(AX57-1),0)</f>
        <v/>
      </c>
      <c r="BF57" s="51">
        <f>IF(AND($AQ57&gt;0,AP57&gt;$AP$6,AP57&lt;=$AP$7),$AQ57*(1+$AP$10*($AP$7-AP57)/365),0)</f>
        <v/>
      </c>
    </row>
    <row r="58">
      <c r="A58" s="49" t="n">
        <v>44</v>
      </c>
      <c r="B58" s="50">
        <f>EDATE($B$2,-6*(62-$A58))</f>
        <v/>
      </c>
      <c r="C58" s="51">
        <f>IF(AND(B58&gt;$B$3,B58&lt;=$B$2),IF(B58=$B$2,$B$5+100,$B$5),0)</f>
        <v/>
      </c>
      <c r="D58" s="49">
        <f>IF(AND($C58&gt;0,B58&gt;$B$6),1,0)</f>
        <v/>
      </c>
      <c r="E58" s="49">
        <f>IF(D58=1,SUM($D$15:D58),"")</f>
        <v/>
      </c>
      <c r="F58" s="51">
        <f>IF(D58=1,$C58/(1+$B$8/2)^(E58-1),0)</f>
        <v/>
      </c>
      <c r="G58" s="51">
        <f>IF(D58=1,$C58/(1+($B$8+0.0001)/2)^(E58-1),0)</f>
        <v/>
      </c>
      <c r="H58" s="51">
        <f>IF(D58=1,$C58/(1+($B$8-0.0001)/2)^(E58-1),0)</f>
        <v/>
      </c>
      <c r="I58" s="49">
        <f>IF(AND($C58&gt;0,B58&gt;$B$7),1,0)</f>
        <v/>
      </c>
      <c r="J58" s="49">
        <f>IF(I58=1,SUM($I$15:I58),"")</f>
        <v/>
      </c>
      <c r="K58" s="51">
        <f>IF(I58=1,$C58/(1+$B$104/2)^(J58-1),0)</f>
        <v/>
      </c>
      <c r="L58" s="51">
        <f>IF(I58=1,$C58/(1+($B$104+0.0001)/2)^(J58-1),0)</f>
        <v/>
      </c>
      <c r="M58" s="51">
        <f>IF(I58=1,$C58/(1+($B$104-0.0001)/2)^(J58-1),0)</f>
        <v/>
      </c>
      <c r="N58" s="51">
        <f>IF(I58=1,$C58/(1+$B$109/2)^(J58-1),0)</f>
        <v/>
      </c>
      <c r="O58" s="51">
        <f>IF(I58=1,$C58/(1+$B$111/2)^(J58-1),0)</f>
        <v/>
      </c>
      <c r="P58" s="51">
        <f>IF(I58=1,$C58/(1+($B$111+0.0001)/2)^(J58-1),0)</f>
        <v/>
      </c>
      <c r="Q58" s="51">
        <f>IF(I58=1,$C58/(1+($B$111-0.0001)/2)^(J58-1),0)</f>
        <v/>
      </c>
      <c r="R58" s="51">
        <f>IF(AND($C58&gt;0,B58&gt;$B$6,B58&lt;=$B$7),$C58*(1+$B$10*($B$7-B58)/365),0)</f>
        <v/>
      </c>
      <c r="U58" s="49" t="n">
        <v>44</v>
      </c>
      <c r="V58" s="50">
        <f>EDATE($V$2,-6*(62-$U58))</f>
        <v/>
      </c>
      <c r="W58" s="51">
        <f>IF(AND(V58&gt;$V$3,V58&lt;=$V$2),IF(V58=$V$2,$V$5+100,$V$5),0)</f>
        <v/>
      </c>
      <c r="X58" s="49">
        <f>IF(AND($W58&gt;0,V58&gt;$V$6),1,0)</f>
        <v/>
      </c>
      <c r="Y58" s="49">
        <f>IF(X58=1,SUM($X$15:X58),"")</f>
        <v/>
      </c>
      <c r="Z58" s="51">
        <f>IF(X58=1,$W58/(1+$V$8/2)^(Y58-1),0)</f>
        <v/>
      </c>
      <c r="AA58" s="51">
        <f>IF(X58=1,$W58/(1+($V$8+0.0001)/2)^(Y58-1),0)</f>
        <v/>
      </c>
      <c r="AB58" s="51">
        <f>IF(X58=1,$W58/(1+($V$8-0.0001)/2)^(Y58-1),0)</f>
        <v/>
      </c>
      <c r="AC58" s="49">
        <f>IF(AND($W58&gt;0,V58&gt;$V$7),1,0)</f>
        <v/>
      </c>
      <c r="AD58" s="49">
        <f>IF(AC58=1,SUM($AC$15:AC58),"")</f>
        <v/>
      </c>
      <c r="AE58" s="51">
        <f>IF(AC58=1,$W58/(1+$V$104/2)^(AD58-1),0)</f>
        <v/>
      </c>
      <c r="AF58" s="51">
        <f>IF(AC58=1,$W58/(1+($V$104+0.0001)/2)^(AD58-1),0)</f>
        <v/>
      </c>
      <c r="AG58" s="51">
        <f>IF(AC58=1,$W58/(1+($V$104-0.0001)/2)^(AD58-1),0)</f>
        <v/>
      </c>
      <c r="AH58" s="51">
        <f>IF(AC58=1,$W58/(1+$V$109/2)^(AD58-1),0)</f>
        <v/>
      </c>
      <c r="AI58" s="51">
        <f>IF(AC58=1,$W58/(1+$V$111/2)^(AD58-1),0)</f>
        <v/>
      </c>
      <c r="AJ58" s="51">
        <f>IF(AC58=1,$W58/(1+($V$111+0.0001)/2)^(AD58-1),0)</f>
        <v/>
      </c>
      <c r="AK58" s="51">
        <f>IF(AC58=1,$W58/(1+($V$111-0.0001)/2)^(AD58-1),0)</f>
        <v/>
      </c>
      <c r="AL58" s="51">
        <f>IF(AND($W58&gt;0,V58&gt;$V$6,V58&lt;=$V$7),$W58*(1+$V$10*($V$7-V58)/365),0)</f>
        <v/>
      </c>
      <c r="AO58" s="49" t="n">
        <v>44</v>
      </c>
      <c r="AP58" s="50">
        <f>EDATE($AP$2,-6*(62-$AO58))</f>
        <v/>
      </c>
      <c r="AQ58" s="51">
        <f>IF(AND(AP58&gt;$AP$3,AP58&lt;=$AP$2),IF(AP58=$AP$2,$AP$5+100,$AP$5),0)</f>
        <v/>
      </c>
      <c r="AR58" s="49">
        <f>IF(AND($AQ58&gt;0,AP58&gt;$AP$6),1,0)</f>
        <v/>
      </c>
      <c r="AS58" s="49">
        <f>IF(AR58=1,SUM($AR$15:AR58),"")</f>
        <v/>
      </c>
      <c r="AT58" s="51">
        <f>IF(AR58=1,$AQ58/(1+$AP$8/2)^(AS58-1),0)</f>
        <v/>
      </c>
      <c r="AU58" s="51">
        <f>IF(AR58=1,$AQ58/(1+($AP$8+0.0001)/2)^(AS58-1),0)</f>
        <v/>
      </c>
      <c r="AV58" s="51">
        <f>IF(AR58=1,$AQ58/(1+($AP$8-0.0001)/2)^(AS58-1),0)</f>
        <v/>
      </c>
      <c r="AW58" s="49">
        <f>IF(AND($AQ58&gt;0,AP58&gt;$AP$7),1,0)</f>
        <v/>
      </c>
      <c r="AX58" s="49">
        <f>IF(AW58=1,SUM($AW$15:AW58),"")</f>
        <v/>
      </c>
      <c r="AY58" s="51">
        <f>IF(AW58=1,$AQ58/(1+$AP$104/2)^(AX58-1),0)</f>
        <v/>
      </c>
      <c r="AZ58" s="51">
        <f>IF(AW58=1,$AQ58/(1+($AP$104+0.0001)/2)^(AX58-1),0)</f>
        <v/>
      </c>
      <c r="BA58" s="51">
        <f>IF(AW58=1,$AQ58/(1+($AP$104-0.0001)/2)^(AX58-1),0)</f>
        <v/>
      </c>
      <c r="BB58" s="51">
        <f>IF(AW58=1,$AQ58/(1+$AP$109/2)^(AX58-1),0)</f>
        <v/>
      </c>
      <c r="BC58" s="51">
        <f>IF(AW58=1,$AQ58/(1+$AP$111/2)^(AX58-1),0)</f>
        <v/>
      </c>
      <c r="BD58" s="51">
        <f>IF(AW58=1,$AQ58/(1+($AP$111+0.0001)/2)^(AX58-1),0)</f>
        <v/>
      </c>
      <c r="BE58" s="51">
        <f>IF(AW58=1,$AQ58/(1+($AP$111-0.0001)/2)^(AX58-1),0)</f>
        <v/>
      </c>
      <c r="BF58" s="51">
        <f>IF(AND($AQ58&gt;0,AP58&gt;$AP$6,AP58&lt;=$AP$7),$AQ58*(1+$AP$10*($AP$7-AP58)/365),0)</f>
        <v/>
      </c>
    </row>
    <row r="59">
      <c r="A59" s="49" t="n">
        <v>45</v>
      </c>
      <c r="B59" s="50">
        <f>EDATE($B$2,-6*(62-$A59))</f>
        <v/>
      </c>
      <c r="C59" s="51">
        <f>IF(AND(B59&gt;$B$3,B59&lt;=$B$2),IF(B59=$B$2,$B$5+100,$B$5),0)</f>
        <v/>
      </c>
      <c r="D59" s="49">
        <f>IF(AND($C59&gt;0,B59&gt;$B$6),1,0)</f>
        <v/>
      </c>
      <c r="E59" s="49">
        <f>IF(D59=1,SUM($D$15:D59),"")</f>
        <v/>
      </c>
      <c r="F59" s="51">
        <f>IF(D59=1,$C59/(1+$B$8/2)^(E59-1),0)</f>
        <v/>
      </c>
      <c r="G59" s="51">
        <f>IF(D59=1,$C59/(1+($B$8+0.0001)/2)^(E59-1),0)</f>
        <v/>
      </c>
      <c r="H59" s="51">
        <f>IF(D59=1,$C59/(1+($B$8-0.0001)/2)^(E59-1),0)</f>
        <v/>
      </c>
      <c r="I59" s="49">
        <f>IF(AND($C59&gt;0,B59&gt;$B$7),1,0)</f>
        <v/>
      </c>
      <c r="J59" s="49">
        <f>IF(I59=1,SUM($I$15:I59),"")</f>
        <v/>
      </c>
      <c r="K59" s="51">
        <f>IF(I59=1,$C59/(1+$B$104/2)^(J59-1),0)</f>
        <v/>
      </c>
      <c r="L59" s="51">
        <f>IF(I59=1,$C59/(1+($B$104+0.0001)/2)^(J59-1),0)</f>
        <v/>
      </c>
      <c r="M59" s="51">
        <f>IF(I59=1,$C59/(1+($B$104-0.0001)/2)^(J59-1),0)</f>
        <v/>
      </c>
      <c r="N59" s="51">
        <f>IF(I59=1,$C59/(1+$B$109/2)^(J59-1),0)</f>
        <v/>
      </c>
      <c r="O59" s="51">
        <f>IF(I59=1,$C59/(1+$B$111/2)^(J59-1),0)</f>
        <v/>
      </c>
      <c r="P59" s="51">
        <f>IF(I59=1,$C59/(1+($B$111+0.0001)/2)^(J59-1),0)</f>
        <v/>
      </c>
      <c r="Q59" s="51">
        <f>IF(I59=1,$C59/(1+($B$111-0.0001)/2)^(J59-1),0)</f>
        <v/>
      </c>
      <c r="R59" s="51">
        <f>IF(AND($C59&gt;0,B59&gt;$B$6,B59&lt;=$B$7),$C59*(1+$B$10*($B$7-B59)/365),0)</f>
        <v/>
      </c>
      <c r="U59" s="49" t="n">
        <v>45</v>
      </c>
      <c r="V59" s="50">
        <f>EDATE($V$2,-6*(62-$U59))</f>
        <v/>
      </c>
      <c r="W59" s="51">
        <f>IF(AND(V59&gt;$V$3,V59&lt;=$V$2),IF(V59=$V$2,$V$5+100,$V$5),0)</f>
        <v/>
      </c>
      <c r="X59" s="49">
        <f>IF(AND($W59&gt;0,V59&gt;$V$6),1,0)</f>
        <v/>
      </c>
      <c r="Y59" s="49">
        <f>IF(X59=1,SUM($X$15:X59),"")</f>
        <v/>
      </c>
      <c r="Z59" s="51">
        <f>IF(X59=1,$W59/(1+$V$8/2)^(Y59-1),0)</f>
        <v/>
      </c>
      <c r="AA59" s="51">
        <f>IF(X59=1,$W59/(1+($V$8+0.0001)/2)^(Y59-1),0)</f>
        <v/>
      </c>
      <c r="AB59" s="51">
        <f>IF(X59=1,$W59/(1+($V$8-0.0001)/2)^(Y59-1),0)</f>
        <v/>
      </c>
      <c r="AC59" s="49">
        <f>IF(AND($W59&gt;0,V59&gt;$V$7),1,0)</f>
        <v/>
      </c>
      <c r="AD59" s="49">
        <f>IF(AC59=1,SUM($AC$15:AC59),"")</f>
        <v/>
      </c>
      <c r="AE59" s="51">
        <f>IF(AC59=1,$W59/(1+$V$104/2)^(AD59-1),0)</f>
        <v/>
      </c>
      <c r="AF59" s="51">
        <f>IF(AC59=1,$W59/(1+($V$104+0.0001)/2)^(AD59-1),0)</f>
        <v/>
      </c>
      <c r="AG59" s="51">
        <f>IF(AC59=1,$W59/(1+($V$104-0.0001)/2)^(AD59-1),0)</f>
        <v/>
      </c>
      <c r="AH59" s="51">
        <f>IF(AC59=1,$W59/(1+$V$109/2)^(AD59-1),0)</f>
        <v/>
      </c>
      <c r="AI59" s="51">
        <f>IF(AC59=1,$W59/(1+$V$111/2)^(AD59-1),0)</f>
        <v/>
      </c>
      <c r="AJ59" s="51">
        <f>IF(AC59=1,$W59/(1+($V$111+0.0001)/2)^(AD59-1),0)</f>
        <v/>
      </c>
      <c r="AK59" s="51">
        <f>IF(AC59=1,$W59/(1+($V$111-0.0001)/2)^(AD59-1),0)</f>
        <v/>
      </c>
      <c r="AL59" s="51">
        <f>IF(AND($W59&gt;0,V59&gt;$V$6,V59&lt;=$V$7),$W59*(1+$V$10*($V$7-V59)/365),0)</f>
        <v/>
      </c>
      <c r="AO59" s="49" t="n">
        <v>45</v>
      </c>
      <c r="AP59" s="50">
        <f>EDATE($AP$2,-6*(62-$AO59))</f>
        <v/>
      </c>
      <c r="AQ59" s="51">
        <f>IF(AND(AP59&gt;$AP$3,AP59&lt;=$AP$2),IF(AP59=$AP$2,$AP$5+100,$AP$5),0)</f>
        <v/>
      </c>
      <c r="AR59" s="49">
        <f>IF(AND($AQ59&gt;0,AP59&gt;$AP$6),1,0)</f>
        <v/>
      </c>
      <c r="AS59" s="49">
        <f>IF(AR59=1,SUM($AR$15:AR59),"")</f>
        <v/>
      </c>
      <c r="AT59" s="51">
        <f>IF(AR59=1,$AQ59/(1+$AP$8/2)^(AS59-1),0)</f>
        <v/>
      </c>
      <c r="AU59" s="51">
        <f>IF(AR59=1,$AQ59/(1+($AP$8+0.0001)/2)^(AS59-1),0)</f>
        <v/>
      </c>
      <c r="AV59" s="51">
        <f>IF(AR59=1,$AQ59/(1+($AP$8-0.0001)/2)^(AS59-1),0)</f>
        <v/>
      </c>
      <c r="AW59" s="49">
        <f>IF(AND($AQ59&gt;0,AP59&gt;$AP$7),1,0)</f>
        <v/>
      </c>
      <c r="AX59" s="49">
        <f>IF(AW59=1,SUM($AW$15:AW59),"")</f>
        <v/>
      </c>
      <c r="AY59" s="51">
        <f>IF(AW59=1,$AQ59/(1+$AP$104/2)^(AX59-1),0)</f>
        <v/>
      </c>
      <c r="AZ59" s="51">
        <f>IF(AW59=1,$AQ59/(1+($AP$104+0.0001)/2)^(AX59-1),0)</f>
        <v/>
      </c>
      <c r="BA59" s="51">
        <f>IF(AW59=1,$AQ59/(1+($AP$104-0.0001)/2)^(AX59-1),0)</f>
        <v/>
      </c>
      <c r="BB59" s="51">
        <f>IF(AW59=1,$AQ59/(1+$AP$109/2)^(AX59-1),0)</f>
        <v/>
      </c>
      <c r="BC59" s="51">
        <f>IF(AW59=1,$AQ59/(1+$AP$111/2)^(AX59-1),0)</f>
        <v/>
      </c>
      <c r="BD59" s="51">
        <f>IF(AW59=1,$AQ59/(1+($AP$111+0.0001)/2)^(AX59-1),0)</f>
        <v/>
      </c>
      <c r="BE59" s="51">
        <f>IF(AW59=1,$AQ59/(1+($AP$111-0.0001)/2)^(AX59-1),0)</f>
        <v/>
      </c>
      <c r="BF59" s="51">
        <f>IF(AND($AQ59&gt;0,AP59&gt;$AP$6,AP59&lt;=$AP$7),$AQ59*(1+$AP$10*($AP$7-AP59)/365),0)</f>
        <v/>
      </c>
    </row>
    <row r="60">
      <c r="A60" s="49" t="n">
        <v>46</v>
      </c>
      <c r="B60" s="50">
        <f>EDATE($B$2,-6*(62-$A60))</f>
        <v/>
      </c>
      <c r="C60" s="51">
        <f>IF(AND(B60&gt;$B$3,B60&lt;=$B$2),IF(B60=$B$2,$B$5+100,$B$5),0)</f>
        <v/>
      </c>
      <c r="D60" s="49">
        <f>IF(AND($C60&gt;0,B60&gt;$B$6),1,0)</f>
        <v/>
      </c>
      <c r="E60" s="49">
        <f>IF(D60=1,SUM($D$15:D60),"")</f>
        <v/>
      </c>
      <c r="F60" s="51">
        <f>IF(D60=1,$C60/(1+$B$8/2)^(E60-1),0)</f>
        <v/>
      </c>
      <c r="G60" s="51">
        <f>IF(D60=1,$C60/(1+($B$8+0.0001)/2)^(E60-1),0)</f>
        <v/>
      </c>
      <c r="H60" s="51">
        <f>IF(D60=1,$C60/(1+($B$8-0.0001)/2)^(E60-1),0)</f>
        <v/>
      </c>
      <c r="I60" s="49">
        <f>IF(AND($C60&gt;0,B60&gt;$B$7),1,0)</f>
        <v/>
      </c>
      <c r="J60" s="49">
        <f>IF(I60=1,SUM($I$15:I60),"")</f>
        <v/>
      </c>
      <c r="K60" s="51">
        <f>IF(I60=1,$C60/(1+$B$104/2)^(J60-1),0)</f>
        <v/>
      </c>
      <c r="L60" s="51">
        <f>IF(I60=1,$C60/(1+($B$104+0.0001)/2)^(J60-1),0)</f>
        <v/>
      </c>
      <c r="M60" s="51">
        <f>IF(I60=1,$C60/(1+($B$104-0.0001)/2)^(J60-1),0)</f>
        <v/>
      </c>
      <c r="N60" s="51">
        <f>IF(I60=1,$C60/(1+$B$109/2)^(J60-1),0)</f>
        <v/>
      </c>
      <c r="O60" s="51">
        <f>IF(I60=1,$C60/(1+$B$111/2)^(J60-1),0)</f>
        <v/>
      </c>
      <c r="P60" s="51">
        <f>IF(I60=1,$C60/(1+($B$111+0.0001)/2)^(J60-1),0)</f>
        <v/>
      </c>
      <c r="Q60" s="51">
        <f>IF(I60=1,$C60/(1+($B$111-0.0001)/2)^(J60-1),0)</f>
        <v/>
      </c>
      <c r="R60" s="51">
        <f>IF(AND($C60&gt;0,B60&gt;$B$6,B60&lt;=$B$7),$C60*(1+$B$10*($B$7-B60)/365),0)</f>
        <v/>
      </c>
      <c r="U60" s="49" t="n">
        <v>46</v>
      </c>
      <c r="V60" s="50">
        <f>EDATE($V$2,-6*(62-$U60))</f>
        <v/>
      </c>
      <c r="W60" s="51">
        <f>IF(AND(V60&gt;$V$3,V60&lt;=$V$2),IF(V60=$V$2,$V$5+100,$V$5),0)</f>
        <v/>
      </c>
      <c r="X60" s="49">
        <f>IF(AND($W60&gt;0,V60&gt;$V$6),1,0)</f>
        <v/>
      </c>
      <c r="Y60" s="49">
        <f>IF(X60=1,SUM($X$15:X60),"")</f>
        <v/>
      </c>
      <c r="Z60" s="51">
        <f>IF(X60=1,$W60/(1+$V$8/2)^(Y60-1),0)</f>
        <v/>
      </c>
      <c r="AA60" s="51">
        <f>IF(X60=1,$W60/(1+($V$8+0.0001)/2)^(Y60-1),0)</f>
        <v/>
      </c>
      <c r="AB60" s="51">
        <f>IF(X60=1,$W60/(1+($V$8-0.0001)/2)^(Y60-1),0)</f>
        <v/>
      </c>
      <c r="AC60" s="49">
        <f>IF(AND($W60&gt;0,V60&gt;$V$7),1,0)</f>
        <v/>
      </c>
      <c r="AD60" s="49">
        <f>IF(AC60=1,SUM($AC$15:AC60),"")</f>
        <v/>
      </c>
      <c r="AE60" s="51">
        <f>IF(AC60=1,$W60/(1+$V$104/2)^(AD60-1),0)</f>
        <v/>
      </c>
      <c r="AF60" s="51">
        <f>IF(AC60=1,$W60/(1+($V$104+0.0001)/2)^(AD60-1),0)</f>
        <v/>
      </c>
      <c r="AG60" s="51">
        <f>IF(AC60=1,$W60/(1+($V$104-0.0001)/2)^(AD60-1),0)</f>
        <v/>
      </c>
      <c r="AH60" s="51">
        <f>IF(AC60=1,$W60/(1+$V$109/2)^(AD60-1),0)</f>
        <v/>
      </c>
      <c r="AI60" s="51">
        <f>IF(AC60=1,$W60/(1+$V$111/2)^(AD60-1),0)</f>
        <v/>
      </c>
      <c r="AJ60" s="51">
        <f>IF(AC60=1,$W60/(1+($V$111+0.0001)/2)^(AD60-1),0)</f>
        <v/>
      </c>
      <c r="AK60" s="51">
        <f>IF(AC60=1,$W60/(1+($V$111-0.0001)/2)^(AD60-1),0)</f>
        <v/>
      </c>
      <c r="AL60" s="51">
        <f>IF(AND($W60&gt;0,V60&gt;$V$6,V60&lt;=$V$7),$W60*(1+$V$10*($V$7-V60)/365),0)</f>
        <v/>
      </c>
      <c r="AO60" s="49" t="n">
        <v>46</v>
      </c>
      <c r="AP60" s="50">
        <f>EDATE($AP$2,-6*(62-$AO60))</f>
        <v/>
      </c>
      <c r="AQ60" s="51">
        <f>IF(AND(AP60&gt;$AP$3,AP60&lt;=$AP$2),IF(AP60=$AP$2,$AP$5+100,$AP$5),0)</f>
        <v/>
      </c>
      <c r="AR60" s="49">
        <f>IF(AND($AQ60&gt;0,AP60&gt;$AP$6),1,0)</f>
        <v/>
      </c>
      <c r="AS60" s="49">
        <f>IF(AR60=1,SUM($AR$15:AR60),"")</f>
        <v/>
      </c>
      <c r="AT60" s="51">
        <f>IF(AR60=1,$AQ60/(1+$AP$8/2)^(AS60-1),0)</f>
        <v/>
      </c>
      <c r="AU60" s="51">
        <f>IF(AR60=1,$AQ60/(1+($AP$8+0.0001)/2)^(AS60-1),0)</f>
        <v/>
      </c>
      <c r="AV60" s="51">
        <f>IF(AR60=1,$AQ60/(1+($AP$8-0.0001)/2)^(AS60-1),0)</f>
        <v/>
      </c>
      <c r="AW60" s="49">
        <f>IF(AND($AQ60&gt;0,AP60&gt;$AP$7),1,0)</f>
        <v/>
      </c>
      <c r="AX60" s="49">
        <f>IF(AW60=1,SUM($AW$15:AW60),"")</f>
        <v/>
      </c>
      <c r="AY60" s="51">
        <f>IF(AW60=1,$AQ60/(1+$AP$104/2)^(AX60-1),0)</f>
        <v/>
      </c>
      <c r="AZ60" s="51">
        <f>IF(AW60=1,$AQ60/(1+($AP$104+0.0001)/2)^(AX60-1),0)</f>
        <v/>
      </c>
      <c r="BA60" s="51">
        <f>IF(AW60=1,$AQ60/(1+($AP$104-0.0001)/2)^(AX60-1),0)</f>
        <v/>
      </c>
      <c r="BB60" s="51">
        <f>IF(AW60=1,$AQ60/(1+$AP$109/2)^(AX60-1),0)</f>
        <v/>
      </c>
      <c r="BC60" s="51">
        <f>IF(AW60=1,$AQ60/(1+$AP$111/2)^(AX60-1),0)</f>
        <v/>
      </c>
      <c r="BD60" s="51">
        <f>IF(AW60=1,$AQ60/(1+($AP$111+0.0001)/2)^(AX60-1),0)</f>
        <v/>
      </c>
      <c r="BE60" s="51">
        <f>IF(AW60=1,$AQ60/(1+($AP$111-0.0001)/2)^(AX60-1),0)</f>
        <v/>
      </c>
      <c r="BF60" s="51">
        <f>IF(AND($AQ60&gt;0,AP60&gt;$AP$6,AP60&lt;=$AP$7),$AQ60*(1+$AP$10*($AP$7-AP60)/365),0)</f>
        <v/>
      </c>
    </row>
    <row r="61">
      <c r="A61" s="49" t="n">
        <v>47</v>
      </c>
      <c r="B61" s="50">
        <f>EDATE($B$2,-6*(62-$A61))</f>
        <v/>
      </c>
      <c r="C61" s="51">
        <f>IF(AND(B61&gt;$B$3,B61&lt;=$B$2),IF(B61=$B$2,$B$5+100,$B$5),0)</f>
        <v/>
      </c>
      <c r="D61" s="49">
        <f>IF(AND($C61&gt;0,B61&gt;$B$6),1,0)</f>
        <v/>
      </c>
      <c r="E61" s="49">
        <f>IF(D61=1,SUM($D$15:D61),"")</f>
        <v/>
      </c>
      <c r="F61" s="51">
        <f>IF(D61=1,$C61/(1+$B$8/2)^(E61-1),0)</f>
        <v/>
      </c>
      <c r="G61" s="51">
        <f>IF(D61=1,$C61/(1+($B$8+0.0001)/2)^(E61-1),0)</f>
        <v/>
      </c>
      <c r="H61" s="51">
        <f>IF(D61=1,$C61/(1+($B$8-0.0001)/2)^(E61-1),0)</f>
        <v/>
      </c>
      <c r="I61" s="49">
        <f>IF(AND($C61&gt;0,B61&gt;$B$7),1,0)</f>
        <v/>
      </c>
      <c r="J61" s="49">
        <f>IF(I61=1,SUM($I$15:I61),"")</f>
        <v/>
      </c>
      <c r="K61" s="51">
        <f>IF(I61=1,$C61/(1+$B$104/2)^(J61-1),0)</f>
        <v/>
      </c>
      <c r="L61" s="51">
        <f>IF(I61=1,$C61/(1+($B$104+0.0001)/2)^(J61-1),0)</f>
        <v/>
      </c>
      <c r="M61" s="51">
        <f>IF(I61=1,$C61/(1+($B$104-0.0001)/2)^(J61-1),0)</f>
        <v/>
      </c>
      <c r="N61" s="51">
        <f>IF(I61=1,$C61/(1+$B$109/2)^(J61-1),0)</f>
        <v/>
      </c>
      <c r="O61" s="51">
        <f>IF(I61=1,$C61/(1+$B$111/2)^(J61-1),0)</f>
        <v/>
      </c>
      <c r="P61" s="51">
        <f>IF(I61=1,$C61/(1+($B$111+0.0001)/2)^(J61-1),0)</f>
        <v/>
      </c>
      <c r="Q61" s="51">
        <f>IF(I61=1,$C61/(1+($B$111-0.0001)/2)^(J61-1),0)</f>
        <v/>
      </c>
      <c r="R61" s="51">
        <f>IF(AND($C61&gt;0,B61&gt;$B$6,B61&lt;=$B$7),$C61*(1+$B$10*($B$7-B61)/365),0)</f>
        <v/>
      </c>
      <c r="U61" s="49" t="n">
        <v>47</v>
      </c>
      <c r="V61" s="50">
        <f>EDATE($V$2,-6*(62-$U61))</f>
        <v/>
      </c>
      <c r="W61" s="51">
        <f>IF(AND(V61&gt;$V$3,V61&lt;=$V$2),IF(V61=$V$2,$V$5+100,$V$5),0)</f>
        <v/>
      </c>
      <c r="X61" s="49">
        <f>IF(AND($W61&gt;0,V61&gt;$V$6),1,0)</f>
        <v/>
      </c>
      <c r="Y61" s="49">
        <f>IF(X61=1,SUM($X$15:X61),"")</f>
        <v/>
      </c>
      <c r="Z61" s="51">
        <f>IF(X61=1,$W61/(1+$V$8/2)^(Y61-1),0)</f>
        <v/>
      </c>
      <c r="AA61" s="51">
        <f>IF(X61=1,$W61/(1+($V$8+0.0001)/2)^(Y61-1),0)</f>
        <v/>
      </c>
      <c r="AB61" s="51">
        <f>IF(X61=1,$W61/(1+($V$8-0.0001)/2)^(Y61-1),0)</f>
        <v/>
      </c>
      <c r="AC61" s="49">
        <f>IF(AND($W61&gt;0,V61&gt;$V$7),1,0)</f>
        <v/>
      </c>
      <c r="AD61" s="49">
        <f>IF(AC61=1,SUM($AC$15:AC61),"")</f>
        <v/>
      </c>
      <c r="AE61" s="51">
        <f>IF(AC61=1,$W61/(1+$V$104/2)^(AD61-1),0)</f>
        <v/>
      </c>
      <c r="AF61" s="51">
        <f>IF(AC61=1,$W61/(1+($V$104+0.0001)/2)^(AD61-1),0)</f>
        <v/>
      </c>
      <c r="AG61" s="51">
        <f>IF(AC61=1,$W61/(1+($V$104-0.0001)/2)^(AD61-1),0)</f>
        <v/>
      </c>
      <c r="AH61" s="51">
        <f>IF(AC61=1,$W61/(1+$V$109/2)^(AD61-1),0)</f>
        <v/>
      </c>
      <c r="AI61" s="51">
        <f>IF(AC61=1,$W61/(1+$V$111/2)^(AD61-1),0)</f>
        <v/>
      </c>
      <c r="AJ61" s="51">
        <f>IF(AC61=1,$W61/(1+($V$111+0.0001)/2)^(AD61-1),0)</f>
        <v/>
      </c>
      <c r="AK61" s="51">
        <f>IF(AC61=1,$W61/(1+($V$111-0.0001)/2)^(AD61-1),0)</f>
        <v/>
      </c>
      <c r="AL61" s="51">
        <f>IF(AND($W61&gt;0,V61&gt;$V$6,V61&lt;=$V$7),$W61*(1+$V$10*($V$7-V61)/365),0)</f>
        <v/>
      </c>
      <c r="AO61" s="49" t="n">
        <v>47</v>
      </c>
      <c r="AP61" s="50">
        <f>EDATE($AP$2,-6*(62-$AO61))</f>
        <v/>
      </c>
      <c r="AQ61" s="51">
        <f>IF(AND(AP61&gt;$AP$3,AP61&lt;=$AP$2),IF(AP61=$AP$2,$AP$5+100,$AP$5),0)</f>
        <v/>
      </c>
      <c r="AR61" s="49">
        <f>IF(AND($AQ61&gt;0,AP61&gt;$AP$6),1,0)</f>
        <v/>
      </c>
      <c r="AS61" s="49">
        <f>IF(AR61=1,SUM($AR$15:AR61),"")</f>
        <v/>
      </c>
      <c r="AT61" s="51">
        <f>IF(AR61=1,$AQ61/(1+$AP$8/2)^(AS61-1),0)</f>
        <v/>
      </c>
      <c r="AU61" s="51">
        <f>IF(AR61=1,$AQ61/(1+($AP$8+0.0001)/2)^(AS61-1),0)</f>
        <v/>
      </c>
      <c r="AV61" s="51">
        <f>IF(AR61=1,$AQ61/(1+($AP$8-0.0001)/2)^(AS61-1),0)</f>
        <v/>
      </c>
      <c r="AW61" s="49">
        <f>IF(AND($AQ61&gt;0,AP61&gt;$AP$7),1,0)</f>
        <v/>
      </c>
      <c r="AX61" s="49">
        <f>IF(AW61=1,SUM($AW$15:AW61),"")</f>
        <v/>
      </c>
      <c r="AY61" s="51">
        <f>IF(AW61=1,$AQ61/(1+$AP$104/2)^(AX61-1),0)</f>
        <v/>
      </c>
      <c r="AZ61" s="51">
        <f>IF(AW61=1,$AQ61/(1+($AP$104+0.0001)/2)^(AX61-1),0)</f>
        <v/>
      </c>
      <c r="BA61" s="51">
        <f>IF(AW61=1,$AQ61/(1+($AP$104-0.0001)/2)^(AX61-1),0)</f>
        <v/>
      </c>
      <c r="BB61" s="51">
        <f>IF(AW61=1,$AQ61/(1+$AP$109/2)^(AX61-1),0)</f>
        <v/>
      </c>
      <c r="BC61" s="51">
        <f>IF(AW61=1,$AQ61/(1+$AP$111/2)^(AX61-1),0)</f>
        <v/>
      </c>
      <c r="BD61" s="51">
        <f>IF(AW61=1,$AQ61/(1+($AP$111+0.0001)/2)^(AX61-1),0)</f>
        <v/>
      </c>
      <c r="BE61" s="51">
        <f>IF(AW61=1,$AQ61/(1+($AP$111-0.0001)/2)^(AX61-1),0)</f>
        <v/>
      </c>
      <c r="BF61" s="51">
        <f>IF(AND($AQ61&gt;0,AP61&gt;$AP$6,AP61&lt;=$AP$7),$AQ61*(1+$AP$10*($AP$7-AP61)/365),0)</f>
        <v/>
      </c>
    </row>
    <row r="62">
      <c r="A62" s="49" t="n">
        <v>48</v>
      </c>
      <c r="B62" s="50">
        <f>EDATE($B$2,-6*(62-$A62))</f>
        <v/>
      </c>
      <c r="C62" s="51">
        <f>IF(AND(B62&gt;$B$3,B62&lt;=$B$2),IF(B62=$B$2,$B$5+100,$B$5),0)</f>
        <v/>
      </c>
      <c r="D62" s="49">
        <f>IF(AND($C62&gt;0,B62&gt;$B$6),1,0)</f>
        <v/>
      </c>
      <c r="E62" s="49">
        <f>IF(D62=1,SUM($D$15:D62),"")</f>
        <v/>
      </c>
      <c r="F62" s="51">
        <f>IF(D62=1,$C62/(1+$B$8/2)^(E62-1),0)</f>
        <v/>
      </c>
      <c r="G62" s="51">
        <f>IF(D62=1,$C62/(1+($B$8+0.0001)/2)^(E62-1),0)</f>
        <v/>
      </c>
      <c r="H62" s="51">
        <f>IF(D62=1,$C62/(1+($B$8-0.0001)/2)^(E62-1),0)</f>
        <v/>
      </c>
      <c r="I62" s="49">
        <f>IF(AND($C62&gt;0,B62&gt;$B$7),1,0)</f>
        <v/>
      </c>
      <c r="J62" s="49">
        <f>IF(I62=1,SUM($I$15:I62),"")</f>
        <v/>
      </c>
      <c r="K62" s="51">
        <f>IF(I62=1,$C62/(1+$B$104/2)^(J62-1),0)</f>
        <v/>
      </c>
      <c r="L62" s="51">
        <f>IF(I62=1,$C62/(1+($B$104+0.0001)/2)^(J62-1),0)</f>
        <v/>
      </c>
      <c r="M62" s="51">
        <f>IF(I62=1,$C62/(1+($B$104-0.0001)/2)^(J62-1),0)</f>
        <v/>
      </c>
      <c r="N62" s="51">
        <f>IF(I62=1,$C62/(1+$B$109/2)^(J62-1),0)</f>
        <v/>
      </c>
      <c r="O62" s="51">
        <f>IF(I62=1,$C62/(1+$B$111/2)^(J62-1),0)</f>
        <v/>
      </c>
      <c r="P62" s="51">
        <f>IF(I62=1,$C62/(1+($B$111+0.0001)/2)^(J62-1),0)</f>
        <v/>
      </c>
      <c r="Q62" s="51">
        <f>IF(I62=1,$C62/(1+($B$111-0.0001)/2)^(J62-1),0)</f>
        <v/>
      </c>
      <c r="R62" s="51">
        <f>IF(AND($C62&gt;0,B62&gt;$B$6,B62&lt;=$B$7),$C62*(1+$B$10*($B$7-B62)/365),0)</f>
        <v/>
      </c>
      <c r="U62" s="49" t="n">
        <v>48</v>
      </c>
      <c r="V62" s="50">
        <f>EDATE($V$2,-6*(62-$U62))</f>
        <v/>
      </c>
      <c r="W62" s="51">
        <f>IF(AND(V62&gt;$V$3,V62&lt;=$V$2),IF(V62=$V$2,$V$5+100,$V$5),0)</f>
        <v/>
      </c>
      <c r="X62" s="49">
        <f>IF(AND($W62&gt;0,V62&gt;$V$6),1,0)</f>
        <v/>
      </c>
      <c r="Y62" s="49">
        <f>IF(X62=1,SUM($X$15:X62),"")</f>
        <v/>
      </c>
      <c r="Z62" s="51">
        <f>IF(X62=1,$W62/(1+$V$8/2)^(Y62-1),0)</f>
        <v/>
      </c>
      <c r="AA62" s="51">
        <f>IF(X62=1,$W62/(1+($V$8+0.0001)/2)^(Y62-1),0)</f>
        <v/>
      </c>
      <c r="AB62" s="51">
        <f>IF(X62=1,$W62/(1+($V$8-0.0001)/2)^(Y62-1),0)</f>
        <v/>
      </c>
      <c r="AC62" s="49">
        <f>IF(AND($W62&gt;0,V62&gt;$V$7),1,0)</f>
        <v/>
      </c>
      <c r="AD62" s="49">
        <f>IF(AC62=1,SUM($AC$15:AC62),"")</f>
        <v/>
      </c>
      <c r="AE62" s="51">
        <f>IF(AC62=1,$W62/(1+$V$104/2)^(AD62-1),0)</f>
        <v/>
      </c>
      <c r="AF62" s="51">
        <f>IF(AC62=1,$W62/(1+($V$104+0.0001)/2)^(AD62-1),0)</f>
        <v/>
      </c>
      <c r="AG62" s="51">
        <f>IF(AC62=1,$W62/(1+($V$104-0.0001)/2)^(AD62-1),0)</f>
        <v/>
      </c>
      <c r="AH62" s="51">
        <f>IF(AC62=1,$W62/(1+$V$109/2)^(AD62-1),0)</f>
        <v/>
      </c>
      <c r="AI62" s="51">
        <f>IF(AC62=1,$W62/(1+$V$111/2)^(AD62-1),0)</f>
        <v/>
      </c>
      <c r="AJ62" s="51">
        <f>IF(AC62=1,$W62/(1+($V$111+0.0001)/2)^(AD62-1),0)</f>
        <v/>
      </c>
      <c r="AK62" s="51">
        <f>IF(AC62=1,$W62/(1+($V$111-0.0001)/2)^(AD62-1),0)</f>
        <v/>
      </c>
      <c r="AL62" s="51">
        <f>IF(AND($W62&gt;0,V62&gt;$V$6,V62&lt;=$V$7),$W62*(1+$V$10*($V$7-V62)/365),0)</f>
        <v/>
      </c>
      <c r="AO62" s="49" t="n">
        <v>48</v>
      </c>
      <c r="AP62" s="50">
        <f>EDATE($AP$2,-6*(62-$AO62))</f>
        <v/>
      </c>
      <c r="AQ62" s="51">
        <f>IF(AND(AP62&gt;$AP$3,AP62&lt;=$AP$2),IF(AP62=$AP$2,$AP$5+100,$AP$5),0)</f>
        <v/>
      </c>
      <c r="AR62" s="49">
        <f>IF(AND($AQ62&gt;0,AP62&gt;$AP$6),1,0)</f>
        <v/>
      </c>
      <c r="AS62" s="49">
        <f>IF(AR62=1,SUM($AR$15:AR62),"")</f>
        <v/>
      </c>
      <c r="AT62" s="51">
        <f>IF(AR62=1,$AQ62/(1+$AP$8/2)^(AS62-1),0)</f>
        <v/>
      </c>
      <c r="AU62" s="51">
        <f>IF(AR62=1,$AQ62/(1+($AP$8+0.0001)/2)^(AS62-1),0)</f>
        <v/>
      </c>
      <c r="AV62" s="51">
        <f>IF(AR62=1,$AQ62/(1+($AP$8-0.0001)/2)^(AS62-1),0)</f>
        <v/>
      </c>
      <c r="AW62" s="49">
        <f>IF(AND($AQ62&gt;0,AP62&gt;$AP$7),1,0)</f>
        <v/>
      </c>
      <c r="AX62" s="49">
        <f>IF(AW62=1,SUM($AW$15:AW62),"")</f>
        <v/>
      </c>
      <c r="AY62" s="51">
        <f>IF(AW62=1,$AQ62/(1+$AP$104/2)^(AX62-1),0)</f>
        <v/>
      </c>
      <c r="AZ62" s="51">
        <f>IF(AW62=1,$AQ62/(1+($AP$104+0.0001)/2)^(AX62-1),0)</f>
        <v/>
      </c>
      <c r="BA62" s="51">
        <f>IF(AW62=1,$AQ62/(1+($AP$104-0.0001)/2)^(AX62-1),0)</f>
        <v/>
      </c>
      <c r="BB62" s="51">
        <f>IF(AW62=1,$AQ62/(1+$AP$109/2)^(AX62-1),0)</f>
        <v/>
      </c>
      <c r="BC62" s="51">
        <f>IF(AW62=1,$AQ62/(1+$AP$111/2)^(AX62-1),0)</f>
        <v/>
      </c>
      <c r="BD62" s="51">
        <f>IF(AW62=1,$AQ62/(1+($AP$111+0.0001)/2)^(AX62-1),0)</f>
        <v/>
      </c>
      <c r="BE62" s="51">
        <f>IF(AW62=1,$AQ62/(1+($AP$111-0.0001)/2)^(AX62-1),0)</f>
        <v/>
      </c>
      <c r="BF62" s="51">
        <f>IF(AND($AQ62&gt;0,AP62&gt;$AP$6,AP62&lt;=$AP$7),$AQ62*(1+$AP$10*($AP$7-AP62)/365),0)</f>
        <v/>
      </c>
    </row>
    <row r="63">
      <c r="A63" s="49" t="n">
        <v>49</v>
      </c>
      <c r="B63" s="50">
        <f>EDATE($B$2,-6*(62-$A63))</f>
        <v/>
      </c>
      <c r="C63" s="51">
        <f>IF(AND(B63&gt;$B$3,B63&lt;=$B$2),IF(B63=$B$2,$B$5+100,$B$5),0)</f>
        <v/>
      </c>
      <c r="D63" s="49">
        <f>IF(AND($C63&gt;0,B63&gt;$B$6),1,0)</f>
        <v/>
      </c>
      <c r="E63" s="49">
        <f>IF(D63=1,SUM($D$15:D63),"")</f>
        <v/>
      </c>
      <c r="F63" s="51">
        <f>IF(D63=1,$C63/(1+$B$8/2)^(E63-1),0)</f>
        <v/>
      </c>
      <c r="G63" s="51">
        <f>IF(D63=1,$C63/(1+($B$8+0.0001)/2)^(E63-1),0)</f>
        <v/>
      </c>
      <c r="H63" s="51">
        <f>IF(D63=1,$C63/(1+($B$8-0.0001)/2)^(E63-1),0)</f>
        <v/>
      </c>
      <c r="I63" s="49">
        <f>IF(AND($C63&gt;0,B63&gt;$B$7),1,0)</f>
        <v/>
      </c>
      <c r="J63" s="49">
        <f>IF(I63=1,SUM($I$15:I63),"")</f>
        <v/>
      </c>
      <c r="K63" s="51">
        <f>IF(I63=1,$C63/(1+$B$104/2)^(J63-1),0)</f>
        <v/>
      </c>
      <c r="L63" s="51">
        <f>IF(I63=1,$C63/(1+($B$104+0.0001)/2)^(J63-1),0)</f>
        <v/>
      </c>
      <c r="M63" s="51">
        <f>IF(I63=1,$C63/(1+($B$104-0.0001)/2)^(J63-1),0)</f>
        <v/>
      </c>
      <c r="N63" s="51">
        <f>IF(I63=1,$C63/(1+$B$109/2)^(J63-1),0)</f>
        <v/>
      </c>
      <c r="O63" s="51">
        <f>IF(I63=1,$C63/(1+$B$111/2)^(J63-1),0)</f>
        <v/>
      </c>
      <c r="P63" s="51">
        <f>IF(I63=1,$C63/(1+($B$111+0.0001)/2)^(J63-1),0)</f>
        <v/>
      </c>
      <c r="Q63" s="51">
        <f>IF(I63=1,$C63/(1+($B$111-0.0001)/2)^(J63-1),0)</f>
        <v/>
      </c>
      <c r="R63" s="51">
        <f>IF(AND($C63&gt;0,B63&gt;$B$6,B63&lt;=$B$7),$C63*(1+$B$10*($B$7-B63)/365),0)</f>
        <v/>
      </c>
      <c r="U63" s="49" t="n">
        <v>49</v>
      </c>
      <c r="V63" s="50">
        <f>EDATE($V$2,-6*(62-$U63))</f>
        <v/>
      </c>
      <c r="W63" s="51">
        <f>IF(AND(V63&gt;$V$3,V63&lt;=$V$2),IF(V63=$V$2,$V$5+100,$V$5),0)</f>
        <v/>
      </c>
      <c r="X63" s="49">
        <f>IF(AND($W63&gt;0,V63&gt;$V$6),1,0)</f>
        <v/>
      </c>
      <c r="Y63" s="49">
        <f>IF(X63=1,SUM($X$15:X63),"")</f>
        <v/>
      </c>
      <c r="Z63" s="51">
        <f>IF(X63=1,$W63/(1+$V$8/2)^(Y63-1),0)</f>
        <v/>
      </c>
      <c r="AA63" s="51">
        <f>IF(X63=1,$W63/(1+($V$8+0.0001)/2)^(Y63-1),0)</f>
        <v/>
      </c>
      <c r="AB63" s="51">
        <f>IF(X63=1,$W63/(1+($V$8-0.0001)/2)^(Y63-1),0)</f>
        <v/>
      </c>
      <c r="AC63" s="49">
        <f>IF(AND($W63&gt;0,V63&gt;$V$7),1,0)</f>
        <v/>
      </c>
      <c r="AD63" s="49">
        <f>IF(AC63=1,SUM($AC$15:AC63),"")</f>
        <v/>
      </c>
      <c r="AE63" s="51">
        <f>IF(AC63=1,$W63/(1+$V$104/2)^(AD63-1),0)</f>
        <v/>
      </c>
      <c r="AF63" s="51">
        <f>IF(AC63=1,$W63/(1+($V$104+0.0001)/2)^(AD63-1),0)</f>
        <v/>
      </c>
      <c r="AG63" s="51">
        <f>IF(AC63=1,$W63/(1+($V$104-0.0001)/2)^(AD63-1),0)</f>
        <v/>
      </c>
      <c r="AH63" s="51">
        <f>IF(AC63=1,$W63/(1+$V$109/2)^(AD63-1),0)</f>
        <v/>
      </c>
      <c r="AI63" s="51">
        <f>IF(AC63=1,$W63/(1+$V$111/2)^(AD63-1),0)</f>
        <v/>
      </c>
      <c r="AJ63" s="51">
        <f>IF(AC63=1,$W63/(1+($V$111+0.0001)/2)^(AD63-1),0)</f>
        <v/>
      </c>
      <c r="AK63" s="51">
        <f>IF(AC63=1,$W63/(1+($V$111-0.0001)/2)^(AD63-1),0)</f>
        <v/>
      </c>
      <c r="AL63" s="51">
        <f>IF(AND($W63&gt;0,V63&gt;$V$6,V63&lt;=$V$7),$W63*(1+$V$10*($V$7-V63)/365),0)</f>
        <v/>
      </c>
      <c r="AO63" s="49" t="n">
        <v>49</v>
      </c>
      <c r="AP63" s="50">
        <f>EDATE($AP$2,-6*(62-$AO63))</f>
        <v/>
      </c>
      <c r="AQ63" s="51">
        <f>IF(AND(AP63&gt;$AP$3,AP63&lt;=$AP$2),IF(AP63=$AP$2,$AP$5+100,$AP$5),0)</f>
        <v/>
      </c>
      <c r="AR63" s="49">
        <f>IF(AND($AQ63&gt;0,AP63&gt;$AP$6),1,0)</f>
        <v/>
      </c>
      <c r="AS63" s="49">
        <f>IF(AR63=1,SUM($AR$15:AR63),"")</f>
        <v/>
      </c>
      <c r="AT63" s="51">
        <f>IF(AR63=1,$AQ63/(1+$AP$8/2)^(AS63-1),0)</f>
        <v/>
      </c>
      <c r="AU63" s="51">
        <f>IF(AR63=1,$AQ63/(1+($AP$8+0.0001)/2)^(AS63-1),0)</f>
        <v/>
      </c>
      <c r="AV63" s="51">
        <f>IF(AR63=1,$AQ63/(1+($AP$8-0.0001)/2)^(AS63-1),0)</f>
        <v/>
      </c>
      <c r="AW63" s="49">
        <f>IF(AND($AQ63&gt;0,AP63&gt;$AP$7),1,0)</f>
        <v/>
      </c>
      <c r="AX63" s="49">
        <f>IF(AW63=1,SUM($AW$15:AW63),"")</f>
        <v/>
      </c>
      <c r="AY63" s="51">
        <f>IF(AW63=1,$AQ63/(1+$AP$104/2)^(AX63-1),0)</f>
        <v/>
      </c>
      <c r="AZ63" s="51">
        <f>IF(AW63=1,$AQ63/(1+($AP$104+0.0001)/2)^(AX63-1),0)</f>
        <v/>
      </c>
      <c r="BA63" s="51">
        <f>IF(AW63=1,$AQ63/(1+($AP$104-0.0001)/2)^(AX63-1),0)</f>
        <v/>
      </c>
      <c r="BB63" s="51">
        <f>IF(AW63=1,$AQ63/(1+$AP$109/2)^(AX63-1),0)</f>
        <v/>
      </c>
      <c r="BC63" s="51">
        <f>IF(AW63=1,$AQ63/(1+$AP$111/2)^(AX63-1),0)</f>
        <v/>
      </c>
      <c r="BD63" s="51">
        <f>IF(AW63=1,$AQ63/(1+($AP$111+0.0001)/2)^(AX63-1),0)</f>
        <v/>
      </c>
      <c r="BE63" s="51">
        <f>IF(AW63=1,$AQ63/(1+($AP$111-0.0001)/2)^(AX63-1),0)</f>
        <v/>
      </c>
      <c r="BF63" s="51">
        <f>IF(AND($AQ63&gt;0,AP63&gt;$AP$6,AP63&lt;=$AP$7),$AQ63*(1+$AP$10*($AP$7-AP63)/365),0)</f>
        <v/>
      </c>
    </row>
    <row r="64">
      <c r="A64" s="49" t="n">
        <v>50</v>
      </c>
      <c r="B64" s="50">
        <f>EDATE($B$2,-6*(62-$A64))</f>
        <v/>
      </c>
      <c r="C64" s="51">
        <f>IF(AND(B64&gt;$B$3,B64&lt;=$B$2),IF(B64=$B$2,$B$5+100,$B$5),0)</f>
        <v/>
      </c>
      <c r="D64" s="49">
        <f>IF(AND($C64&gt;0,B64&gt;$B$6),1,0)</f>
        <v/>
      </c>
      <c r="E64" s="49">
        <f>IF(D64=1,SUM($D$15:D64),"")</f>
        <v/>
      </c>
      <c r="F64" s="51">
        <f>IF(D64=1,$C64/(1+$B$8/2)^(E64-1),0)</f>
        <v/>
      </c>
      <c r="G64" s="51">
        <f>IF(D64=1,$C64/(1+($B$8+0.0001)/2)^(E64-1),0)</f>
        <v/>
      </c>
      <c r="H64" s="51">
        <f>IF(D64=1,$C64/(1+($B$8-0.0001)/2)^(E64-1),0)</f>
        <v/>
      </c>
      <c r="I64" s="49">
        <f>IF(AND($C64&gt;0,B64&gt;$B$7),1,0)</f>
        <v/>
      </c>
      <c r="J64" s="49">
        <f>IF(I64=1,SUM($I$15:I64),"")</f>
        <v/>
      </c>
      <c r="K64" s="51">
        <f>IF(I64=1,$C64/(1+$B$104/2)^(J64-1),0)</f>
        <v/>
      </c>
      <c r="L64" s="51">
        <f>IF(I64=1,$C64/(1+($B$104+0.0001)/2)^(J64-1),0)</f>
        <v/>
      </c>
      <c r="M64" s="51">
        <f>IF(I64=1,$C64/(1+($B$104-0.0001)/2)^(J64-1),0)</f>
        <v/>
      </c>
      <c r="N64" s="51">
        <f>IF(I64=1,$C64/(1+$B$109/2)^(J64-1),0)</f>
        <v/>
      </c>
      <c r="O64" s="51">
        <f>IF(I64=1,$C64/(1+$B$111/2)^(J64-1),0)</f>
        <v/>
      </c>
      <c r="P64" s="51">
        <f>IF(I64=1,$C64/(1+($B$111+0.0001)/2)^(J64-1),0)</f>
        <v/>
      </c>
      <c r="Q64" s="51">
        <f>IF(I64=1,$C64/(1+($B$111-0.0001)/2)^(J64-1),0)</f>
        <v/>
      </c>
      <c r="R64" s="51">
        <f>IF(AND($C64&gt;0,B64&gt;$B$6,B64&lt;=$B$7),$C64*(1+$B$10*($B$7-B64)/365),0)</f>
        <v/>
      </c>
      <c r="U64" s="49" t="n">
        <v>50</v>
      </c>
      <c r="V64" s="50">
        <f>EDATE($V$2,-6*(62-$U64))</f>
        <v/>
      </c>
      <c r="W64" s="51">
        <f>IF(AND(V64&gt;$V$3,V64&lt;=$V$2),IF(V64=$V$2,$V$5+100,$V$5),0)</f>
        <v/>
      </c>
      <c r="X64" s="49">
        <f>IF(AND($W64&gt;0,V64&gt;$V$6),1,0)</f>
        <v/>
      </c>
      <c r="Y64" s="49">
        <f>IF(X64=1,SUM($X$15:X64),"")</f>
        <v/>
      </c>
      <c r="Z64" s="51">
        <f>IF(X64=1,$W64/(1+$V$8/2)^(Y64-1),0)</f>
        <v/>
      </c>
      <c r="AA64" s="51">
        <f>IF(X64=1,$W64/(1+($V$8+0.0001)/2)^(Y64-1),0)</f>
        <v/>
      </c>
      <c r="AB64" s="51">
        <f>IF(X64=1,$W64/(1+($V$8-0.0001)/2)^(Y64-1),0)</f>
        <v/>
      </c>
      <c r="AC64" s="49">
        <f>IF(AND($W64&gt;0,V64&gt;$V$7),1,0)</f>
        <v/>
      </c>
      <c r="AD64" s="49">
        <f>IF(AC64=1,SUM($AC$15:AC64),"")</f>
        <v/>
      </c>
      <c r="AE64" s="51">
        <f>IF(AC64=1,$W64/(1+$V$104/2)^(AD64-1),0)</f>
        <v/>
      </c>
      <c r="AF64" s="51">
        <f>IF(AC64=1,$W64/(1+($V$104+0.0001)/2)^(AD64-1),0)</f>
        <v/>
      </c>
      <c r="AG64" s="51">
        <f>IF(AC64=1,$W64/(1+($V$104-0.0001)/2)^(AD64-1),0)</f>
        <v/>
      </c>
      <c r="AH64" s="51">
        <f>IF(AC64=1,$W64/(1+$V$109/2)^(AD64-1),0)</f>
        <v/>
      </c>
      <c r="AI64" s="51">
        <f>IF(AC64=1,$W64/(1+$V$111/2)^(AD64-1),0)</f>
        <v/>
      </c>
      <c r="AJ64" s="51">
        <f>IF(AC64=1,$W64/(1+($V$111+0.0001)/2)^(AD64-1),0)</f>
        <v/>
      </c>
      <c r="AK64" s="51">
        <f>IF(AC64=1,$W64/(1+($V$111-0.0001)/2)^(AD64-1),0)</f>
        <v/>
      </c>
      <c r="AL64" s="51">
        <f>IF(AND($W64&gt;0,V64&gt;$V$6,V64&lt;=$V$7),$W64*(1+$V$10*($V$7-V64)/365),0)</f>
        <v/>
      </c>
      <c r="AO64" s="49" t="n">
        <v>50</v>
      </c>
      <c r="AP64" s="50">
        <f>EDATE($AP$2,-6*(62-$AO64))</f>
        <v/>
      </c>
      <c r="AQ64" s="51">
        <f>IF(AND(AP64&gt;$AP$3,AP64&lt;=$AP$2),IF(AP64=$AP$2,$AP$5+100,$AP$5),0)</f>
        <v/>
      </c>
      <c r="AR64" s="49">
        <f>IF(AND($AQ64&gt;0,AP64&gt;$AP$6),1,0)</f>
        <v/>
      </c>
      <c r="AS64" s="49">
        <f>IF(AR64=1,SUM($AR$15:AR64),"")</f>
        <v/>
      </c>
      <c r="AT64" s="51">
        <f>IF(AR64=1,$AQ64/(1+$AP$8/2)^(AS64-1),0)</f>
        <v/>
      </c>
      <c r="AU64" s="51">
        <f>IF(AR64=1,$AQ64/(1+($AP$8+0.0001)/2)^(AS64-1),0)</f>
        <v/>
      </c>
      <c r="AV64" s="51">
        <f>IF(AR64=1,$AQ64/(1+($AP$8-0.0001)/2)^(AS64-1),0)</f>
        <v/>
      </c>
      <c r="AW64" s="49">
        <f>IF(AND($AQ64&gt;0,AP64&gt;$AP$7),1,0)</f>
        <v/>
      </c>
      <c r="AX64" s="49">
        <f>IF(AW64=1,SUM($AW$15:AW64),"")</f>
        <v/>
      </c>
      <c r="AY64" s="51">
        <f>IF(AW64=1,$AQ64/(1+$AP$104/2)^(AX64-1),0)</f>
        <v/>
      </c>
      <c r="AZ64" s="51">
        <f>IF(AW64=1,$AQ64/(1+($AP$104+0.0001)/2)^(AX64-1),0)</f>
        <v/>
      </c>
      <c r="BA64" s="51">
        <f>IF(AW64=1,$AQ64/(1+($AP$104-0.0001)/2)^(AX64-1),0)</f>
        <v/>
      </c>
      <c r="BB64" s="51">
        <f>IF(AW64=1,$AQ64/(1+$AP$109/2)^(AX64-1),0)</f>
        <v/>
      </c>
      <c r="BC64" s="51">
        <f>IF(AW64=1,$AQ64/(1+$AP$111/2)^(AX64-1),0)</f>
        <v/>
      </c>
      <c r="BD64" s="51">
        <f>IF(AW64=1,$AQ64/(1+($AP$111+0.0001)/2)^(AX64-1),0)</f>
        <v/>
      </c>
      <c r="BE64" s="51">
        <f>IF(AW64=1,$AQ64/(1+($AP$111-0.0001)/2)^(AX64-1),0)</f>
        <v/>
      </c>
      <c r="BF64" s="51">
        <f>IF(AND($AQ64&gt;0,AP64&gt;$AP$6,AP64&lt;=$AP$7),$AQ64*(1+$AP$10*($AP$7-AP64)/365),0)</f>
        <v/>
      </c>
    </row>
    <row r="65">
      <c r="A65" s="49" t="n">
        <v>51</v>
      </c>
      <c r="B65" s="50">
        <f>EDATE($B$2,-6*(62-$A65))</f>
        <v/>
      </c>
      <c r="C65" s="51">
        <f>IF(AND(B65&gt;$B$3,B65&lt;=$B$2),IF(B65=$B$2,$B$5+100,$B$5),0)</f>
        <v/>
      </c>
      <c r="D65" s="49">
        <f>IF(AND($C65&gt;0,B65&gt;$B$6),1,0)</f>
        <v/>
      </c>
      <c r="E65" s="49">
        <f>IF(D65=1,SUM($D$15:D65),"")</f>
        <v/>
      </c>
      <c r="F65" s="51">
        <f>IF(D65=1,$C65/(1+$B$8/2)^(E65-1),0)</f>
        <v/>
      </c>
      <c r="G65" s="51">
        <f>IF(D65=1,$C65/(1+($B$8+0.0001)/2)^(E65-1),0)</f>
        <v/>
      </c>
      <c r="H65" s="51">
        <f>IF(D65=1,$C65/(1+($B$8-0.0001)/2)^(E65-1),0)</f>
        <v/>
      </c>
      <c r="I65" s="49">
        <f>IF(AND($C65&gt;0,B65&gt;$B$7),1,0)</f>
        <v/>
      </c>
      <c r="J65" s="49">
        <f>IF(I65=1,SUM($I$15:I65),"")</f>
        <v/>
      </c>
      <c r="K65" s="51">
        <f>IF(I65=1,$C65/(1+$B$104/2)^(J65-1),0)</f>
        <v/>
      </c>
      <c r="L65" s="51">
        <f>IF(I65=1,$C65/(1+($B$104+0.0001)/2)^(J65-1),0)</f>
        <v/>
      </c>
      <c r="M65" s="51">
        <f>IF(I65=1,$C65/(1+($B$104-0.0001)/2)^(J65-1),0)</f>
        <v/>
      </c>
      <c r="N65" s="51">
        <f>IF(I65=1,$C65/(1+$B$109/2)^(J65-1),0)</f>
        <v/>
      </c>
      <c r="O65" s="51">
        <f>IF(I65=1,$C65/(1+$B$111/2)^(J65-1),0)</f>
        <v/>
      </c>
      <c r="P65" s="51">
        <f>IF(I65=1,$C65/(1+($B$111+0.0001)/2)^(J65-1),0)</f>
        <v/>
      </c>
      <c r="Q65" s="51">
        <f>IF(I65=1,$C65/(1+($B$111-0.0001)/2)^(J65-1),0)</f>
        <v/>
      </c>
      <c r="R65" s="51">
        <f>IF(AND($C65&gt;0,B65&gt;$B$6,B65&lt;=$B$7),$C65*(1+$B$10*($B$7-B65)/365),0)</f>
        <v/>
      </c>
      <c r="U65" s="49" t="n">
        <v>51</v>
      </c>
      <c r="V65" s="50">
        <f>EDATE($V$2,-6*(62-$U65))</f>
        <v/>
      </c>
      <c r="W65" s="51">
        <f>IF(AND(V65&gt;$V$3,V65&lt;=$V$2),IF(V65=$V$2,$V$5+100,$V$5),0)</f>
        <v/>
      </c>
      <c r="X65" s="49">
        <f>IF(AND($W65&gt;0,V65&gt;$V$6),1,0)</f>
        <v/>
      </c>
      <c r="Y65" s="49">
        <f>IF(X65=1,SUM($X$15:X65),"")</f>
        <v/>
      </c>
      <c r="Z65" s="51">
        <f>IF(X65=1,$W65/(1+$V$8/2)^(Y65-1),0)</f>
        <v/>
      </c>
      <c r="AA65" s="51">
        <f>IF(X65=1,$W65/(1+($V$8+0.0001)/2)^(Y65-1),0)</f>
        <v/>
      </c>
      <c r="AB65" s="51">
        <f>IF(X65=1,$W65/(1+($V$8-0.0001)/2)^(Y65-1),0)</f>
        <v/>
      </c>
      <c r="AC65" s="49">
        <f>IF(AND($W65&gt;0,V65&gt;$V$7),1,0)</f>
        <v/>
      </c>
      <c r="AD65" s="49">
        <f>IF(AC65=1,SUM($AC$15:AC65),"")</f>
        <v/>
      </c>
      <c r="AE65" s="51">
        <f>IF(AC65=1,$W65/(1+$V$104/2)^(AD65-1),0)</f>
        <v/>
      </c>
      <c r="AF65" s="51">
        <f>IF(AC65=1,$W65/(1+($V$104+0.0001)/2)^(AD65-1),0)</f>
        <v/>
      </c>
      <c r="AG65" s="51">
        <f>IF(AC65=1,$W65/(1+($V$104-0.0001)/2)^(AD65-1),0)</f>
        <v/>
      </c>
      <c r="AH65" s="51">
        <f>IF(AC65=1,$W65/(1+$V$109/2)^(AD65-1),0)</f>
        <v/>
      </c>
      <c r="AI65" s="51">
        <f>IF(AC65=1,$W65/(1+$V$111/2)^(AD65-1),0)</f>
        <v/>
      </c>
      <c r="AJ65" s="51">
        <f>IF(AC65=1,$W65/(1+($V$111+0.0001)/2)^(AD65-1),0)</f>
        <v/>
      </c>
      <c r="AK65" s="51">
        <f>IF(AC65=1,$W65/(1+($V$111-0.0001)/2)^(AD65-1),0)</f>
        <v/>
      </c>
      <c r="AL65" s="51">
        <f>IF(AND($W65&gt;0,V65&gt;$V$6,V65&lt;=$V$7),$W65*(1+$V$10*($V$7-V65)/365),0)</f>
        <v/>
      </c>
      <c r="AO65" s="49" t="n">
        <v>51</v>
      </c>
      <c r="AP65" s="50">
        <f>EDATE($AP$2,-6*(62-$AO65))</f>
        <v/>
      </c>
      <c r="AQ65" s="51">
        <f>IF(AND(AP65&gt;$AP$3,AP65&lt;=$AP$2),IF(AP65=$AP$2,$AP$5+100,$AP$5),0)</f>
        <v/>
      </c>
      <c r="AR65" s="49">
        <f>IF(AND($AQ65&gt;0,AP65&gt;$AP$6),1,0)</f>
        <v/>
      </c>
      <c r="AS65" s="49">
        <f>IF(AR65=1,SUM($AR$15:AR65),"")</f>
        <v/>
      </c>
      <c r="AT65" s="51">
        <f>IF(AR65=1,$AQ65/(1+$AP$8/2)^(AS65-1),0)</f>
        <v/>
      </c>
      <c r="AU65" s="51">
        <f>IF(AR65=1,$AQ65/(1+($AP$8+0.0001)/2)^(AS65-1),0)</f>
        <v/>
      </c>
      <c r="AV65" s="51">
        <f>IF(AR65=1,$AQ65/(1+($AP$8-0.0001)/2)^(AS65-1),0)</f>
        <v/>
      </c>
      <c r="AW65" s="49">
        <f>IF(AND($AQ65&gt;0,AP65&gt;$AP$7),1,0)</f>
        <v/>
      </c>
      <c r="AX65" s="49">
        <f>IF(AW65=1,SUM($AW$15:AW65),"")</f>
        <v/>
      </c>
      <c r="AY65" s="51">
        <f>IF(AW65=1,$AQ65/(1+$AP$104/2)^(AX65-1),0)</f>
        <v/>
      </c>
      <c r="AZ65" s="51">
        <f>IF(AW65=1,$AQ65/(1+($AP$104+0.0001)/2)^(AX65-1),0)</f>
        <v/>
      </c>
      <c r="BA65" s="51">
        <f>IF(AW65=1,$AQ65/(1+($AP$104-0.0001)/2)^(AX65-1),0)</f>
        <v/>
      </c>
      <c r="BB65" s="51">
        <f>IF(AW65=1,$AQ65/(1+$AP$109/2)^(AX65-1),0)</f>
        <v/>
      </c>
      <c r="BC65" s="51">
        <f>IF(AW65=1,$AQ65/(1+$AP$111/2)^(AX65-1),0)</f>
        <v/>
      </c>
      <c r="BD65" s="51">
        <f>IF(AW65=1,$AQ65/(1+($AP$111+0.0001)/2)^(AX65-1),0)</f>
        <v/>
      </c>
      <c r="BE65" s="51">
        <f>IF(AW65=1,$AQ65/(1+($AP$111-0.0001)/2)^(AX65-1),0)</f>
        <v/>
      </c>
      <c r="BF65" s="51">
        <f>IF(AND($AQ65&gt;0,AP65&gt;$AP$6,AP65&lt;=$AP$7),$AQ65*(1+$AP$10*($AP$7-AP65)/365),0)</f>
        <v/>
      </c>
    </row>
    <row r="66">
      <c r="A66" s="49" t="n">
        <v>52</v>
      </c>
      <c r="B66" s="50">
        <f>EDATE($B$2,-6*(62-$A66))</f>
        <v/>
      </c>
      <c r="C66" s="51">
        <f>IF(AND(B66&gt;$B$3,B66&lt;=$B$2),IF(B66=$B$2,$B$5+100,$B$5),0)</f>
        <v/>
      </c>
      <c r="D66" s="49">
        <f>IF(AND($C66&gt;0,B66&gt;$B$6),1,0)</f>
        <v/>
      </c>
      <c r="E66" s="49">
        <f>IF(D66=1,SUM($D$15:D66),"")</f>
        <v/>
      </c>
      <c r="F66" s="51">
        <f>IF(D66=1,$C66/(1+$B$8/2)^(E66-1),0)</f>
        <v/>
      </c>
      <c r="G66" s="51">
        <f>IF(D66=1,$C66/(1+($B$8+0.0001)/2)^(E66-1),0)</f>
        <v/>
      </c>
      <c r="H66" s="51">
        <f>IF(D66=1,$C66/(1+($B$8-0.0001)/2)^(E66-1),0)</f>
        <v/>
      </c>
      <c r="I66" s="49">
        <f>IF(AND($C66&gt;0,B66&gt;$B$7),1,0)</f>
        <v/>
      </c>
      <c r="J66" s="49">
        <f>IF(I66=1,SUM($I$15:I66),"")</f>
        <v/>
      </c>
      <c r="K66" s="51">
        <f>IF(I66=1,$C66/(1+$B$104/2)^(J66-1),0)</f>
        <v/>
      </c>
      <c r="L66" s="51">
        <f>IF(I66=1,$C66/(1+($B$104+0.0001)/2)^(J66-1),0)</f>
        <v/>
      </c>
      <c r="M66" s="51">
        <f>IF(I66=1,$C66/(1+($B$104-0.0001)/2)^(J66-1),0)</f>
        <v/>
      </c>
      <c r="N66" s="51">
        <f>IF(I66=1,$C66/(1+$B$109/2)^(J66-1),0)</f>
        <v/>
      </c>
      <c r="O66" s="51">
        <f>IF(I66=1,$C66/(1+$B$111/2)^(J66-1),0)</f>
        <v/>
      </c>
      <c r="P66" s="51">
        <f>IF(I66=1,$C66/(1+($B$111+0.0001)/2)^(J66-1),0)</f>
        <v/>
      </c>
      <c r="Q66" s="51">
        <f>IF(I66=1,$C66/(1+($B$111-0.0001)/2)^(J66-1),0)</f>
        <v/>
      </c>
      <c r="R66" s="51">
        <f>IF(AND($C66&gt;0,B66&gt;$B$6,B66&lt;=$B$7),$C66*(1+$B$10*($B$7-B66)/365),0)</f>
        <v/>
      </c>
      <c r="U66" s="49" t="n">
        <v>52</v>
      </c>
      <c r="V66" s="50">
        <f>EDATE($V$2,-6*(62-$U66))</f>
        <v/>
      </c>
      <c r="W66" s="51">
        <f>IF(AND(V66&gt;$V$3,V66&lt;=$V$2),IF(V66=$V$2,$V$5+100,$V$5),0)</f>
        <v/>
      </c>
      <c r="X66" s="49">
        <f>IF(AND($W66&gt;0,V66&gt;$V$6),1,0)</f>
        <v/>
      </c>
      <c r="Y66" s="49">
        <f>IF(X66=1,SUM($X$15:X66),"")</f>
        <v/>
      </c>
      <c r="Z66" s="51">
        <f>IF(X66=1,$W66/(1+$V$8/2)^(Y66-1),0)</f>
        <v/>
      </c>
      <c r="AA66" s="51">
        <f>IF(X66=1,$W66/(1+($V$8+0.0001)/2)^(Y66-1),0)</f>
        <v/>
      </c>
      <c r="AB66" s="51">
        <f>IF(X66=1,$W66/(1+($V$8-0.0001)/2)^(Y66-1),0)</f>
        <v/>
      </c>
      <c r="AC66" s="49">
        <f>IF(AND($W66&gt;0,V66&gt;$V$7),1,0)</f>
        <v/>
      </c>
      <c r="AD66" s="49">
        <f>IF(AC66=1,SUM($AC$15:AC66),"")</f>
        <v/>
      </c>
      <c r="AE66" s="51">
        <f>IF(AC66=1,$W66/(1+$V$104/2)^(AD66-1),0)</f>
        <v/>
      </c>
      <c r="AF66" s="51">
        <f>IF(AC66=1,$W66/(1+($V$104+0.0001)/2)^(AD66-1),0)</f>
        <v/>
      </c>
      <c r="AG66" s="51">
        <f>IF(AC66=1,$W66/(1+($V$104-0.0001)/2)^(AD66-1),0)</f>
        <v/>
      </c>
      <c r="AH66" s="51">
        <f>IF(AC66=1,$W66/(1+$V$109/2)^(AD66-1),0)</f>
        <v/>
      </c>
      <c r="AI66" s="51">
        <f>IF(AC66=1,$W66/(1+$V$111/2)^(AD66-1),0)</f>
        <v/>
      </c>
      <c r="AJ66" s="51">
        <f>IF(AC66=1,$W66/(1+($V$111+0.0001)/2)^(AD66-1),0)</f>
        <v/>
      </c>
      <c r="AK66" s="51">
        <f>IF(AC66=1,$W66/(1+($V$111-0.0001)/2)^(AD66-1),0)</f>
        <v/>
      </c>
      <c r="AL66" s="51">
        <f>IF(AND($W66&gt;0,V66&gt;$V$6,V66&lt;=$V$7),$W66*(1+$V$10*($V$7-V66)/365),0)</f>
        <v/>
      </c>
      <c r="AO66" s="49" t="n">
        <v>52</v>
      </c>
      <c r="AP66" s="50">
        <f>EDATE($AP$2,-6*(62-$AO66))</f>
        <v/>
      </c>
      <c r="AQ66" s="51">
        <f>IF(AND(AP66&gt;$AP$3,AP66&lt;=$AP$2),IF(AP66=$AP$2,$AP$5+100,$AP$5),0)</f>
        <v/>
      </c>
      <c r="AR66" s="49">
        <f>IF(AND($AQ66&gt;0,AP66&gt;$AP$6),1,0)</f>
        <v/>
      </c>
      <c r="AS66" s="49">
        <f>IF(AR66=1,SUM($AR$15:AR66),"")</f>
        <v/>
      </c>
      <c r="AT66" s="51">
        <f>IF(AR66=1,$AQ66/(1+$AP$8/2)^(AS66-1),0)</f>
        <v/>
      </c>
      <c r="AU66" s="51">
        <f>IF(AR66=1,$AQ66/(1+($AP$8+0.0001)/2)^(AS66-1),0)</f>
        <v/>
      </c>
      <c r="AV66" s="51">
        <f>IF(AR66=1,$AQ66/(1+($AP$8-0.0001)/2)^(AS66-1),0)</f>
        <v/>
      </c>
      <c r="AW66" s="49">
        <f>IF(AND($AQ66&gt;0,AP66&gt;$AP$7),1,0)</f>
        <v/>
      </c>
      <c r="AX66" s="49">
        <f>IF(AW66=1,SUM($AW$15:AW66),"")</f>
        <v/>
      </c>
      <c r="AY66" s="51">
        <f>IF(AW66=1,$AQ66/(1+$AP$104/2)^(AX66-1),0)</f>
        <v/>
      </c>
      <c r="AZ66" s="51">
        <f>IF(AW66=1,$AQ66/(1+($AP$104+0.0001)/2)^(AX66-1),0)</f>
        <v/>
      </c>
      <c r="BA66" s="51">
        <f>IF(AW66=1,$AQ66/(1+($AP$104-0.0001)/2)^(AX66-1),0)</f>
        <v/>
      </c>
      <c r="BB66" s="51">
        <f>IF(AW66=1,$AQ66/(1+$AP$109/2)^(AX66-1),0)</f>
        <v/>
      </c>
      <c r="BC66" s="51">
        <f>IF(AW66=1,$AQ66/(1+$AP$111/2)^(AX66-1),0)</f>
        <v/>
      </c>
      <c r="BD66" s="51">
        <f>IF(AW66=1,$AQ66/(1+($AP$111+0.0001)/2)^(AX66-1),0)</f>
        <v/>
      </c>
      <c r="BE66" s="51">
        <f>IF(AW66=1,$AQ66/(1+($AP$111-0.0001)/2)^(AX66-1),0)</f>
        <v/>
      </c>
      <c r="BF66" s="51">
        <f>IF(AND($AQ66&gt;0,AP66&gt;$AP$6,AP66&lt;=$AP$7),$AQ66*(1+$AP$10*($AP$7-AP66)/365),0)</f>
        <v/>
      </c>
    </row>
    <row r="67">
      <c r="A67" s="49" t="n">
        <v>53</v>
      </c>
      <c r="B67" s="50">
        <f>EDATE($B$2,-6*(62-$A67))</f>
        <v/>
      </c>
      <c r="C67" s="51">
        <f>IF(AND(B67&gt;$B$3,B67&lt;=$B$2),IF(B67=$B$2,$B$5+100,$B$5),0)</f>
        <v/>
      </c>
      <c r="D67" s="49">
        <f>IF(AND($C67&gt;0,B67&gt;$B$6),1,0)</f>
        <v/>
      </c>
      <c r="E67" s="49">
        <f>IF(D67=1,SUM($D$15:D67),"")</f>
        <v/>
      </c>
      <c r="F67" s="51">
        <f>IF(D67=1,$C67/(1+$B$8/2)^(E67-1),0)</f>
        <v/>
      </c>
      <c r="G67" s="51">
        <f>IF(D67=1,$C67/(1+($B$8+0.0001)/2)^(E67-1),0)</f>
        <v/>
      </c>
      <c r="H67" s="51">
        <f>IF(D67=1,$C67/(1+($B$8-0.0001)/2)^(E67-1),0)</f>
        <v/>
      </c>
      <c r="I67" s="49">
        <f>IF(AND($C67&gt;0,B67&gt;$B$7),1,0)</f>
        <v/>
      </c>
      <c r="J67" s="49">
        <f>IF(I67=1,SUM($I$15:I67),"")</f>
        <v/>
      </c>
      <c r="K67" s="51">
        <f>IF(I67=1,$C67/(1+$B$104/2)^(J67-1),0)</f>
        <v/>
      </c>
      <c r="L67" s="51">
        <f>IF(I67=1,$C67/(1+($B$104+0.0001)/2)^(J67-1),0)</f>
        <v/>
      </c>
      <c r="M67" s="51">
        <f>IF(I67=1,$C67/(1+($B$104-0.0001)/2)^(J67-1),0)</f>
        <v/>
      </c>
      <c r="N67" s="51">
        <f>IF(I67=1,$C67/(1+$B$109/2)^(J67-1),0)</f>
        <v/>
      </c>
      <c r="O67" s="51">
        <f>IF(I67=1,$C67/(1+$B$111/2)^(J67-1),0)</f>
        <v/>
      </c>
      <c r="P67" s="51">
        <f>IF(I67=1,$C67/(1+($B$111+0.0001)/2)^(J67-1),0)</f>
        <v/>
      </c>
      <c r="Q67" s="51">
        <f>IF(I67=1,$C67/(1+($B$111-0.0001)/2)^(J67-1),0)</f>
        <v/>
      </c>
      <c r="R67" s="51">
        <f>IF(AND($C67&gt;0,B67&gt;$B$6,B67&lt;=$B$7),$C67*(1+$B$10*($B$7-B67)/365),0)</f>
        <v/>
      </c>
      <c r="U67" s="49" t="n">
        <v>53</v>
      </c>
      <c r="V67" s="50">
        <f>EDATE($V$2,-6*(62-$U67))</f>
        <v/>
      </c>
      <c r="W67" s="51">
        <f>IF(AND(V67&gt;$V$3,V67&lt;=$V$2),IF(V67=$V$2,$V$5+100,$V$5),0)</f>
        <v/>
      </c>
      <c r="X67" s="49">
        <f>IF(AND($W67&gt;0,V67&gt;$V$6),1,0)</f>
        <v/>
      </c>
      <c r="Y67" s="49">
        <f>IF(X67=1,SUM($X$15:X67),"")</f>
        <v/>
      </c>
      <c r="Z67" s="51">
        <f>IF(X67=1,$W67/(1+$V$8/2)^(Y67-1),0)</f>
        <v/>
      </c>
      <c r="AA67" s="51">
        <f>IF(X67=1,$W67/(1+($V$8+0.0001)/2)^(Y67-1),0)</f>
        <v/>
      </c>
      <c r="AB67" s="51">
        <f>IF(X67=1,$W67/(1+($V$8-0.0001)/2)^(Y67-1),0)</f>
        <v/>
      </c>
      <c r="AC67" s="49">
        <f>IF(AND($W67&gt;0,V67&gt;$V$7),1,0)</f>
        <v/>
      </c>
      <c r="AD67" s="49">
        <f>IF(AC67=1,SUM($AC$15:AC67),"")</f>
        <v/>
      </c>
      <c r="AE67" s="51">
        <f>IF(AC67=1,$W67/(1+$V$104/2)^(AD67-1),0)</f>
        <v/>
      </c>
      <c r="AF67" s="51">
        <f>IF(AC67=1,$W67/(1+($V$104+0.0001)/2)^(AD67-1),0)</f>
        <v/>
      </c>
      <c r="AG67" s="51">
        <f>IF(AC67=1,$W67/(1+($V$104-0.0001)/2)^(AD67-1),0)</f>
        <v/>
      </c>
      <c r="AH67" s="51">
        <f>IF(AC67=1,$W67/(1+$V$109/2)^(AD67-1),0)</f>
        <v/>
      </c>
      <c r="AI67" s="51">
        <f>IF(AC67=1,$W67/(1+$V$111/2)^(AD67-1),0)</f>
        <v/>
      </c>
      <c r="AJ67" s="51">
        <f>IF(AC67=1,$W67/(1+($V$111+0.0001)/2)^(AD67-1),0)</f>
        <v/>
      </c>
      <c r="AK67" s="51">
        <f>IF(AC67=1,$W67/(1+($V$111-0.0001)/2)^(AD67-1),0)</f>
        <v/>
      </c>
      <c r="AL67" s="51">
        <f>IF(AND($W67&gt;0,V67&gt;$V$6,V67&lt;=$V$7),$W67*(1+$V$10*($V$7-V67)/365),0)</f>
        <v/>
      </c>
      <c r="AO67" s="49" t="n">
        <v>53</v>
      </c>
      <c r="AP67" s="50">
        <f>EDATE($AP$2,-6*(62-$AO67))</f>
        <v/>
      </c>
      <c r="AQ67" s="51">
        <f>IF(AND(AP67&gt;$AP$3,AP67&lt;=$AP$2),IF(AP67=$AP$2,$AP$5+100,$AP$5),0)</f>
        <v/>
      </c>
      <c r="AR67" s="49">
        <f>IF(AND($AQ67&gt;0,AP67&gt;$AP$6),1,0)</f>
        <v/>
      </c>
      <c r="AS67" s="49">
        <f>IF(AR67=1,SUM($AR$15:AR67),"")</f>
        <v/>
      </c>
      <c r="AT67" s="51">
        <f>IF(AR67=1,$AQ67/(1+$AP$8/2)^(AS67-1),0)</f>
        <v/>
      </c>
      <c r="AU67" s="51">
        <f>IF(AR67=1,$AQ67/(1+($AP$8+0.0001)/2)^(AS67-1),0)</f>
        <v/>
      </c>
      <c r="AV67" s="51">
        <f>IF(AR67=1,$AQ67/(1+($AP$8-0.0001)/2)^(AS67-1),0)</f>
        <v/>
      </c>
      <c r="AW67" s="49">
        <f>IF(AND($AQ67&gt;0,AP67&gt;$AP$7),1,0)</f>
        <v/>
      </c>
      <c r="AX67" s="49">
        <f>IF(AW67=1,SUM($AW$15:AW67),"")</f>
        <v/>
      </c>
      <c r="AY67" s="51">
        <f>IF(AW67=1,$AQ67/(1+$AP$104/2)^(AX67-1),0)</f>
        <v/>
      </c>
      <c r="AZ67" s="51">
        <f>IF(AW67=1,$AQ67/(1+($AP$104+0.0001)/2)^(AX67-1),0)</f>
        <v/>
      </c>
      <c r="BA67" s="51">
        <f>IF(AW67=1,$AQ67/(1+($AP$104-0.0001)/2)^(AX67-1),0)</f>
        <v/>
      </c>
      <c r="BB67" s="51">
        <f>IF(AW67=1,$AQ67/(1+$AP$109/2)^(AX67-1),0)</f>
        <v/>
      </c>
      <c r="BC67" s="51">
        <f>IF(AW67=1,$AQ67/(1+$AP$111/2)^(AX67-1),0)</f>
        <v/>
      </c>
      <c r="BD67" s="51">
        <f>IF(AW67=1,$AQ67/(1+($AP$111+0.0001)/2)^(AX67-1),0)</f>
        <v/>
      </c>
      <c r="BE67" s="51">
        <f>IF(AW67=1,$AQ67/(1+($AP$111-0.0001)/2)^(AX67-1),0)</f>
        <v/>
      </c>
      <c r="BF67" s="51">
        <f>IF(AND($AQ67&gt;0,AP67&gt;$AP$6,AP67&lt;=$AP$7),$AQ67*(1+$AP$10*($AP$7-AP67)/365),0)</f>
        <v/>
      </c>
    </row>
    <row r="68">
      <c r="A68" s="49" t="n">
        <v>54</v>
      </c>
      <c r="B68" s="50">
        <f>EDATE($B$2,-6*(62-$A68))</f>
        <v/>
      </c>
      <c r="C68" s="51">
        <f>IF(AND(B68&gt;$B$3,B68&lt;=$B$2),IF(B68=$B$2,$B$5+100,$B$5),0)</f>
        <v/>
      </c>
      <c r="D68" s="49">
        <f>IF(AND($C68&gt;0,B68&gt;$B$6),1,0)</f>
        <v/>
      </c>
      <c r="E68" s="49">
        <f>IF(D68=1,SUM($D$15:D68),"")</f>
        <v/>
      </c>
      <c r="F68" s="51">
        <f>IF(D68=1,$C68/(1+$B$8/2)^(E68-1),0)</f>
        <v/>
      </c>
      <c r="G68" s="51">
        <f>IF(D68=1,$C68/(1+($B$8+0.0001)/2)^(E68-1),0)</f>
        <v/>
      </c>
      <c r="H68" s="51">
        <f>IF(D68=1,$C68/(1+($B$8-0.0001)/2)^(E68-1),0)</f>
        <v/>
      </c>
      <c r="I68" s="49">
        <f>IF(AND($C68&gt;0,B68&gt;$B$7),1,0)</f>
        <v/>
      </c>
      <c r="J68" s="49">
        <f>IF(I68=1,SUM($I$15:I68),"")</f>
        <v/>
      </c>
      <c r="K68" s="51">
        <f>IF(I68=1,$C68/(1+$B$104/2)^(J68-1),0)</f>
        <v/>
      </c>
      <c r="L68" s="51">
        <f>IF(I68=1,$C68/(1+($B$104+0.0001)/2)^(J68-1),0)</f>
        <v/>
      </c>
      <c r="M68" s="51">
        <f>IF(I68=1,$C68/(1+($B$104-0.0001)/2)^(J68-1),0)</f>
        <v/>
      </c>
      <c r="N68" s="51">
        <f>IF(I68=1,$C68/(1+$B$109/2)^(J68-1),0)</f>
        <v/>
      </c>
      <c r="O68" s="51">
        <f>IF(I68=1,$C68/(1+$B$111/2)^(J68-1),0)</f>
        <v/>
      </c>
      <c r="P68" s="51">
        <f>IF(I68=1,$C68/(1+($B$111+0.0001)/2)^(J68-1),0)</f>
        <v/>
      </c>
      <c r="Q68" s="51">
        <f>IF(I68=1,$C68/(1+($B$111-0.0001)/2)^(J68-1),0)</f>
        <v/>
      </c>
      <c r="R68" s="51">
        <f>IF(AND($C68&gt;0,B68&gt;$B$6,B68&lt;=$B$7),$C68*(1+$B$10*($B$7-B68)/365),0)</f>
        <v/>
      </c>
      <c r="U68" s="49" t="n">
        <v>54</v>
      </c>
      <c r="V68" s="50">
        <f>EDATE($V$2,-6*(62-$U68))</f>
        <v/>
      </c>
      <c r="W68" s="51">
        <f>IF(AND(V68&gt;$V$3,V68&lt;=$V$2),IF(V68=$V$2,$V$5+100,$V$5),0)</f>
        <v/>
      </c>
      <c r="X68" s="49">
        <f>IF(AND($W68&gt;0,V68&gt;$V$6),1,0)</f>
        <v/>
      </c>
      <c r="Y68" s="49">
        <f>IF(X68=1,SUM($X$15:X68),"")</f>
        <v/>
      </c>
      <c r="Z68" s="51">
        <f>IF(X68=1,$W68/(1+$V$8/2)^(Y68-1),0)</f>
        <v/>
      </c>
      <c r="AA68" s="51">
        <f>IF(X68=1,$W68/(1+($V$8+0.0001)/2)^(Y68-1),0)</f>
        <v/>
      </c>
      <c r="AB68" s="51">
        <f>IF(X68=1,$W68/(1+($V$8-0.0001)/2)^(Y68-1),0)</f>
        <v/>
      </c>
      <c r="AC68" s="49">
        <f>IF(AND($W68&gt;0,V68&gt;$V$7),1,0)</f>
        <v/>
      </c>
      <c r="AD68" s="49">
        <f>IF(AC68=1,SUM($AC$15:AC68),"")</f>
        <v/>
      </c>
      <c r="AE68" s="51">
        <f>IF(AC68=1,$W68/(1+$V$104/2)^(AD68-1),0)</f>
        <v/>
      </c>
      <c r="AF68" s="51">
        <f>IF(AC68=1,$W68/(1+($V$104+0.0001)/2)^(AD68-1),0)</f>
        <v/>
      </c>
      <c r="AG68" s="51">
        <f>IF(AC68=1,$W68/(1+($V$104-0.0001)/2)^(AD68-1),0)</f>
        <v/>
      </c>
      <c r="AH68" s="51">
        <f>IF(AC68=1,$W68/(1+$V$109/2)^(AD68-1),0)</f>
        <v/>
      </c>
      <c r="AI68" s="51">
        <f>IF(AC68=1,$W68/(1+$V$111/2)^(AD68-1),0)</f>
        <v/>
      </c>
      <c r="AJ68" s="51">
        <f>IF(AC68=1,$W68/(1+($V$111+0.0001)/2)^(AD68-1),0)</f>
        <v/>
      </c>
      <c r="AK68" s="51">
        <f>IF(AC68=1,$W68/(1+($V$111-0.0001)/2)^(AD68-1),0)</f>
        <v/>
      </c>
      <c r="AL68" s="51">
        <f>IF(AND($W68&gt;0,V68&gt;$V$6,V68&lt;=$V$7),$W68*(1+$V$10*($V$7-V68)/365),0)</f>
        <v/>
      </c>
      <c r="AO68" s="49" t="n">
        <v>54</v>
      </c>
      <c r="AP68" s="50">
        <f>EDATE($AP$2,-6*(62-$AO68))</f>
        <v/>
      </c>
      <c r="AQ68" s="51">
        <f>IF(AND(AP68&gt;$AP$3,AP68&lt;=$AP$2),IF(AP68=$AP$2,$AP$5+100,$AP$5),0)</f>
        <v/>
      </c>
      <c r="AR68" s="49">
        <f>IF(AND($AQ68&gt;0,AP68&gt;$AP$6),1,0)</f>
        <v/>
      </c>
      <c r="AS68" s="49">
        <f>IF(AR68=1,SUM($AR$15:AR68),"")</f>
        <v/>
      </c>
      <c r="AT68" s="51">
        <f>IF(AR68=1,$AQ68/(1+$AP$8/2)^(AS68-1),0)</f>
        <v/>
      </c>
      <c r="AU68" s="51">
        <f>IF(AR68=1,$AQ68/(1+($AP$8+0.0001)/2)^(AS68-1),0)</f>
        <v/>
      </c>
      <c r="AV68" s="51">
        <f>IF(AR68=1,$AQ68/(1+($AP$8-0.0001)/2)^(AS68-1),0)</f>
        <v/>
      </c>
      <c r="AW68" s="49">
        <f>IF(AND($AQ68&gt;0,AP68&gt;$AP$7),1,0)</f>
        <v/>
      </c>
      <c r="AX68" s="49">
        <f>IF(AW68=1,SUM($AW$15:AW68),"")</f>
        <v/>
      </c>
      <c r="AY68" s="51">
        <f>IF(AW68=1,$AQ68/(1+$AP$104/2)^(AX68-1),0)</f>
        <v/>
      </c>
      <c r="AZ68" s="51">
        <f>IF(AW68=1,$AQ68/(1+($AP$104+0.0001)/2)^(AX68-1),0)</f>
        <v/>
      </c>
      <c r="BA68" s="51">
        <f>IF(AW68=1,$AQ68/(1+($AP$104-0.0001)/2)^(AX68-1),0)</f>
        <v/>
      </c>
      <c r="BB68" s="51">
        <f>IF(AW68=1,$AQ68/(1+$AP$109/2)^(AX68-1),0)</f>
        <v/>
      </c>
      <c r="BC68" s="51">
        <f>IF(AW68=1,$AQ68/(1+$AP$111/2)^(AX68-1),0)</f>
        <v/>
      </c>
      <c r="BD68" s="51">
        <f>IF(AW68=1,$AQ68/(1+($AP$111+0.0001)/2)^(AX68-1),0)</f>
        <v/>
      </c>
      <c r="BE68" s="51">
        <f>IF(AW68=1,$AQ68/(1+($AP$111-0.0001)/2)^(AX68-1),0)</f>
        <v/>
      </c>
      <c r="BF68" s="51">
        <f>IF(AND($AQ68&gt;0,AP68&gt;$AP$6,AP68&lt;=$AP$7),$AQ68*(1+$AP$10*($AP$7-AP68)/365),0)</f>
        <v/>
      </c>
    </row>
    <row r="69">
      <c r="A69" s="49" t="n">
        <v>55</v>
      </c>
      <c r="B69" s="50">
        <f>EDATE($B$2,-6*(62-$A69))</f>
        <v/>
      </c>
      <c r="C69" s="51">
        <f>IF(AND(B69&gt;$B$3,B69&lt;=$B$2),IF(B69=$B$2,$B$5+100,$B$5),0)</f>
        <v/>
      </c>
      <c r="D69" s="49">
        <f>IF(AND($C69&gt;0,B69&gt;$B$6),1,0)</f>
        <v/>
      </c>
      <c r="E69" s="49">
        <f>IF(D69=1,SUM($D$15:D69),"")</f>
        <v/>
      </c>
      <c r="F69" s="51">
        <f>IF(D69=1,$C69/(1+$B$8/2)^(E69-1),0)</f>
        <v/>
      </c>
      <c r="G69" s="51">
        <f>IF(D69=1,$C69/(1+($B$8+0.0001)/2)^(E69-1),0)</f>
        <v/>
      </c>
      <c r="H69" s="51">
        <f>IF(D69=1,$C69/(1+($B$8-0.0001)/2)^(E69-1),0)</f>
        <v/>
      </c>
      <c r="I69" s="49">
        <f>IF(AND($C69&gt;0,B69&gt;$B$7),1,0)</f>
        <v/>
      </c>
      <c r="J69" s="49">
        <f>IF(I69=1,SUM($I$15:I69),"")</f>
        <v/>
      </c>
      <c r="K69" s="51">
        <f>IF(I69=1,$C69/(1+$B$104/2)^(J69-1),0)</f>
        <v/>
      </c>
      <c r="L69" s="51">
        <f>IF(I69=1,$C69/(1+($B$104+0.0001)/2)^(J69-1),0)</f>
        <v/>
      </c>
      <c r="M69" s="51">
        <f>IF(I69=1,$C69/(1+($B$104-0.0001)/2)^(J69-1),0)</f>
        <v/>
      </c>
      <c r="N69" s="51">
        <f>IF(I69=1,$C69/(1+$B$109/2)^(J69-1),0)</f>
        <v/>
      </c>
      <c r="O69" s="51">
        <f>IF(I69=1,$C69/(1+$B$111/2)^(J69-1),0)</f>
        <v/>
      </c>
      <c r="P69" s="51">
        <f>IF(I69=1,$C69/(1+($B$111+0.0001)/2)^(J69-1),0)</f>
        <v/>
      </c>
      <c r="Q69" s="51">
        <f>IF(I69=1,$C69/(1+($B$111-0.0001)/2)^(J69-1),0)</f>
        <v/>
      </c>
      <c r="R69" s="51">
        <f>IF(AND($C69&gt;0,B69&gt;$B$6,B69&lt;=$B$7),$C69*(1+$B$10*($B$7-B69)/365),0)</f>
        <v/>
      </c>
      <c r="U69" s="49" t="n">
        <v>55</v>
      </c>
      <c r="V69" s="50">
        <f>EDATE($V$2,-6*(62-$U69))</f>
        <v/>
      </c>
      <c r="W69" s="51">
        <f>IF(AND(V69&gt;$V$3,V69&lt;=$V$2),IF(V69=$V$2,$V$5+100,$V$5),0)</f>
        <v/>
      </c>
      <c r="X69" s="49">
        <f>IF(AND($W69&gt;0,V69&gt;$V$6),1,0)</f>
        <v/>
      </c>
      <c r="Y69" s="49">
        <f>IF(X69=1,SUM($X$15:X69),"")</f>
        <v/>
      </c>
      <c r="Z69" s="51">
        <f>IF(X69=1,$W69/(1+$V$8/2)^(Y69-1),0)</f>
        <v/>
      </c>
      <c r="AA69" s="51">
        <f>IF(X69=1,$W69/(1+($V$8+0.0001)/2)^(Y69-1),0)</f>
        <v/>
      </c>
      <c r="AB69" s="51">
        <f>IF(X69=1,$W69/(1+($V$8-0.0001)/2)^(Y69-1),0)</f>
        <v/>
      </c>
      <c r="AC69" s="49">
        <f>IF(AND($W69&gt;0,V69&gt;$V$7),1,0)</f>
        <v/>
      </c>
      <c r="AD69" s="49">
        <f>IF(AC69=1,SUM($AC$15:AC69),"")</f>
        <v/>
      </c>
      <c r="AE69" s="51">
        <f>IF(AC69=1,$W69/(1+$V$104/2)^(AD69-1),0)</f>
        <v/>
      </c>
      <c r="AF69" s="51">
        <f>IF(AC69=1,$W69/(1+($V$104+0.0001)/2)^(AD69-1),0)</f>
        <v/>
      </c>
      <c r="AG69" s="51">
        <f>IF(AC69=1,$W69/(1+($V$104-0.0001)/2)^(AD69-1),0)</f>
        <v/>
      </c>
      <c r="AH69" s="51">
        <f>IF(AC69=1,$W69/(1+$V$109/2)^(AD69-1),0)</f>
        <v/>
      </c>
      <c r="AI69" s="51">
        <f>IF(AC69=1,$W69/(1+$V$111/2)^(AD69-1),0)</f>
        <v/>
      </c>
      <c r="AJ69" s="51">
        <f>IF(AC69=1,$W69/(1+($V$111+0.0001)/2)^(AD69-1),0)</f>
        <v/>
      </c>
      <c r="AK69" s="51">
        <f>IF(AC69=1,$W69/(1+($V$111-0.0001)/2)^(AD69-1),0)</f>
        <v/>
      </c>
      <c r="AL69" s="51">
        <f>IF(AND($W69&gt;0,V69&gt;$V$6,V69&lt;=$V$7),$W69*(1+$V$10*($V$7-V69)/365),0)</f>
        <v/>
      </c>
      <c r="AO69" s="49" t="n">
        <v>55</v>
      </c>
      <c r="AP69" s="50">
        <f>EDATE($AP$2,-6*(62-$AO69))</f>
        <v/>
      </c>
      <c r="AQ69" s="51">
        <f>IF(AND(AP69&gt;$AP$3,AP69&lt;=$AP$2),IF(AP69=$AP$2,$AP$5+100,$AP$5),0)</f>
        <v/>
      </c>
      <c r="AR69" s="49">
        <f>IF(AND($AQ69&gt;0,AP69&gt;$AP$6),1,0)</f>
        <v/>
      </c>
      <c r="AS69" s="49">
        <f>IF(AR69=1,SUM($AR$15:AR69),"")</f>
        <v/>
      </c>
      <c r="AT69" s="51">
        <f>IF(AR69=1,$AQ69/(1+$AP$8/2)^(AS69-1),0)</f>
        <v/>
      </c>
      <c r="AU69" s="51">
        <f>IF(AR69=1,$AQ69/(1+($AP$8+0.0001)/2)^(AS69-1),0)</f>
        <v/>
      </c>
      <c r="AV69" s="51">
        <f>IF(AR69=1,$AQ69/(1+($AP$8-0.0001)/2)^(AS69-1),0)</f>
        <v/>
      </c>
      <c r="AW69" s="49">
        <f>IF(AND($AQ69&gt;0,AP69&gt;$AP$7),1,0)</f>
        <v/>
      </c>
      <c r="AX69" s="49">
        <f>IF(AW69=1,SUM($AW$15:AW69),"")</f>
        <v/>
      </c>
      <c r="AY69" s="51">
        <f>IF(AW69=1,$AQ69/(1+$AP$104/2)^(AX69-1),0)</f>
        <v/>
      </c>
      <c r="AZ69" s="51">
        <f>IF(AW69=1,$AQ69/(1+($AP$104+0.0001)/2)^(AX69-1),0)</f>
        <v/>
      </c>
      <c r="BA69" s="51">
        <f>IF(AW69=1,$AQ69/(1+($AP$104-0.0001)/2)^(AX69-1),0)</f>
        <v/>
      </c>
      <c r="BB69" s="51">
        <f>IF(AW69=1,$AQ69/(1+$AP$109/2)^(AX69-1),0)</f>
        <v/>
      </c>
      <c r="BC69" s="51">
        <f>IF(AW69=1,$AQ69/(1+$AP$111/2)^(AX69-1),0)</f>
        <v/>
      </c>
      <c r="BD69" s="51">
        <f>IF(AW69=1,$AQ69/(1+($AP$111+0.0001)/2)^(AX69-1),0)</f>
        <v/>
      </c>
      <c r="BE69" s="51">
        <f>IF(AW69=1,$AQ69/(1+($AP$111-0.0001)/2)^(AX69-1),0)</f>
        <v/>
      </c>
      <c r="BF69" s="51">
        <f>IF(AND($AQ69&gt;0,AP69&gt;$AP$6,AP69&lt;=$AP$7),$AQ69*(1+$AP$10*($AP$7-AP69)/365),0)</f>
        <v/>
      </c>
    </row>
    <row r="70">
      <c r="A70" s="49" t="n">
        <v>56</v>
      </c>
      <c r="B70" s="50">
        <f>EDATE($B$2,-6*(62-$A70))</f>
        <v/>
      </c>
      <c r="C70" s="51">
        <f>IF(AND(B70&gt;$B$3,B70&lt;=$B$2),IF(B70=$B$2,$B$5+100,$B$5),0)</f>
        <v/>
      </c>
      <c r="D70" s="49">
        <f>IF(AND($C70&gt;0,B70&gt;$B$6),1,0)</f>
        <v/>
      </c>
      <c r="E70" s="49">
        <f>IF(D70=1,SUM($D$15:D70),"")</f>
        <v/>
      </c>
      <c r="F70" s="51">
        <f>IF(D70=1,$C70/(1+$B$8/2)^(E70-1),0)</f>
        <v/>
      </c>
      <c r="G70" s="51">
        <f>IF(D70=1,$C70/(1+($B$8+0.0001)/2)^(E70-1),0)</f>
        <v/>
      </c>
      <c r="H70" s="51">
        <f>IF(D70=1,$C70/(1+($B$8-0.0001)/2)^(E70-1),0)</f>
        <v/>
      </c>
      <c r="I70" s="49">
        <f>IF(AND($C70&gt;0,B70&gt;$B$7),1,0)</f>
        <v/>
      </c>
      <c r="J70" s="49">
        <f>IF(I70=1,SUM($I$15:I70),"")</f>
        <v/>
      </c>
      <c r="K70" s="51">
        <f>IF(I70=1,$C70/(1+$B$104/2)^(J70-1),0)</f>
        <v/>
      </c>
      <c r="L70" s="51">
        <f>IF(I70=1,$C70/(1+($B$104+0.0001)/2)^(J70-1),0)</f>
        <v/>
      </c>
      <c r="M70" s="51">
        <f>IF(I70=1,$C70/(1+($B$104-0.0001)/2)^(J70-1),0)</f>
        <v/>
      </c>
      <c r="N70" s="51">
        <f>IF(I70=1,$C70/(1+$B$109/2)^(J70-1),0)</f>
        <v/>
      </c>
      <c r="O70" s="51">
        <f>IF(I70=1,$C70/(1+$B$111/2)^(J70-1),0)</f>
        <v/>
      </c>
      <c r="P70" s="51">
        <f>IF(I70=1,$C70/(1+($B$111+0.0001)/2)^(J70-1),0)</f>
        <v/>
      </c>
      <c r="Q70" s="51">
        <f>IF(I70=1,$C70/(1+($B$111-0.0001)/2)^(J70-1),0)</f>
        <v/>
      </c>
      <c r="R70" s="51">
        <f>IF(AND($C70&gt;0,B70&gt;$B$6,B70&lt;=$B$7),$C70*(1+$B$10*($B$7-B70)/365),0)</f>
        <v/>
      </c>
      <c r="U70" s="49" t="n">
        <v>56</v>
      </c>
      <c r="V70" s="50">
        <f>EDATE($V$2,-6*(62-$U70))</f>
        <v/>
      </c>
      <c r="W70" s="51">
        <f>IF(AND(V70&gt;$V$3,V70&lt;=$V$2),IF(V70=$V$2,$V$5+100,$V$5),0)</f>
        <v/>
      </c>
      <c r="X70" s="49">
        <f>IF(AND($W70&gt;0,V70&gt;$V$6),1,0)</f>
        <v/>
      </c>
      <c r="Y70" s="49">
        <f>IF(X70=1,SUM($X$15:X70),"")</f>
        <v/>
      </c>
      <c r="Z70" s="51">
        <f>IF(X70=1,$W70/(1+$V$8/2)^(Y70-1),0)</f>
        <v/>
      </c>
      <c r="AA70" s="51">
        <f>IF(X70=1,$W70/(1+($V$8+0.0001)/2)^(Y70-1),0)</f>
        <v/>
      </c>
      <c r="AB70" s="51">
        <f>IF(X70=1,$W70/(1+($V$8-0.0001)/2)^(Y70-1),0)</f>
        <v/>
      </c>
      <c r="AC70" s="49">
        <f>IF(AND($W70&gt;0,V70&gt;$V$7),1,0)</f>
        <v/>
      </c>
      <c r="AD70" s="49">
        <f>IF(AC70=1,SUM($AC$15:AC70),"")</f>
        <v/>
      </c>
      <c r="AE70" s="51">
        <f>IF(AC70=1,$W70/(1+$V$104/2)^(AD70-1),0)</f>
        <v/>
      </c>
      <c r="AF70" s="51">
        <f>IF(AC70=1,$W70/(1+($V$104+0.0001)/2)^(AD70-1),0)</f>
        <v/>
      </c>
      <c r="AG70" s="51">
        <f>IF(AC70=1,$W70/(1+($V$104-0.0001)/2)^(AD70-1),0)</f>
        <v/>
      </c>
      <c r="AH70" s="51">
        <f>IF(AC70=1,$W70/(1+$V$109/2)^(AD70-1),0)</f>
        <v/>
      </c>
      <c r="AI70" s="51">
        <f>IF(AC70=1,$W70/(1+$V$111/2)^(AD70-1),0)</f>
        <v/>
      </c>
      <c r="AJ70" s="51">
        <f>IF(AC70=1,$W70/(1+($V$111+0.0001)/2)^(AD70-1),0)</f>
        <v/>
      </c>
      <c r="AK70" s="51">
        <f>IF(AC70=1,$W70/(1+($V$111-0.0001)/2)^(AD70-1),0)</f>
        <v/>
      </c>
      <c r="AL70" s="51">
        <f>IF(AND($W70&gt;0,V70&gt;$V$6,V70&lt;=$V$7),$W70*(1+$V$10*($V$7-V70)/365),0)</f>
        <v/>
      </c>
      <c r="AO70" s="49" t="n">
        <v>56</v>
      </c>
      <c r="AP70" s="50">
        <f>EDATE($AP$2,-6*(62-$AO70))</f>
        <v/>
      </c>
      <c r="AQ70" s="51">
        <f>IF(AND(AP70&gt;$AP$3,AP70&lt;=$AP$2),IF(AP70=$AP$2,$AP$5+100,$AP$5),0)</f>
        <v/>
      </c>
      <c r="AR70" s="49">
        <f>IF(AND($AQ70&gt;0,AP70&gt;$AP$6),1,0)</f>
        <v/>
      </c>
      <c r="AS70" s="49">
        <f>IF(AR70=1,SUM($AR$15:AR70),"")</f>
        <v/>
      </c>
      <c r="AT70" s="51">
        <f>IF(AR70=1,$AQ70/(1+$AP$8/2)^(AS70-1),0)</f>
        <v/>
      </c>
      <c r="AU70" s="51">
        <f>IF(AR70=1,$AQ70/(1+($AP$8+0.0001)/2)^(AS70-1),0)</f>
        <v/>
      </c>
      <c r="AV70" s="51">
        <f>IF(AR70=1,$AQ70/(1+($AP$8-0.0001)/2)^(AS70-1),0)</f>
        <v/>
      </c>
      <c r="AW70" s="49">
        <f>IF(AND($AQ70&gt;0,AP70&gt;$AP$7),1,0)</f>
        <v/>
      </c>
      <c r="AX70" s="49">
        <f>IF(AW70=1,SUM($AW$15:AW70),"")</f>
        <v/>
      </c>
      <c r="AY70" s="51">
        <f>IF(AW70=1,$AQ70/(1+$AP$104/2)^(AX70-1),0)</f>
        <v/>
      </c>
      <c r="AZ70" s="51">
        <f>IF(AW70=1,$AQ70/(1+($AP$104+0.0001)/2)^(AX70-1),0)</f>
        <v/>
      </c>
      <c r="BA70" s="51">
        <f>IF(AW70=1,$AQ70/(1+($AP$104-0.0001)/2)^(AX70-1),0)</f>
        <v/>
      </c>
      <c r="BB70" s="51">
        <f>IF(AW70=1,$AQ70/(1+$AP$109/2)^(AX70-1),0)</f>
        <v/>
      </c>
      <c r="BC70" s="51">
        <f>IF(AW70=1,$AQ70/(1+$AP$111/2)^(AX70-1),0)</f>
        <v/>
      </c>
      <c r="BD70" s="51">
        <f>IF(AW70=1,$AQ70/(1+($AP$111+0.0001)/2)^(AX70-1),0)</f>
        <v/>
      </c>
      <c r="BE70" s="51">
        <f>IF(AW70=1,$AQ70/(1+($AP$111-0.0001)/2)^(AX70-1),0)</f>
        <v/>
      </c>
      <c r="BF70" s="51">
        <f>IF(AND($AQ70&gt;0,AP70&gt;$AP$6,AP70&lt;=$AP$7),$AQ70*(1+$AP$10*($AP$7-AP70)/365),0)</f>
        <v/>
      </c>
    </row>
    <row r="71">
      <c r="A71" s="49" t="n">
        <v>57</v>
      </c>
      <c r="B71" s="50">
        <f>EDATE($B$2,-6*(62-$A71))</f>
        <v/>
      </c>
      <c r="C71" s="51">
        <f>IF(AND(B71&gt;$B$3,B71&lt;=$B$2),IF(B71=$B$2,$B$5+100,$B$5),0)</f>
        <v/>
      </c>
      <c r="D71" s="49">
        <f>IF(AND($C71&gt;0,B71&gt;$B$6),1,0)</f>
        <v/>
      </c>
      <c r="E71" s="49">
        <f>IF(D71=1,SUM($D$15:D71),"")</f>
        <v/>
      </c>
      <c r="F71" s="51">
        <f>IF(D71=1,$C71/(1+$B$8/2)^(E71-1),0)</f>
        <v/>
      </c>
      <c r="G71" s="51">
        <f>IF(D71=1,$C71/(1+($B$8+0.0001)/2)^(E71-1),0)</f>
        <v/>
      </c>
      <c r="H71" s="51">
        <f>IF(D71=1,$C71/(1+($B$8-0.0001)/2)^(E71-1),0)</f>
        <v/>
      </c>
      <c r="I71" s="49">
        <f>IF(AND($C71&gt;0,B71&gt;$B$7),1,0)</f>
        <v/>
      </c>
      <c r="J71" s="49">
        <f>IF(I71=1,SUM($I$15:I71),"")</f>
        <v/>
      </c>
      <c r="K71" s="51">
        <f>IF(I71=1,$C71/(1+$B$104/2)^(J71-1),0)</f>
        <v/>
      </c>
      <c r="L71" s="51">
        <f>IF(I71=1,$C71/(1+($B$104+0.0001)/2)^(J71-1),0)</f>
        <v/>
      </c>
      <c r="M71" s="51">
        <f>IF(I71=1,$C71/(1+($B$104-0.0001)/2)^(J71-1),0)</f>
        <v/>
      </c>
      <c r="N71" s="51">
        <f>IF(I71=1,$C71/(1+$B$109/2)^(J71-1),0)</f>
        <v/>
      </c>
      <c r="O71" s="51">
        <f>IF(I71=1,$C71/(1+$B$111/2)^(J71-1),0)</f>
        <v/>
      </c>
      <c r="P71" s="51">
        <f>IF(I71=1,$C71/(1+($B$111+0.0001)/2)^(J71-1),0)</f>
        <v/>
      </c>
      <c r="Q71" s="51">
        <f>IF(I71=1,$C71/(1+($B$111-0.0001)/2)^(J71-1),0)</f>
        <v/>
      </c>
      <c r="R71" s="51">
        <f>IF(AND($C71&gt;0,B71&gt;$B$6,B71&lt;=$B$7),$C71*(1+$B$10*($B$7-B71)/365),0)</f>
        <v/>
      </c>
      <c r="U71" s="49" t="n">
        <v>57</v>
      </c>
      <c r="V71" s="50">
        <f>EDATE($V$2,-6*(62-$U71))</f>
        <v/>
      </c>
      <c r="W71" s="51">
        <f>IF(AND(V71&gt;$V$3,V71&lt;=$V$2),IF(V71=$V$2,$V$5+100,$V$5),0)</f>
        <v/>
      </c>
      <c r="X71" s="49">
        <f>IF(AND($W71&gt;0,V71&gt;$V$6),1,0)</f>
        <v/>
      </c>
      <c r="Y71" s="49">
        <f>IF(X71=1,SUM($X$15:X71),"")</f>
        <v/>
      </c>
      <c r="Z71" s="51">
        <f>IF(X71=1,$W71/(1+$V$8/2)^(Y71-1),0)</f>
        <v/>
      </c>
      <c r="AA71" s="51">
        <f>IF(X71=1,$W71/(1+($V$8+0.0001)/2)^(Y71-1),0)</f>
        <v/>
      </c>
      <c r="AB71" s="51">
        <f>IF(X71=1,$W71/(1+($V$8-0.0001)/2)^(Y71-1),0)</f>
        <v/>
      </c>
      <c r="AC71" s="49">
        <f>IF(AND($W71&gt;0,V71&gt;$V$7),1,0)</f>
        <v/>
      </c>
      <c r="AD71" s="49">
        <f>IF(AC71=1,SUM($AC$15:AC71),"")</f>
        <v/>
      </c>
      <c r="AE71" s="51">
        <f>IF(AC71=1,$W71/(1+$V$104/2)^(AD71-1),0)</f>
        <v/>
      </c>
      <c r="AF71" s="51">
        <f>IF(AC71=1,$W71/(1+($V$104+0.0001)/2)^(AD71-1),0)</f>
        <v/>
      </c>
      <c r="AG71" s="51">
        <f>IF(AC71=1,$W71/(1+($V$104-0.0001)/2)^(AD71-1),0)</f>
        <v/>
      </c>
      <c r="AH71" s="51">
        <f>IF(AC71=1,$W71/(1+$V$109/2)^(AD71-1),0)</f>
        <v/>
      </c>
      <c r="AI71" s="51">
        <f>IF(AC71=1,$W71/(1+$V$111/2)^(AD71-1),0)</f>
        <v/>
      </c>
      <c r="AJ71" s="51">
        <f>IF(AC71=1,$W71/(1+($V$111+0.0001)/2)^(AD71-1),0)</f>
        <v/>
      </c>
      <c r="AK71" s="51">
        <f>IF(AC71=1,$W71/(1+($V$111-0.0001)/2)^(AD71-1),0)</f>
        <v/>
      </c>
      <c r="AL71" s="51">
        <f>IF(AND($W71&gt;0,V71&gt;$V$6,V71&lt;=$V$7),$W71*(1+$V$10*($V$7-V71)/365),0)</f>
        <v/>
      </c>
      <c r="AO71" s="49" t="n">
        <v>57</v>
      </c>
      <c r="AP71" s="50">
        <f>EDATE($AP$2,-6*(62-$AO71))</f>
        <v/>
      </c>
      <c r="AQ71" s="51">
        <f>IF(AND(AP71&gt;$AP$3,AP71&lt;=$AP$2),IF(AP71=$AP$2,$AP$5+100,$AP$5),0)</f>
        <v/>
      </c>
      <c r="AR71" s="49">
        <f>IF(AND($AQ71&gt;0,AP71&gt;$AP$6),1,0)</f>
        <v/>
      </c>
      <c r="AS71" s="49">
        <f>IF(AR71=1,SUM($AR$15:AR71),"")</f>
        <v/>
      </c>
      <c r="AT71" s="51">
        <f>IF(AR71=1,$AQ71/(1+$AP$8/2)^(AS71-1),0)</f>
        <v/>
      </c>
      <c r="AU71" s="51">
        <f>IF(AR71=1,$AQ71/(1+($AP$8+0.0001)/2)^(AS71-1),0)</f>
        <v/>
      </c>
      <c r="AV71" s="51">
        <f>IF(AR71=1,$AQ71/(1+($AP$8-0.0001)/2)^(AS71-1),0)</f>
        <v/>
      </c>
      <c r="AW71" s="49">
        <f>IF(AND($AQ71&gt;0,AP71&gt;$AP$7),1,0)</f>
        <v/>
      </c>
      <c r="AX71" s="49">
        <f>IF(AW71=1,SUM($AW$15:AW71),"")</f>
        <v/>
      </c>
      <c r="AY71" s="51">
        <f>IF(AW71=1,$AQ71/(1+$AP$104/2)^(AX71-1),0)</f>
        <v/>
      </c>
      <c r="AZ71" s="51">
        <f>IF(AW71=1,$AQ71/(1+($AP$104+0.0001)/2)^(AX71-1),0)</f>
        <v/>
      </c>
      <c r="BA71" s="51">
        <f>IF(AW71=1,$AQ71/(1+($AP$104-0.0001)/2)^(AX71-1),0)</f>
        <v/>
      </c>
      <c r="BB71" s="51">
        <f>IF(AW71=1,$AQ71/(1+$AP$109/2)^(AX71-1),0)</f>
        <v/>
      </c>
      <c r="BC71" s="51">
        <f>IF(AW71=1,$AQ71/(1+$AP$111/2)^(AX71-1),0)</f>
        <v/>
      </c>
      <c r="BD71" s="51">
        <f>IF(AW71=1,$AQ71/(1+($AP$111+0.0001)/2)^(AX71-1),0)</f>
        <v/>
      </c>
      <c r="BE71" s="51">
        <f>IF(AW71=1,$AQ71/(1+($AP$111-0.0001)/2)^(AX71-1),0)</f>
        <v/>
      </c>
      <c r="BF71" s="51">
        <f>IF(AND($AQ71&gt;0,AP71&gt;$AP$6,AP71&lt;=$AP$7),$AQ71*(1+$AP$10*($AP$7-AP71)/365),0)</f>
        <v/>
      </c>
    </row>
    <row r="72">
      <c r="A72" s="49" t="n">
        <v>58</v>
      </c>
      <c r="B72" s="50">
        <f>EDATE($B$2,-6*(62-$A72))</f>
        <v/>
      </c>
      <c r="C72" s="51">
        <f>IF(AND(B72&gt;$B$3,B72&lt;=$B$2),IF(B72=$B$2,$B$5+100,$B$5),0)</f>
        <v/>
      </c>
      <c r="D72" s="49">
        <f>IF(AND($C72&gt;0,B72&gt;$B$6),1,0)</f>
        <v/>
      </c>
      <c r="E72" s="49">
        <f>IF(D72=1,SUM($D$15:D72),"")</f>
        <v/>
      </c>
      <c r="F72" s="51">
        <f>IF(D72=1,$C72/(1+$B$8/2)^(E72-1),0)</f>
        <v/>
      </c>
      <c r="G72" s="51">
        <f>IF(D72=1,$C72/(1+($B$8+0.0001)/2)^(E72-1),0)</f>
        <v/>
      </c>
      <c r="H72" s="51">
        <f>IF(D72=1,$C72/(1+($B$8-0.0001)/2)^(E72-1),0)</f>
        <v/>
      </c>
      <c r="I72" s="49">
        <f>IF(AND($C72&gt;0,B72&gt;$B$7),1,0)</f>
        <v/>
      </c>
      <c r="J72" s="49">
        <f>IF(I72=1,SUM($I$15:I72),"")</f>
        <v/>
      </c>
      <c r="K72" s="51">
        <f>IF(I72=1,$C72/(1+$B$104/2)^(J72-1),0)</f>
        <v/>
      </c>
      <c r="L72" s="51">
        <f>IF(I72=1,$C72/(1+($B$104+0.0001)/2)^(J72-1),0)</f>
        <v/>
      </c>
      <c r="M72" s="51">
        <f>IF(I72=1,$C72/(1+($B$104-0.0001)/2)^(J72-1),0)</f>
        <v/>
      </c>
      <c r="N72" s="51">
        <f>IF(I72=1,$C72/(1+$B$109/2)^(J72-1),0)</f>
        <v/>
      </c>
      <c r="O72" s="51">
        <f>IF(I72=1,$C72/(1+$B$111/2)^(J72-1),0)</f>
        <v/>
      </c>
      <c r="P72" s="51">
        <f>IF(I72=1,$C72/(1+($B$111+0.0001)/2)^(J72-1),0)</f>
        <v/>
      </c>
      <c r="Q72" s="51">
        <f>IF(I72=1,$C72/(1+($B$111-0.0001)/2)^(J72-1),0)</f>
        <v/>
      </c>
      <c r="R72" s="51">
        <f>IF(AND($C72&gt;0,B72&gt;$B$6,B72&lt;=$B$7),$C72*(1+$B$10*($B$7-B72)/365),0)</f>
        <v/>
      </c>
      <c r="U72" s="49" t="n">
        <v>58</v>
      </c>
      <c r="V72" s="50">
        <f>EDATE($V$2,-6*(62-$U72))</f>
        <v/>
      </c>
      <c r="W72" s="51">
        <f>IF(AND(V72&gt;$V$3,V72&lt;=$V$2),IF(V72=$V$2,$V$5+100,$V$5),0)</f>
        <v/>
      </c>
      <c r="X72" s="49">
        <f>IF(AND($W72&gt;0,V72&gt;$V$6),1,0)</f>
        <v/>
      </c>
      <c r="Y72" s="49">
        <f>IF(X72=1,SUM($X$15:X72),"")</f>
        <v/>
      </c>
      <c r="Z72" s="51">
        <f>IF(X72=1,$W72/(1+$V$8/2)^(Y72-1),0)</f>
        <v/>
      </c>
      <c r="AA72" s="51">
        <f>IF(X72=1,$W72/(1+($V$8+0.0001)/2)^(Y72-1),0)</f>
        <v/>
      </c>
      <c r="AB72" s="51">
        <f>IF(X72=1,$W72/(1+($V$8-0.0001)/2)^(Y72-1),0)</f>
        <v/>
      </c>
      <c r="AC72" s="49">
        <f>IF(AND($W72&gt;0,V72&gt;$V$7),1,0)</f>
        <v/>
      </c>
      <c r="AD72" s="49">
        <f>IF(AC72=1,SUM($AC$15:AC72),"")</f>
        <v/>
      </c>
      <c r="AE72" s="51">
        <f>IF(AC72=1,$W72/(1+$V$104/2)^(AD72-1),0)</f>
        <v/>
      </c>
      <c r="AF72" s="51">
        <f>IF(AC72=1,$W72/(1+($V$104+0.0001)/2)^(AD72-1),0)</f>
        <v/>
      </c>
      <c r="AG72" s="51">
        <f>IF(AC72=1,$W72/(1+($V$104-0.0001)/2)^(AD72-1),0)</f>
        <v/>
      </c>
      <c r="AH72" s="51">
        <f>IF(AC72=1,$W72/(1+$V$109/2)^(AD72-1),0)</f>
        <v/>
      </c>
      <c r="AI72" s="51">
        <f>IF(AC72=1,$W72/(1+$V$111/2)^(AD72-1),0)</f>
        <v/>
      </c>
      <c r="AJ72" s="51">
        <f>IF(AC72=1,$W72/(1+($V$111+0.0001)/2)^(AD72-1),0)</f>
        <v/>
      </c>
      <c r="AK72" s="51">
        <f>IF(AC72=1,$W72/(1+($V$111-0.0001)/2)^(AD72-1),0)</f>
        <v/>
      </c>
      <c r="AL72" s="51">
        <f>IF(AND($W72&gt;0,V72&gt;$V$6,V72&lt;=$V$7),$W72*(1+$V$10*($V$7-V72)/365),0)</f>
        <v/>
      </c>
      <c r="AO72" s="49" t="n">
        <v>58</v>
      </c>
      <c r="AP72" s="50">
        <f>EDATE($AP$2,-6*(62-$AO72))</f>
        <v/>
      </c>
      <c r="AQ72" s="51">
        <f>IF(AND(AP72&gt;$AP$3,AP72&lt;=$AP$2),IF(AP72=$AP$2,$AP$5+100,$AP$5),0)</f>
        <v/>
      </c>
      <c r="AR72" s="49">
        <f>IF(AND($AQ72&gt;0,AP72&gt;$AP$6),1,0)</f>
        <v/>
      </c>
      <c r="AS72" s="49">
        <f>IF(AR72=1,SUM($AR$15:AR72),"")</f>
        <v/>
      </c>
      <c r="AT72" s="51">
        <f>IF(AR72=1,$AQ72/(1+$AP$8/2)^(AS72-1),0)</f>
        <v/>
      </c>
      <c r="AU72" s="51">
        <f>IF(AR72=1,$AQ72/(1+($AP$8+0.0001)/2)^(AS72-1),0)</f>
        <v/>
      </c>
      <c r="AV72" s="51">
        <f>IF(AR72=1,$AQ72/(1+($AP$8-0.0001)/2)^(AS72-1),0)</f>
        <v/>
      </c>
      <c r="AW72" s="49">
        <f>IF(AND($AQ72&gt;0,AP72&gt;$AP$7),1,0)</f>
        <v/>
      </c>
      <c r="AX72" s="49">
        <f>IF(AW72=1,SUM($AW$15:AW72),"")</f>
        <v/>
      </c>
      <c r="AY72" s="51">
        <f>IF(AW72=1,$AQ72/(1+$AP$104/2)^(AX72-1),0)</f>
        <v/>
      </c>
      <c r="AZ72" s="51">
        <f>IF(AW72=1,$AQ72/(1+($AP$104+0.0001)/2)^(AX72-1),0)</f>
        <v/>
      </c>
      <c r="BA72" s="51">
        <f>IF(AW72=1,$AQ72/(1+($AP$104-0.0001)/2)^(AX72-1),0)</f>
        <v/>
      </c>
      <c r="BB72" s="51">
        <f>IF(AW72=1,$AQ72/(1+$AP$109/2)^(AX72-1),0)</f>
        <v/>
      </c>
      <c r="BC72" s="51">
        <f>IF(AW72=1,$AQ72/(1+$AP$111/2)^(AX72-1),0)</f>
        <v/>
      </c>
      <c r="BD72" s="51">
        <f>IF(AW72=1,$AQ72/(1+($AP$111+0.0001)/2)^(AX72-1),0)</f>
        <v/>
      </c>
      <c r="BE72" s="51">
        <f>IF(AW72=1,$AQ72/(1+($AP$111-0.0001)/2)^(AX72-1),0)</f>
        <v/>
      </c>
      <c r="BF72" s="51">
        <f>IF(AND($AQ72&gt;0,AP72&gt;$AP$6,AP72&lt;=$AP$7),$AQ72*(1+$AP$10*($AP$7-AP72)/365),0)</f>
        <v/>
      </c>
    </row>
    <row r="73">
      <c r="A73" s="49" t="n">
        <v>59</v>
      </c>
      <c r="B73" s="50">
        <f>EDATE($B$2,-6*(62-$A73))</f>
        <v/>
      </c>
      <c r="C73" s="51">
        <f>IF(AND(B73&gt;$B$3,B73&lt;=$B$2),IF(B73=$B$2,$B$5+100,$B$5),0)</f>
        <v/>
      </c>
      <c r="D73" s="49">
        <f>IF(AND($C73&gt;0,B73&gt;$B$6),1,0)</f>
        <v/>
      </c>
      <c r="E73" s="49">
        <f>IF(D73=1,SUM($D$15:D73),"")</f>
        <v/>
      </c>
      <c r="F73" s="51">
        <f>IF(D73=1,$C73/(1+$B$8/2)^(E73-1),0)</f>
        <v/>
      </c>
      <c r="G73" s="51">
        <f>IF(D73=1,$C73/(1+($B$8+0.0001)/2)^(E73-1),0)</f>
        <v/>
      </c>
      <c r="H73" s="51">
        <f>IF(D73=1,$C73/(1+($B$8-0.0001)/2)^(E73-1),0)</f>
        <v/>
      </c>
      <c r="I73" s="49">
        <f>IF(AND($C73&gt;0,B73&gt;$B$7),1,0)</f>
        <v/>
      </c>
      <c r="J73" s="49">
        <f>IF(I73=1,SUM($I$15:I73),"")</f>
        <v/>
      </c>
      <c r="K73" s="51">
        <f>IF(I73=1,$C73/(1+$B$104/2)^(J73-1),0)</f>
        <v/>
      </c>
      <c r="L73" s="51">
        <f>IF(I73=1,$C73/(1+($B$104+0.0001)/2)^(J73-1),0)</f>
        <v/>
      </c>
      <c r="M73" s="51">
        <f>IF(I73=1,$C73/(1+($B$104-0.0001)/2)^(J73-1),0)</f>
        <v/>
      </c>
      <c r="N73" s="51">
        <f>IF(I73=1,$C73/(1+$B$109/2)^(J73-1),0)</f>
        <v/>
      </c>
      <c r="O73" s="51">
        <f>IF(I73=1,$C73/(1+$B$111/2)^(J73-1),0)</f>
        <v/>
      </c>
      <c r="P73" s="51">
        <f>IF(I73=1,$C73/(1+($B$111+0.0001)/2)^(J73-1),0)</f>
        <v/>
      </c>
      <c r="Q73" s="51">
        <f>IF(I73=1,$C73/(1+($B$111-0.0001)/2)^(J73-1),0)</f>
        <v/>
      </c>
      <c r="R73" s="51">
        <f>IF(AND($C73&gt;0,B73&gt;$B$6,B73&lt;=$B$7),$C73*(1+$B$10*($B$7-B73)/365),0)</f>
        <v/>
      </c>
      <c r="U73" s="49" t="n">
        <v>59</v>
      </c>
      <c r="V73" s="50">
        <f>EDATE($V$2,-6*(62-$U73))</f>
        <v/>
      </c>
      <c r="W73" s="51">
        <f>IF(AND(V73&gt;$V$3,V73&lt;=$V$2),IF(V73=$V$2,$V$5+100,$V$5),0)</f>
        <v/>
      </c>
      <c r="X73" s="49">
        <f>IF(AND($W73&gt;0,V73&gt;$V$6),1,0)</f>
        <v/>
      </c>
      <c r="Y73" s="49">
        <f>IF(X73=1,SUM($X$15:X73),"")</f>
        <v/>
      </c>
      <c r="Z73" s="51">
        <f>IF(X73=1,$W73/(1+$V$8/2)^(Y73-1),0)</f>
        <v/>
      </c>
      <c r="AA73" s="51">
        <f>IF(X73=1,$W73/(1+($V$8+0.0001)/2)^(Y73-1),0)</f>
        <v/>
      </c>
      <c r="AB73" s="51">
        <f>IF(X73=1,$W73/(1+($V$8-0.0001)/2)^(Y73-1),0)</f>
        <v/>
      </c>
      <c r="AC73" s="49">
        <f>IF(AND($W73&gt;0,V73&gt;$V$7),1,0)</f>
        <v/>
      </c>
      <c r="AD73" s="49">
        <f>IF(AC73=1,SUM($AC$15:AC73),"")</f>
        <v/>
      </c>
      <c r="AE73" s="51">
        <f>IF(AC73=1,$W73/(1+$V$104/2)^(AD73-1),0)</f>
        <v/>
      </c>
      <c r="AF73" s="51">
        <f>IF(AC73=1,$W73/(1+($V$104+0.0001)/2)^(AD73-1),0)</f>
        <v/>
      </c>
      <c r="AG73" s="51">
        <f>IF(AC73=1,$W73/(1+($V$104-0.0001)/2)^(AD73-1),0)</f>
        <v/>
      </c>
      <c r="AH73" s="51">
        <f>IF(AC73=1,$W73/(1+$V$109/2)^(AD73-1),0)</f>
        <v/>
      </c>
      <c r="AI73" s="51">
        <f>IF(AC73=1,$W73/(1+$V$111/2)^(AD73-1),0)</f>
        <v/>
      </c>
      <c r="AJ73" s="51">
        <f>IF(AC73=1,$W73/(1+($V$111+0.0001)/2)^(AD73-1),0)</f>
        <v/>
      </c>
      <c r="AK73" s="51">
        <f>IF(AC73=1,$W73/(1+($V$111-0.0001)/2)^(AD73-1),0)</f>
        <v/>
      </c>
      <c r="AL73" s="51">
        <f>IF(AND($W73&gt;0,V73&gt;$V$6,V73&lt;=$V$7),$W73*(1+$V$10*($V$7-V73)/365),0)</f>
        <v/>
      </c>
      <c r="AO73" s="49" t="n">
        <v>59</v>
      </c>
      <c r="AP73" s="50">
        <f>EDATE($AP$2,-6*(62-$AO73))</f>
        <v/>
      </c>
      <c r="AQ73" s="51">
        <f>IF(AND(AP73&gt;$AP$3,AP73&lt;=$AP$2),IF(AP73=$AP$2,$AP$5+100,$AP$5),0)</f>
        <v/>
      </c>
      <c r="AR73" s="49">
        <f>IF(AND($AQ73&gt;0,AP73&gt;$AP$6),1,0)</f>
        <v/>
      </c>
      <c r="AS73" s="49">
        <f>IF(AR73=1,SUM($AR$15:AR73),"")</f>
        <v/>
      </c>
      <c r="AT73" s="51">
        <f>IF(AR73=1,$AQ73/(1+$AP$8/2)^(AS73-1),0)</f>
        <v/>
      </c>
      <c r="AU73" s="51">
        <f>IF(AR73=1,$AQ73/(1+($AP$8+0.0001)/2)^(AS73-1),0)</f>
        <v/>
      </c>
      <c r="AV73" s="51">
        <f>IF(AR73=1,$AQ73/(1+($AP$8-0.0001)/2)^(AS73-1),0)</f>
        <v/>
      </c>
      <c r="AW73" s="49">
        <f>IF(AND($AQ73&gt;0,AP73&gt;$AP$7),1,0)</f>
        <v/>
      </c>
      <c r="AX73" s="49">
        <f>IF(AW73=1,SUM($AW$15:AW73),"")</f>
        <v/>
      </c>
      <c r="AY73" s="51">
        <f>IF(AW73=1,$AQ73/(1+$AP$104/2)^(AX73-1),0)</f>
        <v/>
      </c>
      <c r="AZ73" s="51">
        <f>IF(AW73=1,$AQ73/(1+($AP$104+0.0001)/2)^(AX73-1),0)</f>
        <v/>
      </c>
      <c r="BA73" s="51">
        <f>IF(AW73=1,$AQ73/(1+($AP$104-0.0001)/2)^(AX73-1),0)</f>
        <v/>
      </c>
      <c r="BB73" s="51">
        <f>IF(AW73=1,$AQ73/(1+$AP$109/2)^(AX73-1),0)</f>
        <v/>
      </c>
      <c r="BC73" s="51">
        <f>IF(AW73=1,$AQ73/(1+$AP$111/2)^(AX73-1),0)</f>
        <v/>
      </c>
      <c r="BD73" s="51">
        <f>IF(AW73=1,$AQ73/(1+($AP$111+0.0001)/2)^(AX73-1),0)</f>
        <v/>
      </c>
      <c r="BE73" s="51">
        <f>IF(AW73=1,$AQ73/(1+($AP$111-0.0001)/2)^(AX73-1),0)</f>
        <v/>
      </c>
      <c r="BF73" s="51">
        <f>IF(AND($AQ73&gt;0,AP73&gt;$AP$6,AP73&lt;=$AP$7),$AQ73*(1+$AP$10*($AP$7-AP73)/365),0)</f>
        <v/>
      </c>
    </row>
    <row r="74">
      <c r="A74" s="49" t="n">
        <v>60</v>
      </c>
      <c r="B74" s="50">
        <f>EDATE($B$2,-6*(62-$A74))</f>
        <v/>
      </c>
      <c r="C74" s="51">
        <f>IF(AND(B74&gt;$B$3,B74&lt;=$B$2),IF(B74=$B$2,$B$5+100,$B$5),0)</f>
        <v/>
      </c>
      <c r="D74" s="49">
        <f>IF(AND($C74&gt;0,B74&gt;$B$6),1,0)</f>
        <v/>
      </c>
      <c r="E74" s="49">
        <f>IF(D74=1,SUM($D$15:D74),"")</f>
        <v/>
      </c>
      <c r="F74" s="51">
        <f>IF(D74=1,$C74/(1+$B$8/2)^(E74-1),0)</f>
        <v/>
      </c>
      <c r="G74" s="51">
        <f>IF(D74=1,$C74/(1+($B$8+0.0001)/2)^(E74-1),0)</f>
        <v/>
      </c>
      <c r="H74" s="51">
        <f>IF(D74=1,$C74/(1+($B$8-0.0001)/2)^(E74-1),0)</f>
        <v/>
      </c>
      <c r="I74" s="49">
        <f>IF(AND($C74&gt;0,B74&gt;$B$7),1,0)</f>
        <v/>
      </c>
      <c r="J74" s="49">
        <f>IF(I74=1,SUM($I$15:I74),"")</f>
        <v/>
      </c>
      <c r="K74" s="51">
        <f>IF(I74=1,$C74/(1+$B$104/2)^(J74-1),0)</f>
        <v/>
      </c>
      <c r="L74" s="51">
        <f>IF(I74=1,$C74/(1+($B$104+0.0001)/2)^(J74-1),0)</f>
        <v/>
      </c>
      <c r="M74" s="51">
        <f>IF(I74=1,$C74/(1+($B$104-0.0001)/2)^(J74-1),0)</f>
        <v/>
      </c>
      <c r="N74" s="51">
        <f>IF(I74=1,$C74/(1+$B$109/2)^(J74-1),0)</f>
        <v/>
      </c>
      <c r="O74" s="51">
        <f>IF(I74=1,$C74/(1+$B$111/2)^(J74-1),0)</f>
        <v/>
      </c>
      <c r="P74" s="51">
        <f>IF(I74=1,$C74/(1+($B$111+0.0001)/2)^(J74-1),0)</f>
        <v/>
      </c>
      <c r="Q74" s="51">
        <f>IF(I74=1,$C74/(1+($B$111-0.0001)/2)^(J74-1),0)</f>
        <v/>
      </c>
      <c r="R74" s="51">
        <f>IF(AND($C74&gt;0,B74&gt;$B$6,B74&lt;=$B$7),$C74*(1+$B$10*($B$7-B74)/365),0)</f>
        <v/>
      </c>
      <c r="U74" s="49" t="n">
        <v>60</v>
      </c>
      <c r="V74" s="50">
        <f>EDATE($V$2,-6*(62-$U74))</f>
        <v/>
      </c>
      <c r="W74" s="51">
        <f>IF(AND(V74&gt;$V$3,V74&lt;=$V$2),IF(V74=$V$2,$V$5+100,$V$5),0)</f>
        <v/>
      </c>
      <c r="X74" s="49">
        <f>IF(AND($W74&gt;0,V74&gt;$V$6),1,0)</f>
        <v/>
      </c>
      <c r="Y74" s="49">
        <f>IF(X74=1,SUM($X$15:X74),"")</f>
        <v/>
      </c>
      <c r="Z74" s="51">
        <f>IF(X74=1,$W74/(1+$V$8/2)^(Y74-1),0)</f>
        <v/>
      </c>
      <c r="AA74" s="51">
        <f>IF(X74=1,$W74/(1+($V$8+0.0001)/2)^(Y74-1),0)</f>
        <v/>
      </c>
      <c r="AB74" s="51">
        <f>IF(X74=1,$W74/(1+($V$8-0.0001)/2)^(Y74-1),0)</f>
        <v/>
      </c>
      <c r="AC74" s="49">
        <f>IF(AND($W74&gt;0,V74&gt;$V$7),1,0)</f>
        <v/>
      </c>
      <c r="AD74" s="49">
        <f>IF(AC74=1,SUM($AC$15:AC74),"")</f>
        <v/>
      </c>
      <c r="AE74" s="51">
        <f>IF(AC74=1,$W74/(1+$V$104/2)^(AD74-1),0)</f>
        <v/>
      </c>
      <c r="AF74" s="51">
        <f>IF(AC74=1,$W74/(1+($V$104+0.0001)/2)^(AD74-1),0)</f>
        <v/>
      </c>
      <c r="AG74" s="51">
        <f>IF(AC74=1,$W74/(1+($V$104-0.0001)/2)^(AD74-1),0)</f>
        <v/>
      </c>
      <c r="AH74" s="51">
        <f>IF(AC74=1,$W74/(1+$V$109/2)^(AD74-1),0)</f>
        <v/>
      </c>
      <c r="AI74" s="51">
        <f>IF(AC74=1,$W74/(1+$V$111/2)^(AD74-1),0)</f>
        <v/>
      </c>
      <c r="AJ74" s="51">
        <f>IF(AC74=1,$W74/(1+($V$111+0.0001)/2)^(AD74-1),0)</f>
        <v/>
      </c>
      <c r="AK74" s="51">
        <f>IF(AC74=1,$W74/(1+($V$111-0.0001)/2)^(AD74-1),0)</f>
        <v/>
      </c>
      <c r="AL74" s="51">
        <f>IF(AND($W74&gt;0,V74&gt;$V$6,V74&lt;=$V$7),$W74*(1+$V$10*($V$7-V74)/365),0)</f>
        <v/>
      </c>
      <c r="AO74" s="49" t="n">
        <v>60</v>
      </c>
      <c r="AP74" s="50">
        <f>EDATE($AP$2,-6*(62-$AO74))</f>
        <v/>
      </c>
      <c r="AQ74" s="51">
        <f>IF(AND(AP74&gt;$AP$3,AP74&lt;=$AP$2),IF(AP74=$AP$2,$AP$5+100,$AP$5),0)</f>
        <v/>
      </c>
      <c r="AR74" s="49">
        <f>IF(AND($AQ74&gt;0,AP74&gt;$AP$6),1,0)</f>
        <v/>
      </c>
      <c r="AS74" s="49">
        <f>IF(AR74=1,SUM($AR$15:AR74),"")</f>
        <v/>
      </c>
      <c r="AT74" s="51">
        <f>IF(AR74=1,$AQ74/(1+$AP$8/2)^(AS74-1),0)</f>
        <v/>
      </c>
      <c r="AU74" s="51">
        <f>IF(AR74=1,$AQ74/(1+($AP$8+0.0001)/2)^(AS74-1),0)</f>
        <v/>
      </c>
      <c r="AV74" s="51">
        <f>IF(AR74=1,$AQ74/(1+($AP$8-0.0001)/2)^(AS74-1),0)</f>
        <v/>
      </c>
      <c r="AW74" s="49">
        <f>IF(AND($AQ74&gt;0,AP74&gt;$AP$7),1,0)</f>
        <v/>
      </c>
      <c r="AX74" s="49">
        <f>IF(AW74=1,SUM($AW$15:AW74),"")</f>
        <v/>
      </c>
      <c r="AY74" s="51">
        <f>IF(AW74=1,$AQ74/(1+$AP$104/2)^(AX74-1),0)</f>
        <v/>
      </c>
      <c r="AZ74" s="51">
        <f>IF(AW74=1,$AQ74/(1+($AP$104+0.0001)/2)^(AX74-1),0)</f>
        <v/>
      </c>
      <c r="BA74" s="51">
        <f>IF(AW74=1,$AQ74/(1+($AP$104-0.0001)/2)^(AX74-1),0)</f>
        <v/>
      </c>
      <c r="BB74" s="51">
        <f>IF(AW74=1,$AQ74/(1+$AP$109/2)^(AX74-1),0)</f>
        <v/>
      </c>
      <c r="BC74" s="51">
        <f>IF(AW74=1,$AQ74/(1+$AP$111/2)^(AX74-1),0)</f>
        <v/>
      </c>
      <c r="BD74" s="51">
        <f>IF(AW74=1,$AQ74/(1+($AP$111+0.0001)/2)^(AX74-1),0)</f>
        <v/>
      </c>
      <c r="BE74" s="51">
        <f>IF(AW74=1,$AQ74/(1+($AP$111-0.0001)/2)^(AX74-1),0)</f>
        <v/>
      </c>
      <c r="BF74" s="51">
        <f>IF(AND($AQ74&gt;0,AP74&gt;$AP$6,AP74&lt;=$AP$7),$AQ74*(1+$AP$10*($AP$7-AP74)/365),0)</f>
        <v/>
      </c>
    </row>
    <row r="75">
      <c r="A75" s="49" t="n">
        <v>61</v>
      </c>
      <c r="B75" s="50">
        <f>EDATE($B$2,-6*(62-$A75))</f>
        <v/>
      </c>
      <c r="C75" s="51">
        <f>IF(AND(B75&gt;$B$3,B75&lt;=$B$2),IF(B75=$B$2,$B$5+100,$B$5),0)</f>
        <v/>
      </c>
      <c r="D75" s="49">
        <f>IF(AND($C75&gt;0,B75&gt;$B$6),1,0)</f>
        <v/>
      </c>
      <c r="E75" s="49">
        <f>IF(D75=1,SUM($D$15:D75),"")</f>
        <v/>
      </c>
      <c r="F75" s="51">
        <f>IF(D75=1,$C75/(1+$B$8/2)^(E75-1),0)</f>
        <v/>
      </c>
      <c r="G75" s="51">
        <f>IF(D75=1,$C75/(1+($B$8+0.0001)/2)^(E75-1),0)</f>
        <v/>
      </c>
      <c r="H75" s="51">
        <f>IF(D75=1,$C75/(1+($B$8-0.0001)/2)^(E75-1),0)</f>
        <v/>
      </c>
      <c r="I75" s="49">
        <f>IF(AND($C75&gt;0,B75&gt;$B$7),1,0)</f>
        <v/>
      </c>
      <c r="J75" s="49">
        <f>IF(I75=1,SUM($I$15:I75),"")</f>
        <v/>
      </c>
      <c r="K75" s="51">
        <f>IF(I75=1,$C75/(1+$B$104/2)^(J75-1),0)</f>
        <v/>
      </c>
      <c r="L75" s="51">
        <f>IF(I75=1,$C75/(1+($B$104+0.0001)/2)^(J75-1),0)</f>
        <v/>
      </c>
      <c r="M75" s="51">
        <f>IF(I75=1,$C75/(1+($B$104-0.0001)/2)^(J75-1),0)</f>
        <v/>
      </c>
      <c r="N75" s="51">
        <f>IF(I75=1,$C75/(1+$B$109/2)^(J75-1),0)</f>
        <v/>
      </c>
      <c r="O75" s="51">
        <f>IF(I75=1,$C75/(1+$B$111/2)^(J75-1),0)</f>
        <v/>
      </c>
      <c r="P75" s="51">
        <f>IF(I75=1,$C75/(1+($B$111+0.0001)/2)^(J75-1),0)</f>
        <v/>
      </c>
      <c r="Q75" s="51">
        <f>IF(I75=1,$C75/(1+($B$111-0.0001)/2)^(J75-1),0)</f>
        <v/>
      </c>
      <c r="R75" s="51">
        <f>IF(AND($C75&gt;0,B75&gt;$B$6,B75&lt;=$B$7),$C75*(1+$B$10*($B$7-B75)/365),0)</f>
        <v/>
      </c>
      <c r="U75" s="49" t="n">
        <v>61</v>
      </c>
      <c r="V75" s="50">
        <f>EDATE($V$2,-6*(62-$U75))</f>
        <v/>
      </c>
      <c r="W75" s="51">
        <f>IF(AND(V75&gt;$V$3,V75&lt;=$V$2),IF(V75=$V$2,$V$5+100,$V$5),0)</f>
        <v/>
      </c>
      <c r="X75" s="49">
        <f>IF(AND($W75&gt;0,V75&gt;$V$6),1,0)</f>
        <v/>
      </c>
      <c r="Y75" s="49">
        <f>IF(X75=1,SUM($X$15:X75),"")</f>
        <v/>
      </c>
      <c r="Z75" s="51">
        <f>IF(X75=1,$W75/(1+$V$8/2)^(Y75-1),0)</f>
        <v/>
      </c>
      <c r="AA75" s="51">
        <f>IF(X75=1,$W75/(1+($V$8+0.0001)/2)^(Y75-1),0)</f>
        <v/>
      </c>
      <c r="AB75" s="51">
        <f>IF(X75=1,$W75/(1+($V$8-0.0001)/2)^(Y75-1),0)</f>
        <v/>
      </c>
      <c r="AC75" s="49">
        <f>IF(AND($W75&gt;0,V75&gt;$V$7),1,0)</f>
        <v/>
      </c>
      <c r="AD75" s="49">
        <f>IF(AC75=1,SUM($AC$15:AC75),"")</f>
        <v/>
      </c>
      <c r="AE75" s="51">
        <f>IF(AC75=1,$W75/(1+$V$104/2)^(AD75-1),0)</f>
        <v/>
      </c>
      <c r="AF75" s="51">
        <f>IF(AC75=1,$W75/(1+($V$104+0.0001)/2)^(AD75-1),0)</f>
        <v/>
      </c>
      <c r="AG75" s="51">
        <f>IF(AC75=1,$W75/(1+($V$104-0.0001)/2)^(AD75-1),0)</f>
        <v/>
      </c>
      <c r="AH75" s="51">
        <f>IF(AC75=1,$W75/(1+$V$109/2)^(AD75-1),0)</f>
        <v/>
      </c>
      <c r="AI75" s="51">
        <f>IF(AC75=1,$W75/(1+$V$111/2)^(AD75-1),0)</f>
        <v/>
      </c>
      <c r="AJ75" s="51">
        <f>IF(AC75=1,$W75/(1+($V$111+0.0001)/2)^(AD75-1),0)</f>
        <v/>
      </c>
      <c r="AK75" s="51">
        <f>IF(AC75=1,$W75/(1+($V$111-0.0001)/2)^(AD75-1),0)</f>
        <v/>
      </c>
      <c r="AL75" s="51">
        <f>IF(AND($W75&gt;0,V75&gt;$V$6,V75&lt;=$V$7),$W75*(1+$V$10*($V$7-V75)/365),0)</f>
        <v/>
      </c>
      <c r="AO75" s="49" t="n">
        <v>61</v>
      </c>
      <c r="AP75" s="50">
        <f>EDATE($AP$2,-6*(62-$AO75))</f>
        <v/>
      </c>
      <c r="AQ75" s="51">
        <f>IF(AND(AP75&gt;$AP$3,AP75&lt;=$AP$2),IF(AP75=$AP$2,$AP$5+100,$AP$5),0)</f>
        <v/>
      </c>
      <c r="AR75" s="49">
        <f>IF(AND($AQ75&gt;0,AP75&gt;$AP$6),1,0)</f>
        <v/>
      </c>
      <c r="AS75" s="49">
        <f>IF(AR75=1,SUM($AR$15:AR75),"")</f>
        <v/>
      </c>
      <c r="AT75" s="51">
        <f>IF(AR75=1,$AQ75/(1+$AP$8/2)^(AS75-1),0)</f>
        <v/>
      </c>
      <c r="AU75" s="51">
        <f>IF(AR75=1,$AQ75/(1+($AP$8+0.0001)/2)^(AS75-1),0)</f>
        <v/>
      </c>
      <c r="AV75" s="51">
        <f>IF(AR75=1,$AQ75/(1+($AP$8-0.0001)/2)^(AS75-1),0)</f>
        <v/>
      </c>
      <c r="AW75" s="49">
        <f>IF(AND($AQ75&gt;0,AP75&gt;$AP$7),1,0)</f>
        <v/>
      </c>
      <c r="AX75" s="49">
        <f>IF(AW75=1,SUM($AW$15:AW75),"")</f>
        <v/>
      </c>
      <c r="AY75" s="51">
        <f>IF(AW75=1,$AQ75/(1+$AP$104/2)^(AX75-1),0)</f>
        <v/>
      </c>
      <c r="AZ75" s="51">
        <f>IF(AW75=1,$AQ75/(1+($AP$104+0.0001)/2)^(AX75-1),0)</f>
        <v/>
      </c>
      <c r="BA75" s="51">
        <f>IF(AW75=1,$AQ75/(1+($AP$104-0.0001)/2)^(AX75-1),0)</f>
        <v/>
      </c>
      <c r="BB75" s="51">
        <f>IF(AW75=1,$AQ75/(1+$AP$109/2)^(AX75-1),0)</f>
        <v/>
      </c>
      <c r="BC75" s="51">
        <f>IF(AW75=1,$AQ75/(1+$AP$111/2)^(AX75-1),0)</f>
        <v/>
      </c>
      <c r="BD75" s="51">
        <f>IF(AW75=1,$AQ75/(1+($AP$111+0.0001)/2)^(AX75-1),0)</f>
        <v/>
      </c>
      <c r="BE75" s="51">
        <f>IF(AW75=1,$AQ75/(1+($AP$111-0.0001)/2)^(AX75-1),0)</f>
        <v/>
      </c>
      <c r="BF75" s="51">
        <f>IF(AND($AQ75&gt;0,AP75&gt;$AP$6,AP75&lt;=$AP$7),$AQ75*(1+$AP$10*($AP$7-AP75)/365),0)</f>
        <v/>
      </c>
    </row>
    <row r="76">
      <c r="A76" s="49" t="n">
        <v>62</v>
      </c>
      <c r="B76" s="50">
        <f>EDATE($B$2,-6*(62-$A76))</f>
        <v/>
      </c>
      <c r="C76" s="51">
        <f>IF(AND(B76&gt;$B$3,B76&lt;=$B$2),IF(B76=$B$2,$B$5+100,$B$5),0)</f>
        <v/>
      </c>
      <c r="D76" s="49">
        <f>IF(AND($C76&gt;0,B76&gt;$B$6),1,0)</f>
        <v/>
      </c>
      <c r="E76" s="49">
        <f>IF(D76=1,SUM($D$15:D76),"")</f>
        <v/>
      </c>
      <c r="F76" s="51">
        <f>IF(D76=1,$C76/(1+$B$8/2)^(E76-1),0)</f>
        <v/>
      </c>
      <c r="G76" s="51">
        <f>IF(D76=1,$C76/(1+($B$8+0.0001)/2)^(E76-1),0)</f>
        <v/>
      </c>
      <c r="H76" s="51">
        <f>IF(D76=1,$C76/(1+($B$8-0.0001)/2)^(E76-1),0)</f>
        <v/>
      </c>
      <c r="I76" s="49">
        <f>IF(AND($C76&gt;0,B76&gt;$B$7),1,0)</f>
        <v/>
      </c>
      <c r="J76" s="49">
        <f>IF(I76=1,SUM($I$15:I76),"")</f>
        <v/>
      </c>
      <c r="K76" s="51">
        <f>IF(I76=1,$C76/(1+$B$104/2)^(J76-1),0)</f>
        <v/>
      </c>
      <c r="L76" s="51">
        <f>IF(I76=1,$C76/(1+($B$104+0.0001)/2)^(J76-1),0)</f>
        <v/>
      </c>
      <c r="M76" s="51">
        <f>IF(I76=1,$C76/(1+($B$104-0.0001)/2)^(J76-1),0)</f>
        <v/>
      </c>
      <c r="N76" s="51">
        <f>IF(I76=1,$C76/(1+$B$109/2)^(J76-1),0)</f>
        <v/>
      </c>
      <c r="O76" s="51">
        <f>IF(I76=1,$C76/(1+$B$111/2)^(J76-1),0)</f>
        <v/>
      </c>
      <c r="P76" s="51">
        <f>IF(I76=1,$C76/(1+($B$111+0.0001)/2)^(J76-1),0)</f>
        <v/>
      </c>
      <c r="Q76" s="51">
        <f>IF(I76=1,$C76/(1+($B$111-0.0001)/2)^(J76-1),0)</f>
        <v/>
      </c>
      <c r="R76" s="51">
        <f>IF(AND($C76&gt;0,B76&gt;$B$6,B76&lt;=$B$7),$C76*(1+$B$10*($B$7-B76)/365),0)</f>
        <v/>
      </c>
      <c r="U76" s="49" t="n">
        <v>62</v>
      </c>
      <c r="V76" s="50">
        <f>EDATE($V$2,-6*(62-$U76))</f>
        <v/>
      </c>
      <c r="W76" s="51">
        <f>IF(AND(V76&gt;$V$3,V76&lt;=$V$2),IF(V76=$V$2,$V$5+100,$V$5),0)</f>
        <v/>
      </c>
      <c r="X76" s="49">
        <f>IF(AND($W76&gt;0,V76&gt;$V$6),1,0)</f>
        <v/>
      </c>
      <c r="Y76" s="49">
        <f>IF(X76=1,SUM($X$15:X76),"")</f>
        <v/>
      </c>
      <c r="Z76" s="51">
        <f>IF(X76=1,$W76/(1+$V$8/2)^(Y76-1),0)</f>
        <v/>
      </c>
      <c r="AA76" s="51">
        <f>IF(X76=1,$W76/(1+($V$8+0.0001)/2)^(Y76-1),0)</f>
        <v/>
      </c>
      <c r="AB76" s="51">
        <f>IF(X76=1,$W76/(1+($V$8-0.0001)/2)^(Y76-1),0)</f>
        <v/>
      </c>
      <c r="AC76" s="49">
        <f>IF(AND($W76&gt;0,V76&gt;$V$7),1,0)</f>
        <v/>
      </c>
      <c r="AD76" s="49">
        <f>IF(AC76=1,SUM($AC$15:AC76),"")</f>
        <v/>
      </c>
      <c r="AE76" s="51">
        <f>IF(AC76=1,$W76/(1+$V$104/2)^(AD76-1),0)</f>
        <v/>
      </c>
      <c r="AF76" s="51">
        <f>IF(AC76=1,$W76/(1+($V$104+0.0001)/2)^(AD76-1),0)</f>
        <v/>
      </c>
      <c r="AG76" s="51">
        <f>IF(AC76=1,$W76/(1+($V$104-0.0001)/2)^(AD76-1),0)</f>
        <v/>
      </c>
      <c r="AH76" s="51">
        <f>IF(AC76=1,$W76/(1+$V$109/2)^(AD76-1),0)</f>
        <v/>
      </c>
      <c r="AI76" s="51">
        <f>IF(AC76=1,$W76/(1+$V$111/2)^(AD76-1),0)</f>
        <v/>
      </c>
      <c r="AJ76" s="51">
        <f>IF(AC76=1,$W76/(1+($V$111+0.0001)/2)^(AD76-1),0)</f>
        <v/>
      </c>
      <c r="AK76" s="51">
        <f>IF(AC76=1,$W76/(1+($V$111-0.0001)/2)^(AD76-1),0)</f>
        <v/>
      </c>
      <c r="AL76" s="51">
        <f>IF(AND($W76&gt;0,V76&gt;$V$6,V76&lt;=$V$7),$W76*(1+$V$10*($V$7-V76)/365),0)</f>
        <v/>
      </c>
      <c r="AO76" s="49" t="n">
        <v>62</v>
      </c>
      <c r="AP76" s="50">
        <f>EDATE($AP$2,-6*(62-$AO76))</f>
        <v/>
      </c>
      <c r="AQ76" s="51">
        <f>IF(AND(AP76&gt;$AP$3,AP76&lt;=$AP$2),IF(AP76=$AP$2,$AP$5+100,$AP$5),0)</f>
        <v/>
      </c>
      <c r="AR76" s="49">
        <f>IF(AND($AQ76&gt;0,AP76&gt;$AP$6),1,0)</f>
        <v/>
      </c>
      <c r="AS76" s="49">
        <f>IF(AR76=1,SUM($AR$15:AR76),"")</f>
        <v/>
      </c>
      <c r="AT76" s="51">
        <f>IF(AR76=1,$AQ76/(1+$AP$8/2)^(AS76-1),0)</f>
        <v/>
      </c>
      <c r="AU76" s="51">
        <f>IF(AR76=1,$AQ76/(1+($AP$8+0.0001)/2)^(AS76-1),0)</f>
        <v/>
      </c>
      <c r="AV76" s="51">
        <f>IF(AR76=1,$AQ76/(1+($AP$8-0.0001)/2)^(AS76-1),0)</f>
        <v/>
      </c>
      <c r="AW76" s="49">
        <f>IF(AND($AQ76&gt;0,AP76&gt;$AP$7),1,0)</f>
        <v/>
      </c>
      <c r="AX76" s="49">
        <f>IF(AW76=1,SUM($AW$15:AW76),"")</f>
        <v/>
      </c>
      <c r="AY76" s="51">
        <f>IF(AW76=1,$AQ76/(1+$AP$104/2)^(AX76-1),0)</f>
        <v/>
      </c>
      <c r="AZ76" s="51">
        <f>IF(AW76=1,$AQ76/(1+($AP$104+0.0001)/2)^(AX76-1),0)</f>
        <v/>
      </c>
      <c r="BA76" s="51">
        <f>IF(AW76=1,$AQ76/(1+($AP$104-0.0001)/2)^(AX76-1),0)</f>
        <v/>
      </c>
      <c r="BB76" s="51">
        <f>IF(AW76=1,$AQ76/(1+$AP$109/2)^(AX76-1),0)</f>
        <v/>
      </c>
      <c r="BC76" s="51">
        <f>IF(AW76=1,$AQ76/(1+$AP$111/2)^(AX76-1),0)</f>
        <v/>
      </c>
      <c r="BD76" s="51">
        <f>IF(AW76=1,$AQ76/(1+($AP$111+0.0001)/2)^(AX76-1),0)</f>
        <v/>
      </c>
      <c r="BE76" s="51">
        <f>IF(AW76=1,$AQ76/(1+($AP$111-0.0001)/2)^(AX76-1),0)</f>
        <v/>
      </c>
      <c r="BF76" s="51">
        <f>IF(AND($AQ76&gt;0,AP76&gt;$AP$6,AP76&lt;=$AP$7),$AQ76*(1+$AP$10*($AP$7-AP76)/365),0)</f>
        <v/>
      </c>
    </row>
    <row r="78">
      <c r="A78" s="40" t="inlineStr">
        <is>
          <t>── 현물 평가 (S0) ──</t>
        </is>
      </c>
      <c r="U78" s="40" t="inlineStr">
        <is>
          <t>── 현물 평가 (S0) ──</t>
        </is>
      </c>
      <c r="AO78" s="40" t="inlineStr">
        <is>
          <t>── 현물 평가 (S0) ──</t>
        </is>
      </c>
    </row>
    <row r="79">
      <c r="A79" s="4" t="inlineStr">
        <is>
          <t>잔존 이표 횟수 n</t>
        </is>
      </c>
      <c r="B79" s="15">
        <f>SUM(D15:D76)</f>
        <v/>
      </c>
      <c r="U79" s="4" t="inlineStr">
        <is>
          <t>잔존 이표 횟수 n</t>
        </is>
      </c>
      <c r="V79" s="15">
        <f>SUM(X15:X76)</f>
        <v/>
      </c>
      <c r="AO79" s="4" t="inlineStr">
        <is>
          <t>잔존 이표 횟수 n</t>
        </is>
      </c>
      <c r="AP79" s="15">
        <f>SUM(AR15:AR76)</f>
        <v/>
      </c>
    </row>
    <row r="80">
      <c r="A80" s="4" t="inlineStr">
        <is>
          <t>다음 이표일</t>
        </is>
      </c>
      <c r="B80" s="19">
        <f>INDEX(B15:B76,MATCH(1,D15:D76,0))</f>
        <v/>
      </c>
      <c r="U80" s="4" t="inlineStr">
        <is>
          <t>다음 이표일</t>
        </is>
      </c>
      <c r="V80" s="19">
        <f>INDEX(V15:V76,MATCH(1,X15:X76,0))</f>
        <v/>
      </c>
      <c r="AO80" s="4" t="inlineStr">
        <is>
          <t>다음 이표일</t>
        </is>
      </c>
      <c r="AP80" s="19">
        <f>INDEX(AP15:AP76,MATCH(1,AR15:AR76,0))</f>
        <v/>
      </c>
    </row>
    <row r="81">
      <c r="A81" s="4" t="inlineStr">
        <is>
          <t>직전 이표일</t>
        </is>
      </c>
      <c r="B81" s="19">
        <f>EDATE(B80,-6)</f>
        <v/>
      </c>
      <c r="U81" s="4" t="inlineStr">
        <is>
          <t>직전 이표일</t>
        </is>
      </c>
      <c r="V81" s="19">
        <f>EDATE(V80,-6)</f>
        <v/>
      </c>
      <c r="AO81" s="4" t="inlineStr">
        <is>
          <t>직전 이표일</t>
        </is>
      </c>
      <c r="AP81" s="19">
        <f>EDATE(AP80,-6)</f>
        <v/>
      </c>
    </row>
    <row r="82">
      <c r="A82" s="4" t="inlineStr">
        <is>
          <t>d (S0→다음이표일)</t>
        </is>
      </c>
      <c r="B82" s="15">
        <f>B80-B6</f>
        <v/>
      </c>
      <c r="U82" s="4" t="inlineStr">
        <is>
          <t>d (S0→다음이표일)</t>
        </is>
      </c>
      <c r="V82" s="15">
        <f>V80-V6</f>
        <v/>
      </c>
      <c r="AO82" s="4" t="inlineStr">
        <is>
          <t>d (S0→다음이표일)</t>
        </is>
      </c>
      <c r="AP82" s="15">
        <f>AP80-AP6</f>
        <v/>
      </c>
    </row>
    <row r="83">
      <c r="A83" s="4" t="inlineStr">
        <is>
          <t>T (이표기간 일수)</t>
        </is>
      </c>
      <c r="B83" s="15">
        <f>B80-B81</f>
        <v/>
      </c>
      <c r="U83" s="4" t="inlineStr">
        <is>
          <t>T (이표기간 일수)</t>
        </is>
      </c>
      <c r="V83" s="15">
        <f>V80-V81</f>
        <v/>
      </c>
      <c r="AO83" s="4" t="inlineStr">
        <is>
          <t>T (이표기간 일수)</t>
        </is>
      </c>
      <c r="AP83" s="15">
        <f>AP80-AP81</f>
        <v/>
      </c>
    </row>
    <row r="84">
      <c r="A84" s="4" t="inlineStr">
        <is>
          <t>단수기간 할인계수</t>
        </is>
      </c>
      <c r="B84" s="25">
        <f>1+B8/2*B82/B83</f>
        <v/>
      </c>
      <c r="U84" s="4" t="inlineStr">
        <is>
          <t>단수기간 할인계수</t>
        </is>
      </c>
      <c r="V84" s="25">
        <f>1+V8/2*V82/V83</f>
        <v/>
      </c>
      <c r="AO84" s="4" t="inlineStr">
        <is>
          <t>단수기간 할인계수</t>
        </is>
      </c>
      <c r="AP84" s="25">
        <f>1+AP8/2*AP82/AP83</f>
        <v/>
      </c>
    </row>
    <row r="85">
      <c r="A85" s="4" t="inlineStr">
        <is>
          <t>단가(더티) P0</t>
        </is>
      </c>
      <c r="B85" s="25">
        <f>SUM(F15:F76)/B84</f>
        <v/>
      </c>
      <c r="U85" s="4" t="inlineStr">
        <is>
          <t>단가(더티) P0</t>
        </is>
      </c>
      <c r="V85" s="25">
        <f>SUM(Z15:Z76)/V84</f>
        <v/>
      </c>
      <c r="AO85" s="4" t="inlineStr">
        <is>
          <t>단가(더티) P0</t>
        </is>
      </c>
      <c r="AP85" s="25">
        <f>SUM(AT15:AT76)/AP84</f>
        <v/>
      </c>
    </row>
    <row r="86">
      <c r="A86" s="4" t="inlineStr">
        <is>
          <t>P0 @ y+1bp</t>
        </is>
      </c>
      <c r="B86" s="25">
        <f>SUM(G15:G76)/(1+(B8+0.0001)/2*B82/B83)</f>
        <v/>
      </c>
      <c r="U86" s="4" t="inlineStr">
        <is>
          <t>P0 @ y+1bp</t>
        </is>
      </c>
      <c r="V86" s="25">
        <f>SUM(AA15:AA76)/(1+(V8+0.0001)/2*V82/V83)</f>
        <v/>
      </c>
      <c r="AO86" s="4" t="inlineStr">
        <is>
          <t>P0 @ y+1bp</t>
        </is>
      </c>
      <c r="AP86" s="25">
        <f>SUM(AU15:AU76)/(1+(AP8+0.0001)/2*AP82/AP83)</f>
        <v/>
      </c>
    </row>
    <row r="87">
      <c r="A87" s="4" t="inlineStr">
        <is>
          <t>P0 @ y-1bp</t>
        </is>
      </c>
      <c r="B87" s="25">
        <f>SUM(H15:H76)/(1+(B8-0.0001)/2*B82/B83)</f>
        <v/>
      </c>
      <c r="U87" s="4" t="inlineStr">
        <is>
          <t>P0 @ y-1bp</t>
        </is>
      </c>
      <c r="V87" s="25">
        <f>SUM(AB15:AB76)/(1+(V8-0.0001)/2*V82/V83)</f>
        <v/>
      </c>
      <c r="AO87" s="4" t="inlineStr">
        <is>
          <t>P0 @ y-1bp</t>
        </is>
      </c>
      <c r="AP87" s="25">
        <f>SUM(AV15:AV76)/(1+(AP8-0.0001)/2*AP82/AP83)</f>
        <v/>
      </c>
    </row>
    <row r="88">
      <c r="A88" s="4" t="inlineStr">
        <is>
          <t>BPV (포인트/1bp)</t>
        </is>
      </c>
      <c r="B88" s="25">
        <f>(B87-B86)/2</f>
        <v/>
      </c>
      <c r="U88" s="4" t="inlineStr">
        <is>
          <t>BPV (포인트/1bp)</t>
        </is>
      </c>
      <c r="V88" s="25">
        <f>(V87-V86)/2</f>
        <v/>
      </c>
      <c r="AO88" s="4" t="inlineStr">
        <is>
          <t>BPV (포인트/1bp)</t>
        </is>
      </c>
      <c r="AP88" s="25">
        <f>(AP87-AP86)/2</f>
        <v/>
      </c>
    </row>
    <row r="89">
      <c r="A89" s="4" t="inlineStr">
        <is>
          <t>수정듀레이션(년)</t>
        </is>
      </c>
      <c r="B89" s="9">
        <f>B88*10000/B85</f>
        <v/>
      </c>
      <c r="U89" s="4" t="inlineStr">
        <is>
          <t>수정듀레이션(년)</t>
        </is>
      </c>
      <c r="V89" s="9">
        <f>V88*10000/V85</f>
        <v/>
      </c>
      <c r="AO89" s="4" t="inlineStr">
        <is>
          <t>수정듀레이션(년)</t>
        </is>
      </c>
      <c r="AP89" s="9">
        <f>AP88*10000/AP85</f>
        <v/>
      </c>
    </row>
    <row r="90">
      <c r="A90" s="4" t="inlineStr">
        <is>
          <t>경과일수(참고)</t>
        </is>
      </c>
      <c r="B90" s="15">
        <f>B6-B81</f>
        <v/>
      </c>
      <c r="U90" s="4" t="inlineStr">
        <is>
          <t>경과일수(참고)</t>
        </is>
      </c>
      <c r="V90" s="15">
        <f>V6-V81</f>
        <v/>
      </c>
      <c r="AO90" s="4" t="inlineStr">
        <is>
          <t>경과일수(참고)</t>
        </is>
      </c>
      <c r="AP90" s="15">
        <f>AP6-AP81</f>
        <v/>
      </c>
    </row>
    <row r="91">
      <c r="A91" s="4" t="inlineStr">
        <is>
          <t>경과이자(참고)</t>
        </is>
      </c>
      <c r="B91" s="25">
        <f>B4*100*B90/365</f>
        <v/>
      </c>
      <c r="U91" s="4" t="inlineStr">
        <is>
          <t>경과이자(참고)</t>
        </is>
      </c>
      <c r="V91" s="25">
        <f>V4*100*V90/365</f>
        <v/>
      </c>
      <c r="AO91" s="4" t="inlineStr">
        <is>
          <t>경과이자(참고)</t>
        </is>
      </c>
      <c r="AP91" s="25">
        <f>AP4*100*AP90/365</f>
        <v/>
      </c>
    </row>
    <row r="92">
      <c r="A92" s="4" t="inlineStr">
        <is>
          <t>클린가(참고)</t>
        </is>
      </c>
      <c r="B92" s="25">
        <f>B85-B91</f>
        <v/>
      </c>
      <c r="U92" s="4" t="inlineStr">
        <is>
          <t>클린가(참고)</t>
        </is>
      </c>
      <c r="V92" s="25">
        <f>V85-V91</f>
        <v/>
      </c>
      <c r="AO92" s="4" t="inlineStr">
        <is>
          <t>클린가(참고)</t>
        </is>
      </c>
      <c r="AP92" s="25">
        <f>AP85-AP91</f>
        <v/>
      </c>
    </row>
    <row r="94">
      <c r="A94" s="40" t="inlineStr">
        <is>
          <t>── 선도 평가 (H) ──</t>
        </is>
      </c>
      <c r="U94" s="40" t="inlineStr">
        <is>
          <t>── 선도 평가 (H) ──</t>
        </is>
      </c>
      <c r="AO94" s="40" t="inlineStr">
        <is>
          <t>── 선도 평가 (H) ──</t>
        </is>
      </c>
    </row>
    <row r="95">
      <c r="A95" s="4" t="inlineStr">
        <is>
          <t>선도 잔존 이표횟수</t>
        </is>
      </c>
      <c r="B95" s="15">
        <f>SUM(I15:I76)</f>
        <v/>
      </c>
      <c r="U95" s="4" t="inlineStr">
        <is>
          <t>선도 잔존 이표횟수</t>
        </is>
      </c>
      <c r="V95" s="15">
        <f>SUM(AC15:AC76)</f>
        <v/>
      </c>
      <c r="AO95" s="4" t="inlineStr">
        <is>
          <t>선도 잔존 이표횟수</t>
        </is>
      </c>
      <c r="AP95" s="15">
        <f>SUM(AW15:AW76)</f>
        <v/>
      </c>
    </row>
    <row r="96">
      <c r="A96" s="4" t="inlineStr">
        <is>
          <t>H 이후 다음 이표일</t>
        </is>
      </c>
      <c r="B96" s="19">
        <f>INDEX(B15:B76,MATCH(1,I15:I76,0))</f>
        <v/>
      </c>
      <c r="U96" s="4" t="inlineStr">
        <is>
          <t>H 이후 다음 이표일</t>
        </is>
      </c>
      <c r="V96" s="19">
        <f>INDEX(V15:V76,MATCH(1,AC15:AC76,0))</f>
        <v/>
      </c>
      <c r="AO96" s="4" t="inlineStr">
        <is>
          <t>H 이후 다음 이표일</t>
        </is>
      </c>
      <c r="AP96" s="19">
        <f>INDEX(AP15:AP76,MATCH(1,AW15:AW76,0))</f>
        <v/>
      </c>
    </row>
    <row r="97">
      <c r="A97" s="4" t="inlineStr">
        <is>
          <t>그 직전 이표일</t>
        </is>
      </c>
      <c r="B97" s="19">
        <f>EDATE(B96,-6)</f>
        <v/>
      </c>
      <c r="U97" s="4" t="inlineStr">
        <is>
          <t>그 직전 이표일</t>
        </is>
      </c>
      <c r="V97" s="19">
        <f>EDATE(V96,-6)</f>
        <v/>
      </c>
      <c r="AO97" s="4" t="inlineStr">
        <is>
          <t>그 직전 이표일</t>
        </is>
      </c>
      <c r="AP97" s="19">
        <f>EDATE(AP96,-6)</f>
        <v/>
      </c>
    </row>
    <row r="98">
      <c r="A98" s="4" t="inlineStr">
        <is>
          <t>d_H</t>
        </is>
      </c>
      <c r="B98" s="15">
        <f>B96-B7</f>
        <v/>
      </c>
      <c r="U98" s="4" t="inlineStr">
        <is>
          <t>d_H</t>
        </is>
      </c>
      <c r="V98" s="15">
        <f>V96-V7</f>
        <v/>
      </c>
      <c r="AO98" s="4" t="inlineStr">
        <is>
          <t>d_H</t>
        </is>
      </c>
      <c r="AP98" s="15">
        <f>AP96-AP7</f>
        <v/>
      </c>
    </row>
    <row r="99">
      <c r="A99" s="4" t="inlineStr">
        <is>
          <t>T_H</t>
        </is>
      </c>
      <c r="B99" s="15">
        <f>B96-B97</f>
        <v/>
      </c>
      <c r="U99" s="4" t="inlineStr">
        <is>
          <t>T_H</t>
        </is>
      </c>
      <c r="V99" s="15">
        <f>V96-V97</f>
        <v/>
      </c>
      <c r="AO99" s="4" t="inlineStr">
        <is>
          <t>T_H</t>
        </is>
      </c>
      <c r="AP99" s="15">
        <f>AP96-AP97</f>
        <v/>
      </c>
    </row>
    <row r="100">
      <c r="A100" s="4" t="inlineStr">
        <is>
          <t>기간중 쿠폰 재투자FV</t>
        </is>
      </c>
      <c r="B100" s="25">
        <f>SUM(R15:R76)</f>
        <v/>
      </c>
      <c r="U100" s="4" t="inlineStr">
        <is>
          <t>기간중 쿠폰 재투자FV</t>
        </is>
      </c>
      <c r="V100" s="25">
        <f>SUM(AL15:AL76)</f>
        <v/>
      </c>
      <c r="AO100" s="4" t="inlineStr">
        <is>
          <t>기간중 쿠폰 재투자FV</t>
        </is>
      </c>
      <c r="AP100" s="25">
        <f>SUM(BF15:BF76)</f>
        <v/>
      </c>
    </row>
    <row r="101">
      <c r="A101" s="4" t="inlineStr">
        <is>
          <t>조달일수 (S0→H)</t>
        </is>
      </c>
      <c r="B101" s="15">
        <f>B7-B6</f>
        <v/>
      </c>
      <c r="U101" s="4" t="inlineStr">
        <is>
          <t>조달일수 (S0→H)</t>
        </is>
      </c>
      <c r="V101" s="15">
        <f>V7-V6</f>
        <v/>
      </c>
      <c r="AO101" s="4" t="inlineStr">
        <is>
          <t>조달일수 (S0→H)</t>
        </is>
      </c>
      <c r="AP101" s="15">
        <f>AP7-AP6</f>
        <v/>
      </c>
    </row>
    <row r="102">
      <c r="A102" s="4" t="inlineStr">
        <is>
          <t>조달이자</t>
        </is>
      </c>
      <c r="B102" s="25">
        <f>B85*B9*B101/365</f>
        <v/>
      </c>
      <c r="U102" s="4" t="inlineStr">
        <is>
          <t>조달이자</t>
        </is>
      </c>
      <c r="V102" s="25">
        <f>V85*V9*V101/365</f>
        <v/>
      </c>
      <c r="AO102" s="4" t="inlineStr">
        <is>
          <t>조달이자</t>
        </is>
      </c>
      <c r="AP102" s="25">
        <f>AP85*AP9*AP101/365</f>
        <v/>
      </c>
    </row>
    <row r="103">
      <c r="A103" s="4" t="inlineStr">
        <is>
          <t>선도 목표단가(더티)</t>
        </is>
      </c>
      <c r="B103" s="25">
        <f>B85+B102-B100</f>
        <v/>
      </c>
      <c r="U103" s="4" t="inlineStr">
        <is>
          <t>선도 목표단가(더티)</t>
        </is>
      </c>
      <c r="V103" s="25">
        <f>V85+V102-V100</f>
        <v/>
      </c>
      <c r="AO103" s="4" t="inlineStr">
        <is>
          <t>선도 목표단가(더티)</t>
        </is>
      </c>
      <c r="AP103" s="25">
        <f>AP85+AP102-AP100</f>
        <v/>
      </c>
    </row>
    <row r="104">
      <c r="A104" s="4" t="inlineStr">
        <is>
          <t>y0 (초기추정)</t>
        </is>
      </c>
      <c r="B104" s="35">
        <f>B8</f>
        <v/>
      </c>
      <c r="U104" s="4" t="inlineStr">
        <is>
          <t>y0 (초기추정)</t>
        </is>
      </c>
      <c r="V104" s="35">
        <f>V8</f>
        <v/>
      </c>
      <c r="AO104" s="4" t="inlineStr">
        <is>
          <t>y0 (초기추정)</t>
        </is>
      </c>
      <c r="AP104" s="35">
        <f>AP8</f>
        <v/>
      </c>
    </row>
    <row r="105">
      <c r="A105" s="4" t="inlineStr">
        <is>
          <t>P_H(y0)</t>
        </is>
      </c>
      <c r="B105" s="25">
        <f>SUM(K15:K76)/(1+B104/2*B98/B99)</f>
        <v/>
      </c>
      <c r="U105" s="4" t="inlineStr">
        <is>
          <t>P_H(y0)</t>
        </is>
      </c>
      <c r="V105" s="25">
        <f>SUM(AE15:AE76)/(1+V104/2*V98/V99)</f>
        <v/>
      </c>
      <c r="AO105" s="4" t="inlineStr">
        <is>
          <t>P_H(y0)</t>
        </is>
      </c>
      <c r="AP105" s="25">
        <f>SUM(AY15:AY76)/(1+AP104/2*AP98/AP99)</f>
        <v/>
      </c>
    </row>
    <row r="106">
      <c r="A106" s="4" t="inlineStr">
        <is>
          <t>P_H(y0+1bp)</t>
        </is>
      </c>
      <c r="B106" s="25">
        <f>SUM(L15:L76)/(1+(B104+0.0001)/2*B98/B99)</f>
        <v/>
      </c>
      <c r="U106" s="4" t="inlineStr">
        <is>
          <t>P_H(y0+1bp)</t>
        </is>
      </c>
      <c r="V106" s="25">
        <f>SUM(AF15:AF76)/(1+(V104+0.0001)/2*V98/V99)</f>
        <v/>
      </c>
      <c r="AO106" s="4" t="inlineStr">
        <is>
          <t>P_H(y0+1bp)</t>
        </is>
      </c>
      <c r="AP106" s="25">
        <f>SUM(AZ15:AZ76)/(1+(AP104+0.0001)/2*AP98/AP99)</f>
        <v/>
      </c>
    </row>
    <row r="107">
      <c r="A107" s="4" t="inlineStr">
        <is>
          <t>P_H(y0-1bp)</t>
        </is>
      </c>
      <c r="B107" s="25">
        <f>SUM(M15:M76)/(1+(B104-0.0001)/2*B98/B99)</f>
        <v/>
      </c>
      <c r="U107" s="4" t="inlineStr">
        <is>
          <t>P_H(y0-1bp)</t>
        </is>
      </c>
      <c r="V107" s="25">
        <f>SUM(AG15:AG76)/(1+(V104-0.0001)/2*V98/V99)</f>
        <v/>
      </c>
      <c r="AO107" s="4" t="inlineStr">
        <is>
          <t>P_H(y0-1bp)</t>
        </is>
      </c>
      <c r="AP107" s="25">
        <f>SUM(BA15:BA76)/(1+(AP104-0.0001)/2*AP98/AP99)</f>
        <v/>
      </c>
    </row>
    <row r="108">
      <c r="A108" s="4" t="inlineStr">
        <is>
          <t>|dP/dy| (기울기)</t>
        </is>
      </c>
      <c r="B108" s="25">
        <f>(B107-B106)/0.0002</f>
        <v/>
      </c>
      <c r="U108" s="4" t="inlineStr">
        <is>
          <t>|dP/dy| (기울기)</t>
        </is>
      </c>
      <c r="V108" s="25">
        <f>(V107-V106)/0.0002</f>
        <v/>
      </c>
      <c r="AO108" s="4" t="inlineStr">
        <is>
          <t>|dP/dy| (기울기)</t>
        </is>
      </c>
      <c r="AP108" s="25">
        <f>(AP107-AP106)/0.0002</f>
        <v/>
      </c>
    </row>
    <row r="109">
      <c r="A109" s="4" t="inlineStr">
        <is>
          <t>y1 (뉴턴 1회)</t>
        </is>
      </c>
      <c r="B109" s="35">
        <f>B104+(B105-B103)/B108</f>
        <v/>
      </c>
      <c r="U109" s="4" t="inlineStr">
        <is>
          <t>y1 (뉴턴 1회)</t>
        </is>
      </c>
      <c r="V109" s="35">
        <f>V104+(V105-V103)/V108</f>
        <v/>
      </c>
      <c r="AO109" s="4" t="inlineStr">
        <is>
          <t>y1 (뉴턴 1회)</t>
        </is>
      </c>
      <c r="AP109" s="35">
        <f>AP104+(AP105-AP103)/AP108</f>
        <v/>
      </c>
    </row>
    <row r="110">
      <c r="A110" s="4" t="inlineStr">
        <is>
          <t>P_H(y1)</t>
        </is>
      </c>
      <c r="B110" s="25">
        <f>SUM(N15:N76)/(1+B109/2*B98/B99)</f>
        <v/>
      </c>
      <c r="U110" s="4" t="inlineStr">
        <is>
          <t>P_H(y1)</t>
        </is>
      </c>
      <c r="V110" s="25">
        <f>SUM(AH15:AH76)/(1+V109/2*V98/V99)</f>
        <v/>
      </c>
      <c r="AO110" s="4" t="inlineStr">
        <is>
          <t>P_H(y1)</t>
        </is>
      </c>
      <c r="AP110" s="25">
        <f>SUM(BB15:BB76)/(1+AP109/2*AP98/AP99)</f>
        <v/>
      </c>
    </row>
    <row r="111">
      <c r="A111" s="4" t="inlineStr">
        <is>
          <t>y2 (뉴턴 2회) ▶ 선도수익률</t>
        </is>
      </c>
      <c r="B111" s="35">
        <f>B109+(B110-B103)/B108</f>
        <v/>
      </c>
      <c r="U111" s="4" t="inlineStr">
        <is>
          <t>y2 (뉴턴 2회) ▶ 선도수익률</t>
        </is>
      </c>
      <c r="V111" s="35">
        <f>V109+(V110-V103)/V108</f>
        <v/>
      </c>
      <c r="AO111" s="4" t="inlineStr">
        <is>
          <t>y2 (뉴턴 2회) ▶ 선도수익률</t>
        </is>
      </c>
      <c r="AP111" s="35">
        <f>AP109+(AP110-AP103)/AP108</f>
        <v/>
      </c>
    </row>
    <row r="112">
      <c r="A112" s="4" t="inlineStr">
        <is>
          <t>P_H(y2)</t>
        </is>
      </c>
      <c r="B112" s="25">
        <f>SUM(O15:O76)/(1+B111/2*B98/B99)</f>
        <v/>
      </c>
      <c r="U112" s="4" t="inlineStr">
        <is>
          <t>P_H(y2)</t>
        </is>
      </c>
      <c r="V112" s="25">
        <f>SUM(AI15:AI76)/(1+V111/2*V98/V99)</f>
        <v/>
      </c>
      <c r="AO112" s="4" t="inlineStr">
        <is>
          <t>P_H(y2)</t>
        </is>
      </c>
      <c r="AP112" s="25">
        <f>SUM(BC15:BC76)/(1+AP111/2*AP98/AP99)</f>
        <v/>
      </c>
    </row>
    <row r="113">
      <c r="A113" s="4" t="inlineStr">
        <is>
          <t>수렴 잔차</t>
        </is>
      </c>
      <c r="B113" s="30">
        <f>B112-B103</f>
        <v/>
      </c>
      <c r="U113" s="4" t="inlineStr">
        <is>
          <t>수렴 잔차</t>
        </is>
      </c>
      <c r="V113" s="30">
        <f>V112-V103</f>
        <v/>
      </c>
      <c r="AO113" s="4" t="inlineStr">
        <is>
          <t>수렴 잔차</t>
        </is>
      </c>
      <c r="AP113" s="30">
        <f>AP112-AP103</f>
        <v/>
      </c>
    </row>
    <row r="114">
      <c r="A114" s="4" t="inlineStr">
        <is>
          <t>P_H(y2+1bp)</t>
        </is>
      </c>
      <c r="B114" s="25">
        <f>SUM(P15:P76)/(1+(B111+0.0001)/2*B98/B99)</f>
        <v/>
      </c>
      <c r="U114" s="4" t="inlineStr">
        <is>
          <t>P_H(y2+1bp)</t>
        </is>
      </c>
      <c r="V114" s="25">
        <f>SUM(AJ15:AJ76)/(1+(V111+0.0001)/2*V98/V99)</f>
        <v/>
      </c>
      <c r="AO114" s="4" t="inlineStr">
        <is>
          <t>P_H(y2+1bp)</t>
        </is>
      </c>
      <c r="AP114" s="25">
        <f>SUM(BD15:BD76)/(1+(AP111+0.0001)/2*AP98/AP99)</f>
        <v/>
      </c>
    </row>
    <row r="115">
      <c r="A115" s="4" t="inlineStr">
        <is>
          <t>P_H(y2-1bp)</t>
        </is>
      </c>
      <c r="B115" s="25">
        <f>SUM(Q15:Q76)/(1+(B111-0.0001)/2*B98/B99)</f>
        <v/>
      </c>
      <c r="U115" s="4" t="inlineStr">
        <is>
          <t>P_H(y2-1bp)</t>
        </is>
      </c>
      <c r="V115" s="25">
        <f>SUM(AK15:AK76)/(1+(V111-0.0001)/2*V98/V99)</f>
        <v/>
      </c>
      <c r="AO115" s="4" t="inlineStr">
        <is>
          <t>P_H(y2-1bp)</t>
        </is>
      </c>
      <c r="AP115" s="25">
        <f>SUM(BE15:BE76)/(1+(AP111-0.0001)/2*AP98/AP99)</f>
        <v/>
      </c>
    </row>
    <row r="116">
      <c r="A116" s="4" t="inlineStr">
        <is>
          <t>선도 BPV (포인트/1bp)</t>
        </is>
      </c>
      <c r="B116" s="25">
        <f>(B115-B114)/2</f>
        <v/>
      </c>
      <c r="U116" s="4" t="inlineStr">
        <is>
          <t>선도 BPV (포인트/1bp)</t>
        </is>
      </c>
      <c r="V116" s="25">
        <f>(V115-V114)/2</f>
        <v/>
      </c>
      <c r="AO116" s="4" t="inlineStr">
        <is>
          <t>선도 BPV (포인트/1bp)</t>
        </is>
      </c>
      <c r="AP116" s="25">
        <f>(AP115-AP114)/2</f>
        <v/>
      </c>
    </row>
    <row r="117">
      <c r="A117" s="4" t="inlineStr">
        <is>
          <t>선도 2차미분 P''</t>
        </is>
      </c>
      <c r="B117" s="31">
        <f>(B114-2*B112+B115)/(0.0001^2)</f>
        <v/>
      </c>
      <c r="U117" s="4" t="inlineStr">
        <is>
          <t>선도 2차미분 P''</t>
        </is>
      </c>
      <c r="V117" s="31">
        <f>(V114-2*V112+V115)/(0.0001^2)</f>
        <v/>
      </c>
      <c r="AO117" s="4" t="inlineStr">
        <is>
          <t>선도 2차미분 P''</t>
        </is>
      </c>
      <c r="AP117" s="31">
        <f>(AP114-2*AP112+AP115)/(0.0001^2)</f>
        <v/>
      </c>
    </row>
    <row r="118">
      <c r="A118" s="4" t="inlineStr">
        <is>
          <t>선도 잔존만기(년)</t>
        </is>
      </c>
      <c r="B118" s="9">
        <f>(B2-B7)/365</f>
        <v/>
      </c>
      <c r="U118" s="4" t="inlineStr">
        <is>
          <t>선도 잔존만기(년)</t>
        </is>
      </c>
      <c r="V118" s="9">
        <f>(V2-V7)/365</f>
        <v/>
      </c>
      <c r="AO118" s="4" t="inlineStr">
        <is>
          <t>선도 잔존만기(년)</t>
        </is>
      </c>
      <c r="AP118" s="9">
        <f>(AP2-AP7)/365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2" customWidth="1" min="3" max="3"/>
  </cols>
  <sheetData>
    <row r="1" ht="22" customHeight="1">
      <c r="A1" s="1" t="inlineStr">
        <is>
          <t>실시간 데이터 연동 가이드 &amp; 준비물 체크리스트</t>
        </is>
      </c>
      <c r="B1" s="2" t="n"/>
      <c r="C1" s="2" t="n"/>
      <c r="D1" s="2" t="n"/>
      <c r="E1" s="2" t="n"/>
    </row>
    <row r="2"/>
    <row r="3">
      <c r="B3" s="11" t="inlineStr">
        <is>
          <t>A. 벤더별 실시간 연동 수식</t>
        </is>
      </c>
      <c r="C3" s="11" t="n"/>
    </row>
    <row r="4">
      <c r="B4" s="5" t="inlineStr">
        <is>
          <t>벤더 / 방식</t>
        </is>
      </c>
      <c r="C4" s="5" t="inlineStr">
        <is>
          <t>[실시간] C열에 넣을 수식 예시</t>
        </is>
      </c>
    </row>
    <row r="5">
      <c r="B5" s="52" t="inlineStr">
        <is>
          <t>연합인포맥스 (Excel Add-in)</t>
        </is>
      </c>
      <c r="C5" s="53" t="inlineStr">
        <is>
          <t>=IMFX("KR103502GE97","매도수익률")   /   =IMFX("F 10YKTB","현재가")</t>
        </is>
      </c>
    </row>
    <row r="6">
      <c r="B6" s="52" t="inlineStr">
        <is>
          <t>Bloomberg (BDP)</t>
        </is>
      </c>
      <c r="C6" s="53" t="inlineStr">
        <is>
          <t>=BDP("KTBA Comdty","PX_LAST")   /   =BDP("KTB 3 06/10/35 Corp","YLD_YTM_ASK")</t>
        </is>
      </c>
    </row>
    <row r="7">
      <c r="B7" s="52" t="inlineStr">
        <is>
          <t>Bloomberg (RTD 스트리밍)</t>
        </is>
      </c>
      <c r="C7" s="53" t="inlineStr">
        <is>
          <t>=RTD("bloomberglp.bloombergrtd",,"//blp/mktdata","KTBA Comdty","LAST_PRICE")</t>
        </is>
      </c>
    </row>
    <row r="8">
      <c r="B8" s="52" t="inlineStr">
        <is>
          <t>Refinitiv Eikon</t>
        </is>
      </c>
      <c r="C8" s="53" t="inlineStr">
        <is>
          <t>=RtGet("IDN","KTBc1","CF_LAST")   또는  =TR("KTBc1","CF_LAST")</t>
        </is>
      </c>
    </row>
    <row r="9">
      <c r="B9" s="52" t="inlineStr">
        <is>
          <t>LS증권 xingAPI (DDE)</t>
        </is>
      </c>
      <c r="C9" s="53" t="inlineStr">
        <is>
          <t>=xingDDE|주식현재가!'종목코드'   (xingAPI DDE 서버 실행 필요)</t>
        </is>
      </c>
    </row>
    <row r="10">
      <c r="B10" s="52" t="inlineStr">
        <is>
          <t>대신증권 CYBOS Plus (DDE)</t>
        </is>
      </c>
      <c r="C10" s="53" t="inlineStr">
        <is>
          <t>=CYBOS|StockMst!'A005930'   (CYBOS Plus 로그인 상태 필요)</t>
        </is>
      </c>
    </row>
    <row r="11">
      <c r="B11" s="52" t="inlineStr">
        <is>
          <t>키움 OpenAPI+</t>
        </is>
      </c>
      <c r="C11" s="53" t="inlineStr">
        <is>
          <t>Excel 직결 미지원 → VBA/파이썬 브리지로 셀에 write, 또는 RTD 서버 자작</t>
        </is>
      </c>
    </row>
    <row r="12">
      <c r="B12" s="52" t="inlineStr">
        <is>
          <t>한국투자증권 OpenAPI (REST)</t>
        </is>
      </c>
      <c r="C12" s="53" t="inlineStr">
        <is>
          <t>Power Query 또는 VBA로 폴링. 실시간은 WebSocket → 별도 브리지 필요</t>
        </is>
      </c>
    </row>
    <row r="13">
      <c r="B13" s="52" t="inlineStr">
        <is>
          <t>KRX 정보데이터시스템</t>
        </is>
      </c>
      <c r="C13" s="53" t="inlineStr">
        <is>
          <t>지연 데이터. 차익거래 실행용으로는 부적합(참고용)</t>
        </is>
      </c>
    </row>
    <row r="14">
      <c r="C14" s="8" t="inlineStr">
        <is>
          <t>※ 벤더 함수명·필드명은 버전에 따라 다릅니다. 반드시 해당 Add-in 매뉴얼로 확인하십시오.</t>
        </is>
      </c>
    </row>
    <row r="15">
      <c r="C15" s="8" t="inlineStr">
        <is>
          <t>※ RTD/DDE는 [파일]-[옵션]-[수식]에서 계산옵션이 '자동'이어야 갱신됩니다.</t>
        </is>
      </c>
    </row>
    <row r="16">
      <c r="B16" s="11" t="inlineStr">
        <is>
          <t>B. 준비물 체크리스트 — 이 파일을 실전에 쓰려면 아래가 추가로 필요합니다</t>
        </is>
      </c>
      <c r="C16" s="11" t="n"/>
    </row>
    <row r="17">
      <c r="B17" s="5" t="inlineStr">
        <is>
          <t>항목</t>
        </is>
      </c>
      <c r="C17" s="5" t="inlineStr">
        <is>
          <t>내용</t>
        </is>
      </c>
    </row>
    <row r="18">
      <c r="B18" s="52" t="inlineStr">
        <is>
          <t>1. 바스켓 종목 확정</t>
        </is>
      </c>
      <c r="C18" s="53" t="inlineStr">
        <is>
          <t>해당 결제월의 최종결제기준채권(종목코드/발행일/만기일/표면금리). KRX가 결제월별로 공시.</t>
        </is>
      </c>
    </row>
    <row r="19">
      <c r="B19" s="52" t="inlineStr">
        <is>
          <t>2. 실시간 채권 호가</t>
        </is>
      </c>
      <c r="C19" s="53" t="inlineStr">
        <is>
          <t>바스켓 종목의 Bid/Ask 수익률. 장외 채권은 유동성이 얕아 '체결 가능한' 호가인지가 관건.</t>
        </is>
      </c>
    </row>
    <row r="20">
      <c r="B20" s="52" t="inlineStr">
        <is>
          <t>3. 실시간 선물 호가</t>
        </is>
      </c>
      <c r="C20" s="53" t="inlineStr">
        <is>
          <t>최근월물 현재가 + 1호가. 체결가 기준으로 베이시스를 봐야 실행 가능.</t>
        </is>
      </c>
    </row>
    <row r="21">
      <c r="B21" s="52" t="inlineStr">
        <is>
          <t>4. 조달금리(레포)</t>
        </is>
      </c>
      <c r="C21" s="53" t="inlineStr">
        <is>
          <t>선물 만기까지의 term repo 금리. 담보 haircut, 롤 가능 기간, 종목별 special 여부.</t>
        </is>
      </c>
    </row>
    <row r="22">
      <c r="B22" s="52" t="inlineStr">
        <is>
          <t>5. 현물 조달·대차 가능성</t>
        </is>
      </c>
      <c r="C22" s="53" t="inlineStr">
        <is>
          <t>역방향(선물매수+현물매도) 시 바스켓 종목 대차 가능 여부와 대차수수료.</t>
        </is>
      </c>
    </row>
    <row r="23">
      <c r="B23" s="52" t="inlineStr">
        <is>
          <t>6. 거래비용 실측치</t>
        </is>
      </c>
      <c r="C23" s="53" t="inlineStr">
        <is>
          <t>선물 위탁수수료(계약당), 채권 장외 스프레드, 결제·최종결제 슬리피지.</t>
        </is>
      </c>
    </row>
    <row r="24">
      <c r="B24" s="52" t="inlineStr">
        <is>
          <t>7. 증거금 / 자금계획</t>
        </is>
      </c>
      <c r="C24" s="53" t="inlineStr">
        <is>
          <t>선물 개시·유지증거금, 일일정산 변동증거금 조달. 마진콜 시나리오.</t>
        </is>
      </c>
    </row>
    <row r="25">
      <c r="B25" s="52" t="inlineStr">
        <is>
          <t>8. 휴일 캘린더</t>
        </is>
      </c>
      <c r="C25" s="53" t="inlineStr">
        <is>
          <t>최종결제일·현물결제일·이표일의 영업일 조정. 현재는 WORKDAY() 기반이라 공휴일 미반영.</t>
        </is>
      </c>
    </row>
    <row r="26">
      <c r="B26" s="52" t="inlineStr">
        <is>
          <t>9. 세무 / 회계 처리</t>
        </is>
      </c>
      <c r="C26" s="53" t="inlineStr">
        <is>
          <t>기관 유형별 채권 이자소득 원천징수 여부 → 실효 캐리에 직접 영향.</t>
        </is>
      </c>
    </row>
    <row r="27">
      <c r="B27" s="52" t="inlineStr">
        <is>
          <t>10. 최종결제 산출 규칙</t>
        </is>
      </c>
      <c r="C27" s="53" t="inlineStr">
        <is>
          <t>딜러 제출 수익률의 집계 시각·최고최저 제외 평균 여부 등 KRX 현행 규정 재확인.</t>
        </is>
      </c>
    </row>
    <row r="28">
      <c r="B28" s="11" t="inlineStr">
        <is>
          <t>C. 남는 리스크 (헤지로 제거되지 않는 것)</t>
        </is>
      </c>
      <c r="C28" s="11" t="n"/>
    </row>
    <row r="29">
      <c r="B29" s="52" t="inlineStr">
        <is>
          <t>결제가격 괴리 리스크</t>
        </is>
      </c>
      <c r="C29" s="53" t="inlineStr">
        <is>
          <t>최종결제기준가격은 딜러 호가 집계값. 만기일에 내가 실제 체결하는 현물 수익률과 다를 수 있음 → 최대 리스크.</t>
        </is>
      </c>
    </row>
    <row r="30">
      <c r="B30" s="52" t="inlineStr">
        <is>
          <t>레포 롤 리스크</t>
        </is>
      </c>
      <c r="C30" s="53" t="inlineStr">
        <is>
          <t>만기까지 term repo를 못 잡으면 조달금리가 변동 → 캐리 전제가 무너짐.</t>
        </is>
      </c>
    </row>
    <row r="31">
      <c r="B31" s="52" t="inlineStr">
        <is>
          <t>컨벡시티 불일치</t>
        </is>
      </c>
      <c r="C31" s="53" t="inlineStr">
        <is>
          <t>BPV 헤지는 1차만 중립화. 대폭 금리변동 시 [시나리오] 시트의 잔여 변동만큼 손익 흔들림.</t>
        </is>
      </c>
    </row>
    <row r="32">
      <c r="B32" s="52" t="inlineStr">
        <is>
          <t>변동증거금 이자효과</t>
        </is>
      </c>
      <c r="C32" s="53" t="inlineStr">
        <is>
          <t>선물은 일일정산되나 현물은 만기 일시정산 → 금리·손익 경로에 따른 테일 리스크.</t>
        </is>
      </c>
    </row>
    <row r="33">
      <c r="B33" s="52" t="inlineStr">
        <is>
          <t>유동성 리스크</t>
        </is>
      </c>
      <c r="C33" s="53" t="inlineStr">
        <is>
          <t>바스켓 종목이 비지표물이면 진입·청산 스프레드가 이론 베이시스를 잠식.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2026-07-27T10:42:58Z</dcterms:created>
  <dcterms:modified xsi:type="dcterms:W3CDTF">2026-07-27T10:42:58Z</dcterms:modified>
</cp:coreProperties>
</file>