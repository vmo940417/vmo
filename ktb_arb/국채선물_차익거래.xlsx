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실시간" sheetId="2" state="visible" r:id="rId2"/>
    <sheet name="설정" sheetId="3" state="visible" r:id="rId3"/>
    <sheet name="바스켓" sheetId="4" state="visible" r:id="rId4"/>
    <sheet name="이론가" sheetId="5" state="visible" r:id="rId5"/>
    <sheet name="손익" sheetId="6" state="visible" r:id="rId6"/>
    <sheet name="시나리오" sheetId="7" state="visible" r:id="rId7"/>
    <sheet name="현금흐름" sheetId="8" state="visible" r:id="rId8"/>
    <sheet name="연동가이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yyyy-mm-dd hh:mm:ss"/>
    <numFmt numFmtId="166" formatCode="yyyy-mm-dd"/>
    <numFmt numFmtId="167" formatCode="0.000000"/>
    <numFmt numFmtId="168" formatCode="0.00000"/>
    <numFmt numFmtId="169" formatCode="0.00000000"/>
    <numFmt numFmtId="170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008000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F99"/>
      </patternFill>
    </fill>
    <fill>
      <patternFill patternType="solid">
        <fgColor rgb="00DDEBF7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4" borderId="0" pivotButton="0" quotePrefix="0" xfId="0"/>
    <xf numFmtId="164" fontId="6" fillId="5" borderId="1" pivotButton="0" quotePrefix="0" xfId="0"/>
    <xf numFmtId="0" fontId="7" fillId="0" borderId="0" pivotButton="0" quotePrefix="0" xfId="0"/>
    <xf numFmtId="164" fontId="3" fillId="0" borderId="1" pivotButton="0" quotePrefix="0" xfId="0"/>
    <xf numFmtId="165" fontId="3" fillId="0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5" fillId="4" borderId="1" pivotButton="0" quotePrefix="0" xfId="0"/>
    <xf numFmtId="3" fontId="3" fillId="0" borderId="1" pivotButton="0" quotePrefix="0" xfId="0"/>
    <xf numFmtId="10" fontId="5" fillId="4" borderId="1" pivotButton="0" quotePrefix="0" xfId="0"/>
    <xf numFmtId="3" fontId="5" fillId="4" borderId="1" pivotButton="0" quotePrefix="0" xfId="0"/>
    <xf numFmtId="2" fontId="5" fillId="4" borderId="1" pivotButton="0" quotePrefix="0" xfId="0"/>
    <xf numFmtId="166" fontId="3" fillId="0" borderId="1" pivotButton="0" quotePrefix="0" xfId="0"/>
    <xf numFmtId="166" fontId="5" fillId="4" borderId="1" pivotButton="0" quotePrefix="0" xfId="0"/>
    <xf numFmtId="166" fontId="9" fillId="7" borderId="1" pivotButton="0" quotePrefix="0" xfId="0"/>
    <xf numFmtId="3" fontId="9" fillId="7" borderId="1" pivotButton="0" quotePrefix="0" xfId="0"/>
    <xf numFmtId="164" fontId="5" fillId="4" borderId="1" pivotButton="0" quotePrefix="0" xfId="0"/>
    <xf numFmtId="164" fontId="9" fillId="7" borderId="1" pivotButton="0" quotePrefix="0" xfId="0"/>
    <xf numFmtId="167" fontId="3" fillId="0" borderId="1" pivotButton="0" quotePrefix="0" xfId="0"/>
    <xf numFmtId="2" fontId="9" fillId="7" borderId="1" pivotButton="0" quotePrefix="0" xfId="0"/>
    <xf numFmtId="164" fontId="9" fillId="0" borderId="1" pivotButton="0" quotePrefix="0" xfId="0"/>
    <xf numFmtId="164" fontId="10" fillId="0" borderId="1" pivotButton="0" quotePrefix="0" xfId="0"/>
    <xf numFmtId="170" fontId="3" fillId="0" borderId="1" pivotButton="0" quotePrefix="0" xfId="0"/>
    <xf numFmtId="11" fontId="3" fillId="0" borderId="1" pivotButton="0" quotePrefix="0" xfId="0"/>
    <xf numFmtId="2" fontId="3" fillId="0" borderId="1" pivotButton="0" quotePrefix="0" xfId="0"/>
    <xf numFmtId="3" fontId="9" fillId="0" borderId="1" pivotButton="0" quotePrefix="0" xfId="0"/>
    <xf numFmtId="0" fontId="4" fillId="6" borderId="0" pivotButton="0" quotePrefix="0" xfId="0"/>
    <xf numFmtId="164" fontId="10" fillId="0" borderId="0" pivotButton="0" quotePrefix="0" xfId="0"/>
    <xf numFmtId="169" fontId="3" fillId="0" borderId="1" pivotButton="0" quotePrefix="0" xfId="0"/>
    <xf numFmtId="3" fontId="10" fillId="0" borderId="1" pivotButton="0" quotePrefix="0" xfId="0"/>
    <xf numFmtId="167" fontId="9" fillId="7" borderId="1" pivotButton="0" quotePrefix="0" xfId="0"/>
    <xf numFmtId="2" fontId="10" fillId="0" borderId="1" pivotButton="0" quotePrefix="0" xfId="0"/>
    <xf numFmtId="0" fontId="9" fillId="7" borderId="1" pivotButton="0" quotePrefix="0" xfId="0"/>
    <xf numFmtId="0" fontId="11" fillId="0" borderId="0" pivotButton="0" quotePrefix="0" xfId="0"/>
    <xf numFmtId="0" fontId="4" fillId="3" borderId="1" applyAlignment="1" pivotButton="0" quotePrefix="0" xfId="0">
      <alignment horizontal="center" wrapText="1"/>
    </xf>
    <xf numFmtId="2" fontId="5" fillId="0" borderId="1" pivotButton="0" quotePrefix="0" xfId="0"/>
    <xf numFmtId="2" fontId="5" fillId="7" borderId="1" pivotButton="0" quotePrefix="0" xfId="0"/>
    <xf numFmtId="164" fontId="3" fillId="7" borderId="1" pivotButton="0" quotePrefix="0" xfId="0"/>
    <xf numFmtId="3" fontId="3" fillId="7" borderId="1" pivotButton="0" quotePrefix="0" xfId="0"/>
    <xf numFmtId="166" fontId="10" fillId="0" borderId="1" pivotButton="0" quotePrefix="0" xfId="0"/>
    <xf numFmtId="168" fontId="10" fillId="0" borderId="1" pivotButton="0" quotePrefix="0" xfId="0"/>
    <xf numFmtId="167" fontId="10" fillId="0" borderId="1" pivotButton="0" quotePrefix="0" xfId="0"/>
    <xf numFmtId="3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설계</author>
  </authors>
  <commentList>
    <comment ref="C5" authorId="0" shapeId="0">
      <text>
        <t>실시간 연결 셀. 벤더 RTD/DDE 수식으로 교체하십시오.
초기값은 더미 데이터입니다.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2" customHeight="1">
      <c r="A1" s="1" t="inlineStr">
        <is>
          <t>국채선물 차익거래 실시간 모니터  ―  사용설명서</t>
        </is>
      </c>
      <c r="B1" s="2" t="n"/>
      <c r="C1" s="2" t="n"/>
      <c r="D1" s="2" t="n"/>
      <c r="E1" s="2" t="n"/>
      <c r="F1" s="2" t="n"/>
    </row>
    <row r="2"/>
    <row r="3">
      <c r="B3" s="3" t="inlineStr">
        <is>
          <t>1. 이 파일이 계산하는 것</t>
        </is>
      </c>
    </row>
    <row r="4">
      <c r="B4" s="4" t="inlineStr">
        <is>
          <t>한국 국채선물은 실물인수도가 아닌 '현금결제' 상품이다. 최종결제기준가격은 최종거래일에 국고채전문딜러들이</t>
        </is>
      </c>
    </row>
    <row r="5">
      <c r="B5" s="4" t="inlineStr">
        <is>
          <t>제출한 바스켓(최종결제기준채권) 종목별 수익률을 집계·평균하여, 표면금리 5% / 6개월 이표 / 잔존 n년의</t>
        </is>
      </c>
    </row>
    <row r="6">
      <c r="B6" s="4" t="inlineStr">
        <is>
          <t>'표준물(가상채권)' 할인율로 적용해 산출한다. 따라서 차익거래 손익은 다음과 같이 분해된다.</t>
        </is>
      </c>
    </row>
    <row r="7">
      <c r="B7" s="4" t="inlineStr"/>
    </row>
    <row r="8">
      <c r="B8" s="4" t="inlineStr">
        <is>
          <t xml:space="preserve">    만기손익 = [선물 leg] (진입가 − 표준물가격(바스켓 평균수익률)) × 1포인트가치 × 계약수 × 방향</t>
        </is>
      </c>
    </row>
    <row r="9">
      <c r="B9" s="4" t="inlineStr">
        <is>
          <t xml:space="preserve">             + [현물 leg] Σ (만기 처분단가 − 선도 목표단가) / 100 × 보유액면 × 방향</t>
        </is>
      </c>
    </row>
    <row r="10">
      <c r="B10" s="4" t="inlineStr">
        <is>
          <t xml:space="preserve">             − 거래비용</t>
        </is>
      </c>
    </row>
    <row r="11">
      <c r="B11" s="4" t="inlineStr"/>
    </row>
    <row r="12">
      <c r="B12" s="4" t="inlineStr">
        <is>
          <t>선도 목표단가 = 현물단가 + 조달이자 − 기간중 쿠폰 재투자원리금  (= 캐리 반영 선도가격)</t>
        </is>
      </c>
    </row>
    <row r="13">
      <c r="B13" s="4" t="inlineStr">
        <is>
          <t>각 종목의 선도 BPV 기준으로 헤지액면을 잡으면 [현물 leg]가 수익률 변동을 상쇄하여,</t>
        </is>
      </c>
    </row>
    <row r="14">
      <c r="B14" s="4" t="inlineStr">
        <is>
          <t>만기손익 ≈ 순베이시스(= 시장선물가 − 이론선물가) × 1포인트가치 − 비용 으로 '락인'된다.</t>
        </is>
      </c>
    </row>
    <row r="15">
      <c r="B15" s="3" t="inlineStr">
        <is>
          <t>2. 사용 순서</t>
        </is>
      </c>
    </row>
    <row r="16">
      <c r="B16" s="4" t="inlineStr">
        <is>
          <t>① [실시간] 시트의 붉은 글씨 셀에 사용 중인 데이터 벤더의 RTD/DDE 수식을 붙여넣는다. (→ 연동가이드 시트)</t>
        </is>
      </c>
    </row>
    <row r="17">
      <c r="B17" s="4" t="inlineStr">
        <is>
          <t>② [설정] 시트에서 대상 선물(3/5/10/30년), 결제월, 조달금리, 계약수, 거래비용을 입력한다. (노란 셀)</t>
        </is>
      </c>
    </row>
    <row r="18">
      <c r="B18" s="4" t="inlineStr">
        <is>
          <t>③ [바스켓] 시트 4~10행에 해당 결제월의 최종결제기준채권 3종목(종목코드/발행일/만기일/표면금리/가중치)을 입력한다.</t>
        </is>
      </c>
    </row>
    <row r="19">
      <c r="B19" s="4" t="inlineStr">
        <is>
          <t>④ [이론가] 시트에서 베이시스·순차익을, [손익] 시트에서 만기손익을, [시나리오] 시트에서 헤지 유효성을 확인한다.</t>
        </is>
      </c>
    </row>
    <row r="20">
      <c r="B20" s="3" t="inlineStr">
        <is>
          <t>3. 셀 색상 규칙</t>
        </is>
      </c>
    </row>
    <row r="21">
      <c r="B21" s="4" t="inlineStr">
        <is>
          <t>노란 배경 + 파란 글씨 = 사용자가 직접 입력하는 값        하늘색 배경 + 붉은 글씨 = 실시간(RTD) 연결 셀</t>
        </is>
      </c>
    </row>
    <row r="22">
      <c r="B22" s="4" t="inlineStr">
        <is>
          <t>초록 글씨 = 다른 시트 참조                                연두색 배경 = 핵심 결과값</t>
        </is>
      </c>
    </row>
    <row r="23">
      <c r="B23" s="3" t="inlineStr">
        <is>
          <t>4. 계산 규약 (변경 시 [현금흐름] 시트 수식 수정 필요)</t>
        </is>
      </c>
    </row>
    <row r="24">
      <c r="B24" s="4" t="inlineStr">
        <is>
          <t>· 채권단가: 한국 관행식 = [Σ CF_k /(1+y/2)^(k-1)] / (1 + y/2 × d/T).  단수기간 단리, 이후 반기복리.</t>
        </is>
      </c>
    </row>
    <row r="25">
      <c r="B25" s="4" t="inlineStr">
        <is>
          <t xml:space="preserve">  이 식의 결과는 경과이자를 포함한 '더티(단가)' 이며, 본 파일의 모든 손익계산은 더티 기준으로 일관한다.</t>
        </is>
      </c>
    </row>
    <row r="26">
      <c r="B26" s="4" t="inlineStr">
        <is>
          <t xml:space="preserve">  (경과이자·클린가는 참고용으로만 표시하며 실제일수/365 단리로 산출한다.)</t>
        </is>
      </c>
    </row>
    <row r="27">
      <c r="B27" s="4" t="inlineStr">
        <is>
          <t>· 표준물: 잔존 정확히 n년 → 단수기간 없음 → P = (5/y)(1−v^N) + 100·v^N,  v=1/(1+y/2), N=2n.</t>
        </is>
      </c>
    </row>
    <row r="28">
      <c r="B28" s="4" t="inlineStr">
        <is>
          <t>· 선도수익률: 선도 목표단가에 대해 뉴턴법 2회 반복으로 역산 (수렴 잔차를 [바스켓] 38행에서 확인).</t>
        </is>
      </c>
    </row>
    <row r="29">
      <c r="B29" s="4" t="inlineStr">
        <is>
          <t>· 시나리오/만기 손익의 현물 평가는 이표 스케줄 전체를 재할인하는 정밀 재평가이며 근사를 쓰지 않는다.</t>
        </is>
      </c>
    </row>
    <row r="30">
      <c r="B30" s="4" t="inlineStr">
        <is>
          <t xml:space="preserve">  ([바스켓] 39·41행의 BPV/2차미분은 헤지비율 산출과 참고용 지표로만 쓰인다.)</t>
        </is>
      </c>
    </row>
    <row r="31">
      <c r="B31" s="3" t="inlineStr">
        <is>
          <t>5. 이 파일이 '반영하지 않는' 것 (수동 판단 필요)</t>
        </is>
      </c>
    </row>
    <row r="32">
      <c r="B32" s="4" t="inlineStr">
        <is>
          <t>· 휴일 캘린더: 최종결제일/현물결제일은 WORKDAY() 기반이라 공휴일 미반영. [설정]에서 수동 입력으로 덮어쓸 것.</t>
        </is>
      </c>
    </row>
    <row r="33">
      <c r="B33" s="4" t="inlineStr">
        <is>
          <t>· 선물 일일정산(변동증거금)의 재투자·조달 이자효과(테일 조정). 잔존기간이 길고 변동성이 크면 별도 고려.</t>
        </is>
      </c>
    </row>
    <row r="34">
      <c r="B34" s="4" t="inlineStr">
        <is>
          <t>· 최종결제기준가격은 딜러 제출 수익률의 최고·최저 제외 평균이므로, 만기일에 본인이 실제 체결하는</t>
        </is>
      </c>
    </row>
    <row r="35">
      <c r="B35" s="4" t="inlineStr">
        <is>
          <t xml:space="preserve">  현물 매도수익률과 괴리가 발생할 수 있다(가장 큰 잔존 리스크). 슬리피지 가정을 [설정] 거래비용에 반영할 것.</t>
        </is>
      </c>
    </row>
    <row r="36">
      <c r="B36" s="4" t="inlineStr">
        <is>
          <t>· 레포 롤오버 리스크, 담보 haircut, 기관 유형별 이자소득 원천징수, 회계상 평가손익 구분.</t>
        </is>
      </c>
    </row>
    <row r="37">
      <c r="B37" s="3" t="inlineStr">
        <is>
          <t>6. 출처 / 사용자 제공값</t>
        </is>
      </c>
    </row>
    <row r="38">
      <c r="B38" s="4" t="inlineStr">
        <is>
          <t>· 계약사양(거래단위·호가단위·최종거래일 규칙), 결제월별 최종결제기준채권 구성: 한국거래소(KRX) 공시 기준.</t>
        </is>
      </c>
    </row>
    <row r="39">
      <c r="B39" s="4" t="inlineStr">
        <is>
          <t xml:space="preserve">  → 사용 전 반드시 KRX 파생상품 상품명세 및 해당 결제월 바스켓 공지로 재확인할 것.</t>
        </is>
      </c>
    </row>
    <row r="40">
      <c r="B40" s="4" t="inlineStr">
        <is>
          <t>· 초기 입력값(바스켓 종목, 수익률, 선물가격, 조달금리)은 형식 예시용 더미 데이터이며 실거래 값이 아니다.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46" customWidth="1" min="4" max="4"/>
    <col width="34" customWidth="1" min="5" max="5"/>
    <col width="4" customWidth="1" min="6" max="6"/>
  </cols>
  <sheetData>
    <row r="1" ht="22" customHeight="1">
      <c r="A1" s="1" t="inlineStr">
        <is>
          <t>실시간 데이터 연결 시트  ―  붉은 셀에 벤더 RTD/DDE 수식을 붙여넣으세요</t>
        </is>
      </c>
      <c r="B1" s="2" t="n"/>
      <c r="C1" s="2" t="n"/>
      <c r="D1" s="2" t="n"/>
      <c r="E1" s="2" t="n"/>
      <c r="F1" s="2" t="n"/>
    </row>
    <row r="2"/>
    <row r="3">
      <c r="A3" s="5" t="inlineStr">
        <is>
          <t>항목</t>
        </is>
      </c>
      <c r="B3" s="5" t="inlineStr">
        <is>
          <t>종목코드/심볼</t>
        </is>
      </c>
      <c r="C3" s="5" t="inlineStr">
        <is>
          <t>값</t>
        </is>
      </c>
      <c r="D3" s="5" t="inlineStr">
        <is>
          <t>연동 수식 예시 (연합인포맥스)</t>
        </is>
      </c>
      <c r="E3" s="5" t="inlineStr">
        <is>
          <t>비고</t>
        </is>
      </c>
    </row>
    <row r="4"/>
    <row r="5">
      <c r="A5" s="4" t="inlineStr">
        <is>
          <t>국채선물 현재가</t>
        </is>
      </c>
      <c r="B5" s="6" t="inlineStr">
        <is>
          <t>KTB10 최근월물</t>
        </is>
      </c>
      <c r="C5" s="7" t="n">
        <v>117.52</v>
      </c>
      <c r="D5" s="8" t="inlineStr">
        <is>
          <t>=IMFX("F 10YKTB","현재가")</t>
        </is>
      </c>
      <c r="E5" s="8" t="inlineStr">
        <is>
          <t>가격 100 기준</t>
        </is>
      </c>
    </row>
    <row r="6">
      <c r="A6" s="4" t="inlineStr">
        <is>
          <t>국채선물 매수1호가(Bid)</t>
        </is>
      </c>
      <c r="B6" s="6" t="inlineStr">
        <is>
          <t>KTB10 최근월물</t>
        </is>
      </c>
      <c r="C6" s="7" t="n">
        <v>117.51</v>
      </c>
      <c r="D6" s="8" t="inlineStr">
        <is>
          <t>=IMFX("F 10YKTB","매수1호가")</t>
        </is>
      </c>
      <c r="E6" s="8" t="inlineStr">
        <is>
          <t>선물 매도 시 체결가</t>
        </is>
      </c>
    </row>
    <row r="7">
      <c r="A7" s="4" t="inlineStr">
        <is>
          <t>국채선물 매도1호가(Ask)</t>
        </is>
      </c>
      <c r="B7" s="6" t="inlineStr">
        <is>
          <t>KTB10 최근월물</t>
        </is>
      </c>
      <c r="C7" s="7" t="n">
        <v>117.53</v>
      </c>
      <c r="D7" s="8" t="inlineStr">
        <is>
          <t>=IMFX("F 10YKTB","매도1호가")</t>
        </is>
      </c>
      <c r="E7" s="8" t="inlineStr">
        <is>
          <t>선물 매수 시 체결가</t>
        </is>
      </c>
    </row>
    <row r="8">
      <c r="A8" s="4" t="inlineStr">
        <is>
          <t>국채선물 미드</t>
        </is>
      </c>
      <c r="B8" s="6" t="inlineStr"/>
      <c r="C8" s="9">
        <f>AVERAGE(C6:C7)</f>
        <v/>
      </c>
      <c r="D8" s="8" t="inlineStr">
        <is>
          <t>=AVERAGE(C6:C7)</t>
        </is>
      </c>
      <c r="E8" s="8" t="inlineStr">
        <is>
          <t>자동계산</t>
        </is>
      </c>
    </row>
    <row r="9"/>
    <row r="10">
      <c r="A10" s="4" t="inlineStr">
        <is>
          <t>바스켓1 Bid수익률(딜러매수)</t>
        </is>
      </c>
      <c r="B10" s="6" t="inlineStr">
        <is>
          <t>KR103502GE97</t>
        </is>
      </c>
      <c r="C10" s="7" t="n">
        <v>2.96</v>
      </c>
      <c r="D10" s="8" t="inlineStr">
        <is>
          <t>=IMFX("KR103502GE97","매수수익률")</t>
        </is>
      </c>
      <c r="E10" s="8" t="inlineStr">
        <is>
          <t>내가 매도할 때 적용 (%)</t>
        </is>
      </c>
    </row>
    <row r="11">
      <c r="A11" s="4" t="inlineStr">
        <is>
          <t>바스켓1 Ask수익률(딜러매도)</t>
        </is>
      </c>
      <c r="B11" s="6" t="inlineStr">
        <is>
          <t>KR103502GE97</t>
        </is>
      </c>
      <c r="C11" s="7" t="n">
        <v>2.95</v>
      </c>
      <c r="D11" s="8" t="inlineStr">
        <is>
          <t>=IMFX("KR103502GE97","매도수익률")</t>
        </is>
      </c>
      <c r="E11" s="8" t="inlineStr">
        <is>
          <t>내가 매수할 때 적용 (%)</t>
        </is>
      </c>
    </row>
    <row r="12">
      <c r="A12" s="4" t="inlineStr">
        <is>
          <t>바스켓2 Bid수익률(딜러매수)</t>
        </is>
      </c>
      <c r="B12" s="6" t="inlineStr">
        <is>
          <t>KR103503GF95</t>
        </is>
      </c>
      <c r="C12" s="7" t="n">
        <v>2.97</v>
      </c>
      <c r="D12" s="8" t="inlineStr">
        <is>
          <t>=IMFX("KR103503GF95","매수수익률")</t>
        </is>
      </c>
      <c r="E12" s="8" t="inlineStr">
        <is>
          <t>(%)</t>
        </is>
      </c>
    </row>
    <row r="13">
      <c r="A13" s="4" t="inlineStr">
        <is>
          <t>바스켓2 Ask수익률(딜러매도)</t>
        </is>
      </c>
      <c r="B13" s="6" t="inlineStr">
        <is>
          <t>KR103503GF95</t>
        </is>
      </c>
      <c r="C13" s="7" t="n">
        <v>2.96</v>
      </c>
      <c r="D13" s="8" t="inlineStr">
        <is>
          <t>=IMFX("KR103503GF95","매도수익률")</t>
        </is>
      </c>
      <c r="E13" s="8" t="inlineStr">
        <is>
          <t>(%)</t>
        </is>
      </c>
    </row>
    <row r="14">
      <c r="A14" s="4" t="inlineStr">
        <is>
          <t>바스켓3 Bid수익률(딜러매수)</t>
        </is>
      </c>
      <c r="B14" s="6" t="inlineStr">
        <is>
          <t>KR103504GH93</t>
        </is>
      </c>
      <c r="C14" s="7" t="n">
        <v>2.98</v>
      </c>
      <c r="D14" s="8" t="inlineStr">
        <is>
          <t>=IMFX("KR103504GH93","매수수익률")</t>
        </is>
      </c>
      <c r="E14" s="8" t="inlineStr">
        <is>
          <t>(%)</t>
        </is>
      </c>
    </row>
    <row r="15">
      <c r="A15" s="4" t="inlineStr">
        <is>
          <t>바스켓3 Ask수익률(딜러매도)</t>
        </is>
      </c>
      <c r="B15" s="6" t="inlineStr">
        <is>
          <t>KR103504GH93</t>
        </is>
      </c>
      <c r="C15" s="7" t="n">
        <v>2.97</v>
      </c>
      <c r="D15" s="8" t="inlineStr">
        <is>
          <t>=IMFX("KR103504GH93","매도수익률")</t>
        </is>
      </c>
      <c r="E15" s="8" t="inlineStr">
        <is>
          <t>(%)</t>
        </is>
      </c>
    </row>
    <row r="16"/>
    <row r="17">
      <c r="A17" s="4" t="inlineStr">
        <is>
          <t>RP(레포) 조달금리</t>
        </is>
      </c>
      <c r="B17" s="6" t="inlineStr"/>
      <c r="C17" s="7" t="n">
        <v>2.6</v>
      </c>
      <c r="D17" s="8" t="inlineStr">
        <is>
          <t>=IMFX("RP1D","금리")</t>
        </is>
      </c>
      <c r="E17" s="8" t="inlineStr">
        <is>
          <t>[설정]에서 '실시간' 선택 시 사용 (%)</t>
        </is>
      </c>
    </row>
    <row r="18">
      <c r="A18" s="4" t="inlineStr">
        <is>
          <t>CD 91일</t>
        </is>
      </c>
      <c r="B18" s="6" t="inlineStr"/>
      <c r="C18" s="7" t="n">
        <v>2.75</v>
      </c>
      <c r="D18" s="8" t="inlineStr">
        <is>
          <t>=IMFX("CD91","금리")</t>
        </is>
      </c>
      <c r="E18" s="8" t="inlineStr">
        <is>
          <t>참고 (%)</t>
        </is>
      </c>
    </row>
    <row r="19">
      <c r="A19" s="4" t="inlineStr">
        <is>
          <t>국고 3년 지표</t>
        </is>
      </c>
      <c r="B19" s="6" t="inlineStr"/>
      <c r="C19" s="7" t="n">
        <v>2.7</v>
      </c>
      <c r="D19" s="8" t="inlineStr">
        <is>
          <t>=IMFX("KTB3Y","수익률")</t>
        </is>
      </c>
      <c r="E19" s="8" t="inlineStr">
        <is>
          <t>참고 (%)</t>
        </is>
      </c>
    </row>
    <row r="20"/>
    <row r="21">
      <c r="A21" s="4" t="inlineStr">
        <is>
          <t>갱신시각</t>
        </is>
      </c>
      <c r="C21" s="10">
        <f>NOW()</f>
        <v/>
      </c>
    </row>
    <row r="22"/>
    <row r="23">
      <c r="A23" s="8" t="inlineStr">
        <is>
          <t>※ 현재 들어있는 숫자는 형식 확인용 더미값입니다. 실거래 전 반드시 벤더 수식으로 교체하세요. 수식 예시는 [연동가이드] 시트 참조.</t>
        </is>
      </c>
    </row>
    <row r="24">
      <c r="A24" s="8" t="inlineStr">
        <is>
          <t>※ 채권 수익률은 '딜러 매수호가(Bid)=높은 수익률/낮은 가격', '딜러 매도호가(Ask)=낮은 수익률/높은 가격' 입니다. 내가 바스켓을 매수하면 Ask수익률이 체결 기준입니다.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52" customWidth="1" min="4" max="4"/>
    <col width="10" customWidth="1" min="5" max="5"/>
    <col width="10" customWidth="1" min="6" max="6"/>
  </cols>
  <sheetData>
    <row r="1" ht="22" customHeight="1">
      <c r="A1" s="1" t="inlineStr">
        <is>
          <t>설정  ―  노란 셀만 입력하십시오</t>
        </is>
      </c>
      <c r="B1" s="2" t="n"/>
      <c r="C1" s="2" t="n"/>
      <c r="D1" s="2" t="n"/>
      <c r="E1" s="2" t="n"/>
      <c r="F1" s="2" t="n"/>
    </row>
    <row r="2"/>
    <row r="3">
      <c r="A3" s="11" t="inlineStr">
        <is>
          <t>[1] 선물 계약 사양</t>
        </is>
      </c>
      <c r="B3" s="12" t="n"/>
      <c r="C3" s="12" t="n"/>
      <c r="D3" s="12" t="n"/>
      <c r="E3" s="12" t="n"/>
      <c r="F3" s="13" t="inlineStr">
        <is>
          <t>▼ 매핑표(수정금지)</t>
        </is>
      </c>
    </row>
    <row r="4">
      <c r="A4" s="4" t="inlineStr">
        <is>
          <t>대상 선물</t>
        </is>
      </c>
      <c r="B4" s="14" t="inlineStr">
        <is>
          <t>10년</t>
        </is>
      </c>
      <c r="D4" s="8" t="inlineStr">
        <is>
          <t>3년 / 5년 / 10년 / 30년</t>
        </is>
      </c>
      <c r="F4" s="8" t="inlineStr">
        <is>
          <t>3년</t>
        </is>
      </c>
      <c r="G4" s="8" t="n">
        <v>3</v>
      </c>
    </row>
    <row r="5">
      <c r="A5" s="4" t="inlineStr">
        <is>
          <t>표준물 만기</t>
        </is>
      </c>
      <c r="B5" s="15">
        <f>IFERROR(VLOOKUP($B$4,$F$4:$G$7,2,FALSE),10)</f>
        <v/>
      </c>
      <c r="C5" s="8" t="inlineStr">
        <is>
          <t>년</t>
        </is>
      </c>
      <c r="F5" s="8" t="inlineStr">
        <is>
          <t>5년</t>
        </is>
      </c>
      <c r="G5" s="8" t="n">
        <v>5</v>
      </c>
    </row>
    <row r="6">
      <c r="A6" s="4" t="inlineStr">
        <is>
          <t>표준물 표면금리</t>
        </is>
      </c>
      <c r="B6" s="16" t="n">
        <v>0.05</v>
      </c>
      <c r="D6" s="8" t="inlineStr">
        <is>
          <t>KRX 표준물 규격: 연 5%</t>
        </is>
      </c>
      <c r="F6" s="8" t="inlineStr">
        <is>
          <t>10년</t>
        </is>
      </c>
      <c r="G6" s="8" t="n">
        <v>10</v>
      </c>
    </row>
    <row r="7">
      <c r="A7" s="4" t="inlineStr">
        <is>
          <t>이표주기</t>
        </is>
      </c>
      <c r="B7" s="17" t="n">
        <v>2</v>
      </c>
      <c r="C7" s="8" t="inlineStr">
        <is>
          <t>회/년</t>
        </is>
      </c>
      <c r="D7" s="8" t="inlineStr">
        <is>
          <t>6개월 이표</t>
        </is>
      </c>
      <c r="F7" s="8" t="inlineStr">
        <is>
          <t>30년</t>
        </is>
      </c>
      <c r="G7" s="8" t="n">
        <v>30</v>
      </c>
    </row>
    <row r="8">
      <c r="A8" s="4" t="inlineStr">
        <is>
          <t>거래단위(액면)</t>
        </is>
      </c>
      <c r="B8" s="17" t="n">
        <v>100000000</v>
      </c>
      <c r="C8" s="8" t="inlineStr">
        <is>
          <t>원</t>
        </is>
      </c>
      <c r="D8" s="8" t="inlineStr">
        <is>
          <t>KRX 명세 확인 필수</t>
        </is>
      </c>
    </row>
    <row r="9">
      <c r="A9" s="4" t="inlineStr">
        <is>
          <t>가격 1.00포인트 가치</t>
        </is>
      </c>
      <c r="B9" s="15">
        <f>B8/100</f>
        <v/>
      </c>
      <c r="C9" s="8" t="inlineStr">
        <is>
          <t>원</t>
        </is>
      </c>
    </row>
    <row r="10">
      <c r="A10" s="4" t="inlineStr">
        <is>
          <t>호가단위(틱)</t>
        </is>
      </c>
      <c r="B10" s="18" t="n">
        <v>0.01</v>
      </c>
    </row>
    <row r="11">
      <c r="A11" s="4" t="inlineStr">
        <is>
          <t>1틱 가치</t>
        </is>
      </c>
      <c r="B11" s="15">
        <f>B10*B9</f>
        <v/>
      </c>
      <c r="C11" s="8" t="inlineStr">
        <is>
          <t>원</t>
        </is>
      </c>
    </row>
    <row r="12"/>
    <row r="13">
      <c r="A13" s="11" t="inlineStr">
        <is>
          <t>[2] 결제 일정</t>
        </is>
      </c>
      <c r="B13" s="12" t="n"/>
      <c r="C13" s="12" t="n"/>
      <c r="D13" s="12" t="n"/>
      <c r="E13" s="12" t="n"/>
      <c r="F13" s="12" t="n"/>
    </row>
    <row r="14">
      <c r="A14" s="4" t="inlineStr">
        <is>
          <t>결제 연도</t>
        </is>
      </c>
      <c r="B14" s="17" t="n">
        <v>2026</v>
      </c>
    </row>
    <row r="15">
      <c r="A15" s="4" t="inlineStr">
        <is>
          <t>결제 월</t>
        </is>
      </c>
      <c r="B15" s="17" t="n">
        <v>9</v>
      </c>
      <c r="D15" s="8" t="inlineStr">
        <is>
          <t>3 / 6 / 9 / 12</t>
        </is>
      </c>
    </row>
    <row r="16">
      <c r="A16" s="4" t="inlineStr">
        <is>
          <t>최종거래일(자동: 세번째 화요일)</t>
        </is>
      </c>
      <c r="B16" s="19">
        <f>DATE(B14,B15,1)+MOD(2-WEEKDAY(DATE(B14,B15,1),2)+7,7)+14</f>
        <v/>
      </c>
    </row>
    <row r="17">
      <c r="A17" s="4" t="inlineStr">
        <is>
          <t>최종거래일(수동 override)</t>
        </is>
      </c>
      <c r="B17" s="20" t="n"/>
      <c r="D17" s="8" t="inlineStr">
        <is>
          <t>공휴일 등으로 조정 시 입력</t>
        </is>
      </c>
    </row>
    <row r="18">
      <c r="A18" s="4" t="inlineStr">
        <is>
          <t>▶ 적용 최종거래일</t>
        </is>
      </c>
      <c r="B18" s="21">
        <f>IF(B17="",B16,B17)</f>
        <v/>
      </c>
    </row>
    <row r="19">
      <c r="A19" s="4" t="inlineStr">
        <is>
          <t>최종결제일(자동: 익영업일)</t>
        </is>
      </c>
      <c r="B19" s="19">
        <f>WORKDAY(B18,1)</f>
        <v/>
      </c>
    </row>
    <row r="20">
      <c r="A20" s="4" t="inlineStr">
        <is>
          <t>최종결제일(수동 override)</t>
        </is>
      </c>
      <c r="B20" s="20" t="n"/>
    </row>
    <row r="21">
      <c r="A21" s="4" t="inlineStr">
        <is>
          <t>▶ 적용 최종결제일 (H)</t>
        </is>
      </c>
      <c r="B21" s="21">
        <f>IF(B20="",B19,B20)</f>
        <v/>
      </c>
      <c r="D21" s="8" t="inlineStr">
        <is>
          <t>현물 청산 결제일 = 손익 확정 시점</t>
        </is>
      </c>
    </row>
    <row r="22"/>
    <row r="23">
      <c r="A23" s="11" t="inlineStr">
        <is>
          <t>[3] 평가일 / 금리</t>
        </is>
      </c>
      <c r="B23" s="12" t="n"/>
      <c r="C23" s="12" t="n"/>
      <c r="D23" s="12" t="n"/>
      <c r="E23" s="12" t="n"/>
      <c r="F23" s="12" t="n"/>
    </row>
    <row r="24">
      <c r="A24" s="4" t="inlineStr">
        <is>
          <t>평가일(오늘)</t>
        </is>
      </c>
      <c r="B24" s="19">
        <f>TODAY()</f>
        <v/>
      </c>
    </row>
    <row r="25">
      <c r="A25" s="4" t="inlineStr">
        <is>
          <t>현물 결제일(자동: T+1)</t>
        </is>
      </c>
      <c r="B25" s="19">
        <f>WORKDAY(B24,1)</f>
        <v/>
      </c>
      <c r="D25" s="8" t="inlineStr">
        <is>
          <t>국고채 장외 익일결제 관행</t>
        </is>
      </c>
    </row>
    <row r="26">
      <c r="A26" s="4" t="inlineStr">
        <is>
          <t>현물 결제일(수동 override)</t>
        </is>
      </c>
      <c r="B26" s="20" t="n"/>
    </row>
    <row r="27">
      <c r="A27" s="4" t="inlineStr">
        <is>
          <t>▶ 적용 현물결제일 (S0)</t>
        </is>
      </c>
      <c r="B27" s="21">
        <f>IF(B26="",B25,B26)</f>
        <v/>
      </c>
    </row>
    <row r="28">
      <c r="A28" s="4" t="inlineStr">
        <is>
          <t>보유일수 (S0 → H)</t>
        </is>
      </c>
      <c r="B28" s="22">
        <f>B21-B27</f>
        <v/>
      </c>
      <c r="C28" s="8" t="inlineStr">
        <is>
          <t>일</t>
        </is>
      </c>
    </row>
    <row r="29">
      <c r="A29" s="4" t="inlineStr">
        <is>
          <t>조달금리 소스</t>
        </is>
      </c>
      <c r="B29" s="14" t="inlineStr">
        <is>
          <t>수동</t>
        </is>
      </c>
      <c r="D29" s="8" t="inlineStr">
        <is>
          <t>수동 / 실시간</t>
        </is>
      </c>
    </row>
    <row r="30">
      <c r="A30" s="4" t="inlineStr">
        <is>
          <t>조달금리(수동)</t>
        </is>
      </c>
      <c r="B30" s="23" t="n">
        <v>2.6</v>
      </c>
      <c r="C30" s="8" t="inlineStr">
        <is>
          <t>%</t>
        </is>
      </c>
      <c r="D30" s="8" t="inlineStr">
        <is>
          <t>레포(RP) 실효 조달금리</t>
        </is>
      </c>
    </row>
    <row r="31">
      <c r="A31" s="4" t="inlineStr">
        <is>
          <t>▶ 적용 조달금리</t>
        </is>
      </c>
      <c r="B31" s="24">
        <f>IF(B29="실시간",실시간!C17,B30)</f>
        <v/>
      </c>
      <c r="C31" s="8" t="inlineStr">
        <is>
          <t>%</t>
        </is>
      </c>
    </row>
    <row r="32">
      <c r="A32" s="4" t="inlineStr">
        <is>
          <t>적용 조달금리(소수)</t>
        </is>
      </c>
      <c r="B32" s="25">
        <f>B31/100</f>
        <v/>
      </c>
    </row>
    <row r="33">
      <c r="A33" s="4" t="inlineStr">
        <is>
          <t>쿠폰 재투자금리</t>
        </is>
      </c>
      <c r="B33" s="9">
        <f>B31</f>
        <v/>
      </c>
      <c r="C33" s="8" t="inlineStr">
        <is>
          <t>%</t>
        </is>
      </c>
      <c r="D33" s="8" t="inlineStr">
        <is>
          <t>기본: 조달금리와 동일</t>
        </is>
      </c>
    </row>
    <row r="34">
      <c r="A34" s="4" t="inlineStr">
        <is>
          <t>적용 재투자금리(소수)</t>
        </is>
      </c>
      <c r="B34" s="25">
        <f>B33/100</f>
        <v/>
      </c>
    </row>
    <row r="35">
      <c r="A35" s="4" t="inlineStr">
        <is>
          <t>이자 일수기준</t>
        </is>
      </c>
      <c r="B35" s="17" t="n">
        <v>365</v>
      </c>
      <c r="C35" s="8" t="inlineStr">
        <is>
          <t>일</t>
        </is>
      </c>
      <c r="D35" s="8" t="inlineStr">
        <is>
          <t>actual/365 단리</t>
        </is>
      </c>
    </row>
    <row r="36"/>
    <row r="37">
      <c r="A37" s="11" t="inlineStr">
        <is>
          <t>[4] 포지션 / 헤지</t>
        </is>
      </c>
      <c r="B37" s="12" t="n"/>
      <c r="C37" s="12" t="n"/>
      <c r="D37" s="12" t="n"/>
      <c r="E37" s="12" t="n"/>
      <c r="F37" s="12" t="n"/>
    </row>
    <row r="38">
      <c r="A38" s="4" t="inlineStr">
        <is>
          <t>포지션 방향</t>
        </is>
      </c>
      <c r="B38" s="14" t="inlineStr">
        <is>
          <t>선물매도+현물매수</t>
        </is>
      </c>
      <c r="D38" s="8" t="inlineStr">
        <is>
          <t>선물매도+현물매수 / 선물매수+현물매도</t>
        </is>
      </c>
    </row>
    <row r="39">
      <c r="A39" s="4" t="inlineStr">
        <is>
          <t>방향계수</t>
        </is>
      </c>
      <c r="B39" s="15">
        <f>IF(B38="선물매도+현물매수",1,-1)</f>
        <v/>
      </c>
    </row>
    <row r="40">
      <c r="A40" s="4" t="inlineStr">
        <is>
          <t>계약수 (Q)</t>
        </is>
      </c>
      <c r="B40" s="17" t="n">
        <v>10</v>
      </c>
      <c r="C40" s="8" t="inlineStr">
        <is>
          <t>계약</t>
        </is>
      </c>
    </row>
    <row r="41">
      <c r="A41" s="4" t="inlineStr">
        <is>
          <t>선물 진입가격</t>
        </is>
      </c>
      <c r="B41" s="18" t="n"/>
      <c r="D41" s="8" t="inlineStr">
        <is>
          <t>미입력 시 현재가 사용</t>
        </is>
      </c>
    </row>
    <row r="42">
      <c r="A42" s="4" t="inlineStr">
        <is>
          <t>▶ 적용 선물 진입가</t>
        </is>
      </c>
      <c r="B42" s="26">
        <f>IF(B41="",실시간!C5,B41)</f>
        <v/>
      </c>
    </row>
    <row r="43">
      <c r="A43" s="4" t="inlineStr">
        <is>
          <t>진입일</t>
        </is>
      </c>
      <c r="B43" s="20" t="n"/>
      <c r="D43" s="8" t="inlineStr">
        <is>
          <t>미입력 시 오늘</t>
        </is>
      </c>
    </row>
    <row r="44">
      <c r="A44" s="4" t="inlineStr">
        <is>
          <t>▶ 적용 진입일</t>
        </is>
      </c>
      <c r="B44" s="21">
        <f>IF(B43="",B24,B43)</f>
        <v/>
      </c>
    </row>
    <row r="45">
      <c r="A45" s="4" t="inlineStr">
        <is>
          <t>헤지액면 자동사용</t>
        </is>
      </c>
      <c r="B45" s="14" t="inlineStr">
        <is>
          <t>예</t>
        </is>
      </c>
      <c r="D45" s="8" t="inlineStr">
        <is>
          <t>예 = 선도BPV 기준 이론액면 / 아니오 = 실제 보유액면</t>
        </is>
      </c>
    </row>
    <row r="46">
      <c r="A46" s="4" t="inlineStr">
        <is>
          <t>수익률 적용 기준</t>
        </is>
      </c>
      <c r="B46" s="14" t="inlineStr">
        <is>
          <t>호가</t>
        </is>
      </c>
      <c r="D46" s="8" t="inlineStr">
        <is>
          <t>호가 = 체결가능측 / 미드 = 중간값</t>
        </is>
      </c>
    </row>
    <row r="47"/>
    <row r="48">
      <c r="A48" s="11" t="inlineStr">
        <is>
          <t>[5] 거래비용 (계약당)</t>
        </is>
      </c>
      <c r="B48" s="12" t="n"/>
      <c r="C48" s="12" t="n"/>
      <c r="D48" s="12" t="n"/>
      <c r="E48" s="12" t="n"/>
      <c r="F48" s="12" t="n"/>
    </row>
    <row r="49">
      <c r="A49" s="4" t="inlineStr">
        <is>
          <t>선물 왕복 수수료</t>
        </is>
      </c>
      <c r="B49" s="17" t="n">
        <v>3000</v>
      </c>
      <c r="C49" s="8" t="inlineStr">
        <is>
          <t>원/계약</t>
        </is>
      </c>
      <c r="D49" s="8" t="inlineStr">
        <is>
          <t>증권사 위탁+거래소 수수료</t>
        </is>
      </c>
    </row>
    <row r="50">
      <c r="A50" s="4" t="inlineStr">
        <is>
          <t>채권 매매비용(왕복)</t>
        </is>
      </c>
      <c r="B50" s="18" t="n">
        <v>1</v>
      </c>
      <c r="C50" s="8" t="inlineStr">
        <is>
          <t>bp</t>
        </is>
      </c>
      <c r="D50" s="8" t="inlineStr">
        <is>
          <t>장외 스프레드·슬리피지 가정. 호가수익률 사용 시 중복 주의</t>
        </is>
      </c>
    </row>
    <row r="51">
      <c r="A51" s="4" t="inlineStr">
        <is>
          <t>채권 매매비용</t>
        </is>
      </c>
      <c r="B51" s="15">
        <f>B50*0.0001*B8</f>
        <v/>
      </c>
      <c r="C51" s="8" t="inlineStr">
        <is>
          <t>원/계약</t>
        </is>
      </c>
    </row>
    <row r="52">
      <c r="A52" s="4" t="inlineStr">
        <is>
          <t>기타 비용(결제·최종결제 슬리피지 등)</t>
        </is>
      </c>
      <c r="B52" s="17" t="n">
        <v>0</v>
      </c>
      <c r="C52" s="8" t="inlineStr">
        <is>
          <t>원/계약</t>
        </is>
      </c>
    </row>
    <row r="53">
      <c r="A53" s="4" t="inlineStr">
        <is>
          <t>▶ 총 거래비용</t>
        </is>
      </c>
      <c r="B53" s="22">
        <f>B49+B51+B52</f>
        <v/>
      </c>
      <c r="C53" s="8" t="inlineStr">
        <is>
          <t>원/계약</t>
        </is>
      </c>
    </row>
    <row r="54"/>
    <row r="55">
      <c r="A55" s="8" t="inlineStr">
        <is>
          <t>※ B8(거래단위), B10(호가단위), B16(최종거래일 규칙)은 KRX 파생상품 상품명세를 기준으로 한 값입니다. 특히 30년물은 명세를 반드시 재확인하십시오.</t>
        </is>
      </c>
    </row>
    <row r="56">
      <c r="A56" s="8" t="inlineStr">
        <is>
          <t>※ B50(채권 매매비용)과 [실시간]의 Bid/Ask 호가를 동시에 쓰면 스프레드가 이중 계상됩니다. B46='호가'면 B50=0 권장.</t>
        </is>
      </c>
    </row>
  </sheetData>
  <dataValidations count="5">
    <dataValidation sqref="B4" showDropDown="0" showInputMessage="0" showErrorMessage="0" allowBlank="1" type="list">
      <formula1>"3년,5년,10년,30년"</formula1>
    </dataValidation>
    <dataValidation sqref="B29" showDropDown="0" showInputMessage="0" showErrorMessage="0" allowBlank="1" type="list">
      <formula1>"수동,실시간"</formula1>
    </dataValidation>
    <dataValidation sqref="B38" showDropDown="0" showInputMessage="0" showErrorMessage="0" allowBlank="1" type="list">
      <formula1>"선물매도+현물매수,선물매수+현물매도"</formula1>
    </dataValidation>
    <dataValidation sqref="B45" showDropDown="0" showInputMessage="0" showErrorMessage="0" allowBlank="1" type="list">
      <formula1>"예,아니오"</formula1>
    </dataValidation>
    <dataValidation sqref="B46" showDropDown="0" showInputMessage="0" showErrorMessage="0" allowBlank="1" type="list">
      <formula1>"호가,미드"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22" customWidth="1" min="6" max="6"/>
    <col width="44" customWidth="1" min="7" max="7"/>
  </cols>
  <sheetData>
    <row r="1" ht="22" customHeight="1">
      <c r="A1" s="1" t="inlineStr">
        <is>
          <t>바스켓 채권 (최종결제기준채권)  ―  노란 셀 입력</t>
        </is>
      </c>
      <c r="B1" s="2" t="n"/>
      <c r="C1" s="2" t="n"/>
      <c r="D1" s="2" t="n"/>
      <c r="E1" s="2" t="n"/>
      <c r="F1" s="2" t="n"/>
      <c r="G1" s="2" t="n"/>
    </row>
    <row r="2"/>
    <row r="3">
      <c r="A3" s="5" t="inlineStr">
        <is>
          <t>항목</t>
        </is>
      </c>
      <c r="B3" s="5" t="inlineStr">
        <is>
          <t>단위</t>
        </is>
      </c>
      <c r="C3" s="5" t="inlineStr">
        <is>
          <t>종목1</t>
        </is>
      </c>
      <c r="D3" s="5" t="inlineStr">
        <is>
          <t>종목2</t>
        </is>
      </c>
      <c r="E3" s="5" t="inlineStr">
        <is>
          <t>종목3</t>
        </is>
      </c>
      <c r="F3" s="5" t="inlineStr">
        <is>
          <t>합계/검증</t>
        </is>
      </c>
      <c r="G3" s="5" t="inlineStr">
        <is>
          <t>비고</t>
        </is>
      </c>
    </row>
    <row r="4">
      <c r="A4" s="4" t="inlineStr">
        <is>
          <t>종목코드</t>
        </is>
      </c>
      <c r="B4" s="8" t="inlineStr"/>
      <c r="C4" s="14" t="inlineStr">
        <is>
          <t>KR103502GE97</t>
        </is>
      </c>
      <c r="D4" s="14" t="inlineStr">
        <is>
          <t>KR103503GF95</t>
        </is>
      </c>
      <c r="E4" s="14" t="inlineStr">
        <is>
          <t>KR103504GH93</t>
        </is>
      </c>
    </row>
    <row r="5">
      <c r="A5" s="4" t="inlineStr">
        <is>
          <t>종목명</t>
        </is>
      </c>
      <c r="B5" s="8" t="inlineStr"/>
      <c r="C5" s="14" t="inlineStr">
        <is>
          <t>국고03000-3506(25-3)</t>
        </is>
      </c>
      <c r="D5" s="14" t="inlineStr">
        <is>
          <t>국고02875-3509(25-6)</t>
        </is>
      </c>
      <c r="E5" s="14" t="inlineStr">
        <is>
          <t>국고03125-3512(25-9)</t>
        </is>
      </c>
    </row>
    <row r="6">
      <c r="A6" s="4" t="inlineStr">
        <is>
          <t>발행일</t>
        </is>
      </c>
      <c r="B6" s="8" t="inlineStr"/>
      <c r="C6" s="20" t="n">
        <v>45818</v>
      </c>
      <c r="D6" s="20" t="n">
        <v>45910</v>
      </c>
      <c r="E6" s="20" t="n">
        <v>46001</v>
      </c>
      <c r="G6" s="8" t="inlineStr">
        <is>
          <t>이표일 생성 기준</t>
        </is>
      </c>
    </row>
    <row r="7">
      <c r="A7" s="4" t="inlineStr">
        <is>
          <t>만기일</t>
        </is>
      </c>
      <c r="B7" s="8" t="inlineStr"/>
      <c r="C7" s="20" t="n">
        <v>49470</v>
      </c>
      <c r="D7" s="20" t="n">
        <v>49562</v>
      </c>
      <c r="E7" s="20" t="n">
        <v>49653</v>
      </c>
      <c r="G7" s="8" t="inlineStr">
        <is>
          <t>이표일을 만기에서 6개월씩 역산</t>
        </is>
      </c>
    </row>
    <row r="8">
      <c r="A8" s="4" t="inlineStr">
        <is>
          <t>표면금리</t>
        </is>
      </c>
      <c r="B8" s="8" t="inlineStr">
        <is>
          <t>%</t>
        </is>
      </c>
      <c r="C8" s="23" t="n">
        <v>3</v>
      </c>
      <c r="D8" s="23" t="n">
        <v>2.875</v>
      </c>
      <c r="E8" s="23" t="n">
        <v>3.125</v>
      </c>
    </row>
    <row r="9">
      <c r="A9" s="4" t="inlineStr">
        <is>
          <t>이표주기</t>
        </is>
      </c>
      <c r="B9" s="8" t="inlineStr">
        <is>
          <t>회/년</t>
        </is>
      </c>
      <c r="C9" s="17" t="n">
        <v>2</v>
      </c>
      <c r="D9" s="17" t="n">
        <v>2</v>
      </c>
      <c r="E9" s="17" t="n">
        <v>2</v>
      </c>
    </row>
    <row r="10">
      <c r="A10" s="4" t="inlineStr">
        <is>
          <t>가중치 w</t>
        </is>
      </c>
      <c r="B10" s="8" t="inlineStr"/>
      <c r="C10" s="23">
        <f>1/3</f>
        <v/>
      </c>
      <c r="D10" s="23">
        <f>1/3</f>
        <v/>
      </c>
      <c r="E10" s="23">
        <f>1/3</f>
        <v/>
      </c>
      <c r="F10" s="27">
        <f>SUM(C10:E10)</f>
        <v/>
      </c>
      <c r="G10" s="8" t="inlineStr">
        <is>
          <t>KRX 최종결제기준가격은 종목별 수익률의 단순평균 → 기본 1/3. 미사용 종목은 0</t>
        </is>
      </c>
    </row>
    <row r="11"/>
    <row r="12">
      <c r="A12" s="11" t="inlineStr">
        <is>
          <t>[실시간 수익률]</t>
        </is>
      </c>
      <c r="B12" s="12" t="n"/>
      <c r="C12" s="12" t="n"/>
      <c r="D12" s="12" t="n"/>
      <c r="E12" s="12" t="n"/>
      <c r="F12" s="12" t="n"/>
      <c r="G12" s="12" t="n"/>
    </row>
    <row r="13">
      <c r="A13" s="4" t="inlineStr">
        <is>
          <t>Bid 수익률 (딜러 매수호가)</t>
        </is>
      </c>
      <c r="B13" s="8" t="inlineStr">
        <is>
          <t>%</t>
        </is>
      </c>
      <c r="C13" s="28">
        <f>실시간!C10</f>
        <v/>
      </c>
      <c r="D13" s="28">
        <f>실시간!C12</f>
        <v/>
      </c>
      <c r="E13" s="28">
        <f>실시간!C14</f>
        <v/>
      </c>
    </row>
    <row r="14">
      <c r="A14" s="4" t="inlineStr">
        <is>
          <t>Ask 수익률 (딜러 매도호가)</t>
        </is>
      </c>
      <c r="B14" s="8" t="inlineStr">
        <is>
          <t>%</t>
        </is>
      </c>
      <c r="C14" s="28">
        <f>실시간!C11</f>
        <v/>
      </c>
      <c r="D14" s="28">
        <f>실시간!C13</f>
        <v/>
      </c>
      <c r="E14" s="28">
        <f>실시간!C15</f>
        <v/>
      </c>
    </row>
    <row r="15">
      <c r="A15" s="4" t="inlineStr">
        <is>
          <t>Mid 수익률</t>
        </is>
      </c>
      <c r="B15" s="8" t="inlineStr">
        <is>
          <t>%</t>
        </is>
      </c>
      <c r="C15" s="9">
        <f>AVERAGE(C13:C14)</f>
        <v/>
      </c>
      <c r="D15" s="9">
        <f>AVERAGE(D13:D14)</f>
        <v/>
      </c>
      <c r="E15" s="9">
        <f>AVERAGE(E13:E14)</f>
        <v/>
      </c>
    </row>
    <row r="16">
      <c r="A16" s="4" t="inlineStr">
        <is>
          <t>▶ 적용 수익률</t>
        </is>
      </c>
      <c r="B16" s="8" t="inlineStr">
        <is>
          <t>%</t>
        </is>
      </c>
      <c r="C16" s="24">
        <f>IF(설정!$B$46="미드",C15,IF(설정!$B$39=1,C14,C13))</f>
        <v/>
      </c>
      <c r="D16" s="24">
        <f>IF(설정!$B$46="미드",D15,IF(설정!$B$39=1,D14,D13))</f>
        <v/>
      </c>
      <c r="E16" s="24">
        <f>IF(설정!$B$46="미드",E15,IF(설정!$B$39=1,E14,E13))</f>
        <v/>
      </c>
      <c r="G16" s="8" t="inlineStr">
        <is>
          <t>현물 매수(방향=1)면 Ask, 매도면 Bid 적용</t>
        </is>
      </c>
    </row>
    <row r="17">
      <c r="A17" s="4" t="inlineStr">
        <is>
          <t>적용 수익률(소수)</t>
        </is>
      </c>
      <c r="B17" s="8" t="inlineStr"/>
      <c r="C17" s="25">
        <f>C16/100</f>
        <v/>
      </c>
      <c r="D17" s="25">
        <f>D16/100</f>
        <v/>
      </c>
      <c r="E17" s="25">
        <f>E16/100</f>
        <v/>
      </c>
    </row>
    <row r="18"/>
    <row r="19">
      <c r="A19" s="11" t="inlineStr">
        <is>
          <t>[현물 평가 — 결제일 S0]</t>
        </is>
      </c>
      <c r="B19" s="12" t="n"/>
      <c r="C19" s="12" t="n"/>
      <c r="D19" s="12" t="n"/>
      <c r="E19" s="12" t="n"/>
      <c r="F19" s="12" t="n"/>
      <c r="G19" s="12" t="n"/>
    </row>
    <row r="20">
      <c r="A20" s="4" t="inlineStr">
        <is>
          <t>잔존 이표 횟수</t>
        </is>
      </c>
      <c r="B20" s="8" t="inlineStr">
        <is>
          <t>회</t>
        </is>
      </c>
      <c r="C20" s="15">
        <f>현금흐름!$B$79</f>
        <v/>
      </c>
      <c r="D20" s="15">
        <f>현금흐름!$AR$79</f>
        <v/>
      </c>
      <c r="E20" s="15">
        <f>현금흐름!$CH$79</f>
        <v/>
      </c>
    </row>
    <row r="21">
      <c r="A21" s="4" t="inlineStr">
        <is>
          <t>다음 이표일</t>
        </is>
      </c>
      <c r="B21" s="8" t="inlineStr"/>
      <c r="C21" s="19">
        <f>현금흐름!$B$80</f>
        <v/>
      </c>
      <c r="D21" s="19">
        <f>현금흐름!$AR$80</f>
        <v/>
      </c>
      <c r="E21" s="19">
        <f>현금흐름!$CH$80</f>
        <v/>
      </c>
    </row>
    <row r="22">
      <c r="A22" s="4" t="inlineStr">
        <is>
          <t>직전 이표일</t>
        </is>
      </c>
      <c r="B22" s="8" t="inlineStr"/>
      <c r="C22" s="19">
        <f>현금흐름!$B$81</f>
        <v/>
      </c>
      <c r="D22" s="19">
        <f>현금흐름!$AR$81</f>
        <v/>
      </c>
      <c r="E22" s="19">
        <f>현금흐름!$CH$81</f>
        <v/>
      </c>
    </row>
    <row r="23">
      <c r="A23" s="4" t="inlineStr">
        <is>
          <t>d (결제일→다음이표일)</t>
        </is>
      </c>
      <c r="B23" s="8" t="inlineStr">
        <is>
          <t>일</t>
        </is>
      </c>
      <c r="C23" s="15">
        <f>현금흐름!$B$82</f>
        <v/>
      </c>
      <c r="D23" s="15">
        <f>현금흐름!$AR$82</f>
        <v/>
      </c>
      <c r="E23" s="15">
        <f>현금흐름!$CH$82</f>
        <v/>
      </c>
    </row>
    <row r="24">
      <c r="A24" s="4" t="inlineStr">
        <is>
          <t>T (이표기간 일수)</t>
        </is>
      </c>
      <c r="B24" s="8" t="inlineStr">
        <is>
          <t>일</t>
        </is>
      </c>
      <c r="C24" s="15">
        <f>현금흐름!$B$83</f>
        <v/>
      </c>
      <c r="D24" s="15">
        <f>현금흐름!$AR$83</f>
        <v/>
      </c>
      <c r="E24" s="15">
        <f>현금흐름!$CH$83</f>
        <v/>
      </c>
    </row>
    <row r="25">
      <c r="A25" s="4" t="inlineStr">
        <is>
          <t>▶ 단가 (더티, 100 기준)</t>
        </is>
      </c>
      <c r="B25" s="8" t="inlineStr"/>
      <c r="C25" s="24">
        <f>현금흐름!$B$85</f>
        <v/>
      </c>
      <c r="D25" s="24">
        <f>현금흐름!$AR$85</f>
        <v/>
      </c>
      <c r="E25" s="24">
        <f>현금흐름!$CH$85</f>
        <v/>
      </c>
    </row>
    <row r="26">
      <c r="A26" s="4" t="inlineStr">
        <is>
          <t>경과이자 (참고)</t>
        </is>
      </c>
      <c r="B26" s="8" t="inlineStr"/>
      <c r="C26" s="9">
        <f>현금흐름!$B$91</f>
        <v/>
      </c>
      <c r="D26" s="9">
        <f>현금흐름!$AR$91</f>
        <v/>
      </c>
      <c r="E26" s="9">
        <f>현금흐름!$CH$91</f>
        <v/>
      </c>
    </row>
    <row r="27">
      <c r="A27" s="4" t="inlineStr">
        <is>
          <t>클린가 (참고)</t>
        </is>
      </c>
      <c r="B27" s="8" t="inlineStr"/>
      <c r="C27" s="9">
        <f>현금흐름!$B$92</f>
        <v/>
      </c>
      <c r="D27" s="9">
        <f>현금흐름!$AR$92</f>
        <v/>
      </c>
      <c r="E27" s="9">
        <f>현금흐름!$CH$92</f>
        <v/>
      </c>
    </row>
    <row r="28">
      <c r="A28" s="4" t="inlineStr">
        <is>
          <t>현물 BPV</t>
        </is>
      </c>
      <c r="B28" s="8" t="inlineStr">
        <is>
          <t>포인트/1bp</t>
        </is>
      </c>
      <c r="C28" s="25">
        <f>현금흐름!$B$88</f>
        <v/>
      </c>
      <c r="D28" s="25">
        <f>현금흐름!$AR$88</f>
        <v/>
      </c>
      <c r="E28" s="25">
        <f>현금흐름!$CH$88</f>
        <v/>
      </c>
    </row>
    <row r="29">
      <c r="A29" s="4" t="inlineStr">
        <is>
          <t>현물 BPV (액면 1억 기준)</t>
        </is>
      </c>
      <c r="B29" s="8" t="inlineStr">
        <is>
          <t>원/1bp</t>
        </is>
      </c>
      <c r="C29" s="29">
        <f>C28*설정!$B$9</f>
        <v/>
      </c>
      <c r="D29" s="29">
        <f>D28*설정!$B$9</f>
        <v/>
      </c>
      <c r="E29" s="29">
        <f>E28*설정!$B$9</f>
        <v/>
      </c>
    </row>
    <row r="30">
      <c r="A30" s="4" t="inlineStr">
        <is>
          <t>수정듀레이션</t>
        </is>
      </c>
      <c r="B30" s="8" t="inlineStr">
        <is>
          <t>년</t>
        </is>
      </c>
      <c r="C30" s="9">
        <f>현금흐름!$B$89</f>
        <v/>
      </c>
      <c r="D30" s="9">
        <f>현금흐름!$AR$89</f>
        <v/>
      </c>
      <c r="E30" s="9">
        <f>현금흐름!$CH$89</f>
        <v/>
      </c>
    </row>
    <row r="31"/>
    <row r="32">
      <c r="A32" s="11" t="inlineStr">
        <is>
          <t>[선도 평가 — 최종결제일 H]</t>
        </is>
      </c>
      <c r="B32" s="12" t="n"/>
      <c r="C32" s="12" t="n"/>
      <c r="D32" s="12" t="n"/>
      <c r="E32" s="12" t="n"/>
      <c r="F32" s="12" t="n"/>
      <c r="G32" s="12" t="n"/>
    </row>
    <row r="33">
      <c r="A33" s="4" t="inlineStr">
        <is>
          <t>보유일수 (S0→H)</t>
        </is>
      </c>
      <c r="B33" s="8" t="inlineStr">
        <is>
          <t>일</t>
        </is>
      </c>
      <c r="C33" s="15">
        <f>설정!$B$28</f>
        <v/>
      </c>
      <c r="D33" s="15">
        <f>설정!$B$28</f>
        <v/>
      </c>
      <c r="E33" s="15">
        <f>설정!$B$28</f>
        <v/>
      </c>
    </row>
    <row r="34">
      <c r="A34" s="4" t="inlineStr">
        <is>
          <t>기간중 쿠폰 재투자FV</t>
        </is>
      </c>
      <c r="B34" s="8" t="inlineStr"/>
      <c r="C34" s="9">
        <f>현금흐름!$B$100</f>
        <v/>
      </c>
      <c r="D34" s="9">
        <f>현금흐름!$AR$100</f>
        <v/>
      </c>
      <c r="E34" s="9">
        <f>현금흐름!$CH$100</f>
        <v/>
      </c>
    </row>
    <row r="35">
      <c r="A35" s="4" t="inlineStr">
        <is>
          <t>조달이자</t>
        </is>
      </c>
      <c r="B35" s="8" t="inlineStr"/>
      <c r="C35" s="9">
        <f>현금흐름!$B$102</f>
        <v/>
      </c>
      <c r="D35" s="9">
        <f>현금흐름!$AR$102</f>
        <v/>
      </c>
      <c r="E35" s="9">
        <f>현금흐름!$CH$102</f>
        <v/>
      </c>
    </row>
    <row r="36">
      <c r="A36" s="4" t="inlineStr">
        <is>
          <t>▶ 선도 목표단가 (더티)</t>
        </is>
      </c>
      <c r="B36" s="8" t="inlineStr"/>
      <c r="C36" s="24">
        <f>현금흐름!$B$103</f>
        <v/>
      </c>
      <c r="D36" s="24">
        <f>현금흐름!$AR$103</f>
        <v/>
      </c>
      <c r="E36" s="24">
        <f>현금흐름!$CH$103</f>
        <v/>
      </c>
      <c r="G36" s="8" t="inlineStr">
        <is>
          <t>현물단가 + 조달이자 − 쿠폰FV</t>
        </is>
      </c>
    </row>
    <row r="37">
      <c r="A37" s="4" t="inlineStr">
        <is>
          <t>▶ 선도 수익률</t>
        </is>
      </c>
      <c r="B37" s="8" t="inlineStr">
        <is>
          <t>%</t>
        </is>
      </c>
      <c r="C37" s="24">
        <f>현금흐름!$B$111*100</f>
        <v/>
      </c>
      <c r="D37" s="24">
        <f>현금흐름!$AR$111*100</f>
        <v/>
      </c>
      <c r="E37" s="24">
        <f>현금흐름!$CH$111*100</f>
        <v/>
      </c>
    </row>
    <row r="38">
      <c r="A38" s="4" t="inlineStr">
        <is>
          <t>수렴 잔차 (0에 근접해야 정상)</t>
        </is>
      </c>
      <c r="B38" s="8" t="inlineStr"/>
      <c r="C38" s="30">
        <f>현금흐름!$B$113</f>
        <v/>
      </c>
      <c r="D38" s="30">
        <f>현금흐름!$AR$113</f>
        <v/>
      </c>
      <c r="E38" s="30">
        <f>현금흐름!$CH$113</f>
        <v/>
      </c>
    </row>
    <row r="39">
      <c r="A39" s="4" t="inlineStr">
        <is>
          <t>선도 BPV</t>
        </is>
      </c>
      <c r="B39" s="8" t="inlineStr">
        <is>
          <t>포인트/1bp</t>
        </is>
      </c>
      <c r="C39" s="25">
        <f>현금흐름!$B$116</f>
        <v/>
      </c>
      <c r="D39" s="25">
        <f>현금흐름!$AR$116</f>
        <v/>
      </c>
      <c r="E39" s="25">
        <f>현금흐름!$CH$116</f>
        <v/>
      </c>
    </row>
    <row r="40">
      <c r="A40" s="4" t="inlineStr">
        <is>
          <t>선도 BPV (액면 1억 기준)</t>
        </is>
      </c>
      <c r="B40" s="8" t="inlineStr">
        <is>
          <t>원/1bp</t>
        </is>
      </c>
      <c r="C40" s="29">
        <f>C39*설정!$B$9</f>
        <v/>
      </c>
      <c r="D40" s="29">
        <f>D39*설정!$B$9</f>
        <v/>
      </c>
      <c r="E40" s="29">
        <f>E39*설정!$B$9</f>
        <v/>
      </c>
    </row>
    <row r="41">
      <c r="A41" s="4" t="inlineStr">
        <is>
          <t>선도 2차미분 P''</t>
        </is>
      </c>
      <c r="B41" s="8" t="inlineStr"/>
      <c r="C41" s="31">
        <f>현금흐름!$B$117</f>
        <v/>
      </c>
      <c r="D41" s="31">
        <f>현금흐름!$AR$117</f>
        <v/>
      </c>
      <c r="E41" s="31">
        <f>현금흐름!$CH$117</f>
        <v/>
      </c>
    </row>
    <row r="42">
      <c r="A42" s="4" t="inlineStr">
        <is>
          <t>선도 잔존만기</t>
        </is>
      </c>
      <c r="B42" s="8" t="inlineStr">
        <is>
          <t>년</t>
        </is>
      </c>
      <c r="C42" s="9">
        <f>현금흐름!$B$118</f>
        <v/>
      </c>
      <c r="D42" s="9">
        <f>현금흐름!$AR$118</f>
        <v/>
      </c>
      <c r="E42" s="9">
        <f>현금흐름!$CH$118</f>
        <v/>
      </c>
    </row>
    <row r="43">
      <c r="A43" s="4" t="inlineStr">
        <is>
          <t>캐리 (선도−현물)</t>
        </is>
      </c>
      <c r="B43" s="8" t="inlineStr">
        <is>
          <t>bp</t>
        </is>
      </c>
      <c r="C43" s="31">
        <f>(C37-C16)*100</f>
        <v/>
      </c>
      <c r="D43" s="31">
        <f>(D37-D16)*100</f>
        <v/>
      </c>
      <c r="E43" s="31">
        <f>(E37-E16)*100</f>
        <v/>
      </c>
      <c r="G43" s="8" t="inlineStr">
        <is>
          <t>양수 = 선도수익률이 높음 = 네거티브 캐리</t>
        </is>
      </c>
    </row>
    <row r="44"/>
    <row r="45">
      <c r="A45" s="11" t="inlineStr">
        <is>
          <t>[헤지 / 포지션]</t>
        </is>
      </c>
      <c r="B45" s="12" t="n"/>
      <c r="C45" s="12" t="n"/>
      <c r="D45" s="12" t="n"/>
      <c r="E45" s="12" t="n"/>
      <c r="F45" s="12" t="n"/>
      <c r="G45" s="12" t="n"/>
    </row>
    <row r="46">
      <c r="A46" s="4" t="inlineStr">
        <is>
          <t>이론 액면 (선물 1계약당)</t>
        </is>
      </c>
      <c r="B46" s="8" t="inlineStr">
        <is>
          <t>원</t>
        </is>
      </c>
      <c r="C46" s="22">
        <f>IFERROR(C10*(이론가!$B$18/C39)*설정!$B$8,0)</f>
        <v/>
      </c>
      <c r="D46" s="22">
        <f>IFERROR(D10*(이론가!$B$18/D39)*설정!$B$8,0)</f>
        <v/>
      </c>
      <c r="E46" s="22">
        <f>IFERROR(E10*(이론가!$B$18/E39)*설정!$B$8,0)</f>
        <v/>
      </c>
      <c r="F46" s="32">
        <f>SUM(C46:E46)</f>
        <v/>
      </c>
      <c r="G46" s="8" t="inlineStr">
        <is>
          <t>w × (표준물BPV / 선도BPV) × 거래단위  → 종목별 수익률 리스크 완전중립</t>
        </is>
      </c>
    </row>
    <row r="47">
      <c r="A47" s="4" t="inlineStr">
        <is>
          <t>이론 액면 총계</t>
        </is>
      </c>
      <c r="B47" s="8" t="inlineStr">
        <is>
          <t>원</t>
        </is>
      </c>
      <c r="C47" s="15">
        <f>C46*설정!$B$40</f>
        <v/>
      </c>
      <c r="D47" s="15">
        <f>D46*설정!$B$40</f>
        <v/>
      </c>
      <c r="E47" s="15">
        <f>E46*설정!$B$40</f>
        <v/>
      </c>
      <c r="F47" s="32">
        <f>SUM(C47:E47)</f>
        <v/>
      </c>
    </row>
    <row r="48">
      <c r="A48" s="4" t="inlineStr">
        <is>
          <t>실제 보유액면</t>
        </is>
      </c>
      <c r="B48" s="8" t="inlineStr">
        <is>
          <t>원</t>
        </is>
      </c>
      <c r="C48" s="17" t="n">
        <v>0</v>
      </c>
      <c r="D48" s="17" t="n">
        <v>0</v>
      </c>
      <c r="E48" s="17" t="n">
        <v>0</v>
      </c>
      <c r="F48" s="32">
        <f>SUM(C48:E48)</f>
        <v/>
      </c>
    </row>
    <row r="49">
      <c r="A49" s="4" t="inlineStr">
        <is>
          <t>▶ 적용 액면</t>
        </is>
      </c>
      <c r="B49" s="8" t="inlineStr">
        <is>
          <t>원</t>
        </is>
      </c>
      <c r="C49" s="22">
        <f>IF(설정!$B$45="예",C47,C48)</f>
        <v/>
      </c>
      <c r="D49" s="22">
        <f>IF(설정!$B$45="예",D47,D48)</f>
        <v/>
      </c>
      <c r="E49" s="22">
        <f>IF(설정!$B$45="예",E47,E48)</f>
        <v/>
      </c>
      <c r="F49" s="32">
        <f>SUM(C49:E49)</f>
        <v/>
      </c>
    </row>
    <row r="50">
      <c r="A50" s="4" t="inlineStr">
        <is>
          <t>진입 결제금액 (실제 체결)</t>
        </is>
      </c>
      <c r="B50" s="8" t="inlineStr">
        <is>
          <t>원</t>
        </is>
      </c>
      <c r="C50" s="17" t="n"/>
      <c r="D50" s="17" t="n"/>
      <c r="E50" s="17" t="n"/>
      <c r="F50" s="32">
        <f>SUM(C50:E50)</f>
        <v/>
      </c>
      <c r="G50" s="8" t="inlineStr">
        <is>
          <t>미입력 시 현재 단가 기준으로 자동 산출</t>
        </is>
      </c>
    </row>
    <row r="51">
      <c r="A51" s="4" t="inlineStr">
        <is>
          <t>▶ 적용 진입금액</t>
        </is>
      </c>
      <c r="B51" s="8" t="inlineStr">
        <is>
          <t>원</t>
        </is>
      </c>
      <c r="C51" s="22">
        <f>IF(C50="",C25/100*C49,C50)</f>
        <v/>
      </c>
      <c r="D51" s="22">
        <f>IF(D50="",D25/100*D49,D50)</f>
        <v/>
      </c>
      <c r="E51" s="22">
        <f>IF(E50="",E25/100*E49,E50)</f>
        <v/>
      </c>
      <c r="F51" s="32">
        <f>SUM(C51:E51)</f>
        <v/>
      </c>
    </row>
    <row r="52">
      <c r="A52" s="4" t="inlineStr">
        <is>
          <t>진입 환산단가 (더티)</t>
        </is>
      </c>
      <c r="B52" s="8" t="inlineStr"/>
      <c r="C52" s="9">
        <f>IFERROR(C51/C49*100,0)</f>
        <v/>
      </c>
      <c r="D52" s="9">
        <f>IFERROR(D51/D49*100,0)</f>
        <v/>
      </c>
      <c r="E52" s="9">
        <f>IFERROR(E51/E49*100,0)</f>
        <v/>
      </c>
    </row>
    <row r="53">
      <c r="A53" s="4" t="inlineStr">
        <is>
          <t>현재 평가금액</t>
        </is>
      </c>
      <c r="B53" s="8" t="inlineStr">
        <is>
          <t>원</t>
        </is>
      </c>
      <c r="C53" s="15">
        <f>C25/100*C49</f>
        <v/>
      </c>
      <c r="D53" s="15">
        <f>D25/100*D49</f>
        <v/>
      </c>
      <c r="E53" s="15">
        <f>E25/100*E49</f>
        <v/>
      </c>
      <c r="F53" s="32">
        <f>SUM(C53:E53)</f>
        <v/>
      </c>
    </row>
    <row r="54">
      <c r="A54" s="4" t="inlineStr">
        <is>
          <t>현재 평가손익 (방향반영)</t>
        </is>
      </c>
      <c r="B54" s="8" t="inlineStr">
        <is>
          <t>원</t>
        </is>
      </c>
      <c r="C54" s="15">
        <f>(C53-C51)*설정!$B$39</f>
        <v/>
      </c>
      <c r="D54" s="15">
        <f>(D53-D51)*설정!$B$39</f>
        <v/>
      </c>
      <c r="E54" s="15">
        <f>(E53-E51)*설정!$B$39</f>
        <v/>
      </c>
      <c r="F54" s="32">
        <f>SUM(C54:E54)</f>
        <v/>
      </c>
    </row>
    <row r="55"/>
    <row r="56">
      <c r="A56" s="8" t="inlineStr">
        <is>
          <t>※ 46행 헤지액면: 각 종목의 수익률 1bp 변동이 선물 leg와 정확히 상쇄되도록 산출합니다. 가중치 합이 1이고 BPV가 비슷하면 3종목 합계는 대략 계약수 × 1억원이 됩니다.</t>
        </is>
      </c>
    </row>
    <row r="57">
      <c r="A57" s="8" t="inlineStr">
        <is>
          <t>※ 종목을 2개만 쓸 경우: 미사용 종목의 가중치(10행)를 0으로 두되, 발행일/만기일/표면금리는 유효한 값을 유지해야 오류가 없습니다.</t>
        </is>
      </c>
    </row>
    <row r="58">
      <c r="A58" s="8" t="inlineStr">
        <is>
          <t>※ 4~8행 종목정보 출처: 한국거래소가 결제월별로 공시하는 최종결제기준채권. 현재 값은 형식 예시용 더미입니다.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56" customWidth="1" min="4" max="4"/>
    <col width="10" customWidth="1" min="5" max="5"/>
    <col width="10" customWidth="1" min="6" max="6"/>
  </cols>
  <sheetData>
    <row r="1" ht="22" customHeight="1">
      <c r="A1" s="1" t="inlineStr">
        <is>
          <t>이론 선물가격 · 베이시스 · 차익 판정</t>
        </is>
      </c>
      <c r="B1" s="2" t="n"/>
      <c r="C1" s="2" t="n"/>
      <c r="D1" s="2" t="n"/>
      <c r="E1" s="2" t="n"/>
      <c r="F1" s="2" t="n"/>
    </row>
    <row r="2"/>
    <row r="3">
      <c r="A3" s="11" t="inlineStr">
        <is>
          <t>[1] 바스켓 선도수익률</t>
        </is>
      </c>
      <c r="B3" s="12" t="n"/>
      <c r="C3" s="33" t="inlineStr">
        <is>
          <t>가중치</t>
        </is>
      </c>
      <c r="D3" s="12" t="n"/>
      <c r="E3" s="12" t="n"/>
      <c r="F3" s="12" t="n"/>
    </row>
    <row r="4">
      <c r="A4" s="4" t="inlineStr">
        <is>
          <t>종목1 선도수익률</t>
        </is>
      </c>
      <c r="B4" s="28">
        <f>바스켓!C37</f>
        <v/>
      </c>
      <c r="C4" s="34">
        <f>바스켓!C10</f>
        <v/>
      </c>
    </row>
    <row r="5">
      <c r="A5" s="4" t="inlineStr">
        <is>
          <t>종목2 선도수익률</t>
        </is>
      </c>
      <c r="B5" s="28">
        <f>바스켓!D37</f>
        <v/>
      </c>
      <c r="C5" s="34">
        <f>바스켓!D10</f>
        <v/>
      </c>
    </row>
    <row r="6">
      <c r="A6" s="4" t="inlineStr">
        <is>
          <t>종목3 선도수익률</t>
        </is>
      </c>
      <c r="B6" s="28">
        <f>바스켓!E37</f>
        <v/>
      </c>
      <c r="C6" s="34">
        <f>바스켓!E10</f>
        <v/>
      </c>
    </row>
    <row r="7">
      <c r="A7" s="4" t="inlineStr">
        <is>
          <t>▶ 가중평균 선도수익률</t>
        </is>
      </c>
      <c r="B7" s="24">
        <f>SUMPRODUCT(B4:B6,C4:C6)/SUM(C4:C6)</f>
        <v/>
      </c>
      <c r="C7" s="8" t="inlineStr">
        <is>
          <t>%</t>
        </is>
      </c>
    </row>
    <row r="8">
      <c r="A8" s="4" t="inlineStr">
        <is>
          <t>(소수)</t>
        </is>
      </c>
      <c r="B8" s="35">
        <f>B7/100</f>
        <v/>
      </c>
    </row>
    <row r="9"/>
    <row r="10">
      <c r="A10" s="11" t="inlineStr">
        <is>
          <t>[2] 표준물 가격 = 최종결제기준가격 산식</t>
        </is>
      </c>
      <c r="B10" s="12" t="n"/>
      <c r="C10" s="12" t="n"/>
      <c r="D10" s="12" t="n"/>
      <c r="E10" s="12" t="n"/>
      <c r="F10" s="12" t="n"/>
    </row>
    <row r="11">
      <c r="A11" s="4" t="inlineStr">
        <is>
          <t>표준물 만기</t>
        </is>
      </c>
      <c r="B11" s="36">
        <f>설정!$B$5</f>
        <v/>
      </c>
      <c r="C11" s="8" t="inlineStr">
        <is>
          <t>년</t>
        </is>
      </c>
    </row>
    <row r="12">
      <c r="A12" s="4" t="inlineStr">
        <is>
          <t>반기 기간수 N</t>
        </is>
      </c>
      <c r="B12" s="15">
        <f>B11*설정!$B$7</f>
        <v/>
      </c>
    </row>
    <row r="13">
      <c r="A13" s="4" t="inlineStr">
        <is>
          <t>반기 쿠폰</t>
        </is>
      </c>
      <c r="B13" s="9">
        <f>설정!$B$6*100/설정!$B$7</f>
        <v/>
      </c>
    </row>
    <row r="14">
      <c r="A14" s="4" t="inlineStr">
        <is>
          <t>▶ 이론 선물가격</t>
        </is>
      </c>
      <c r="B14" s="24">
        <f>(설정!$B$6*100/($B$8))*(1-(1/(1+($B$8)/2))^$B$12)+100*(1/(1+($B$8)/2))^$B$12</f>
        <v/>
      </c>
    </row>
    <row r="15">
      <c r="A15" s="4" t="inlineStr">
        <is>
          <t>이론가 (호가단위 반올림)</t>
        </is>
      </c>
      <c r="B15" s="31">
        <f>ROUND(B14/설정!$B$10,0)*설정!$B$10</f>
        <v/>
      </c>
    </row>
    <row r="16">
      <c r="A16" s="4" t="inlineStr">
        <is>
          <t>P(ȳ+1bp)</t>
        </is>
      </c>
      <c r="B16" s="25">
        <f>(설정!$B$6*100/($B$8+0.0001))*(1-(1/(1+($B$8+0.0001)/2))^$B$12)+100*(1/(1+($B$8+0.0001)/2))^$B$12</f>
        <v/>
      </c>
    </row>
    <row r="17">
      <c r="A17" s="4" t="inlineStr">
        <is>
          <t>P(ȳ−1bp)</t>
        </is>
      </c>
      <c r="B17" s="25">
        <f>(설정!$B$6*100/($B$8-0.0001))*(1-(1/(1+($B$8-0.0001)/2))^$B$12)+100*(1/(1+($B$8-0.0001)/2))^$B$12</f>
        <v/>
      </c>
    </row>
    <row r="18">
      <c r="A18" s="4" t="inlineStr">
        <is>
          <t>▶ 표준물 BPV</t>
        </is>
      </c>
      <c r="B18" s="37">
        <f>(B17-B16)/2</f>
        <v/>
      </c>
      <c r="C18" s="8" t="inlineStr">
        <is>
          <t>포인트/1bp</t>
        </is>
      </c>
    </row>
    <row r="19">
      <c r="A19" s="4" t="inlineStr">
        <is>
          <t>표준물 BPV (원/1bp/계약)</t>
        </is>
      </c>
      <c r="B19" s="29">
        <f>B18*설정!$B$9</f>
        <v/>
      </c>
      <c r="C19" s="8" t="inlineStr">
        <is>
          <t>원</t>
        </is>
      </c>
    </row>
    <row r="20">
      <c r="A20" s="4" t="inlineStr">
        <is>
          <t>표준물 수정듀레이션</t>
        </is>
      </c>
      <c r="B20" s="9">
        <f>B18*10000/B14</f>
        <v/>
      </c>
      <c r="C20" s="8" t="inlineStr">
        <is>
          <t>년</t>
        </is>
      </c>
    </row>
    <row r="21"/>
    <row r="22">
      <c r="A22" s="11" t="inlineStr">
        <is>
          <t>[3] 시장 선물가격 → 내재수익률 (뉴턴 2회)</t>
        </is>
      </c>
      <c r="B22" s="12" t="n"/>
      <c r="C22" s="12" t="n"/>
      <c r="D22" s="12" t="n"/>
      <c r="E22" s="12" t="n"/>
      <c r="F22" s="12" t="n"/>
    </row>
    <row r="23">
      <c r="A23" s="4" t="inlineStr">
        <is>
          <t>시장 선물가격</t>
        </is>
      </c>
      <c r="B23" s="38">
        <f>실시간!C5</f>
        <v/>
      </c>
    </row>
    <row r="24">
      <c r="A24" s="4" t="inlineStr">
        <is>
          <t>ya (초기값)</t>
        </is>
      </c>
      <c r="B24" s="35">
        <f>B8</f>
        <v/>
      </c>
    </row>
    <row r="25">
      <c r="A25" s="4" t="inlineStr">
        <is>
          <t>P(ya)</t>
        </is>
      </c>
      <c r="B25" s="25">
        <f>B14</f>
        <v/>
      </c>
    </row>
    <row r="26">
      <c r="A26" s="4" t="inlineStr">
        <is>
          <t>|dP/dy|</t>
        </is>
      </c>
      <c r="B26" s="25">
        <f>B18*10000</f>
        <v/>
      </c>
    </row>
    <row r="27">
      <c r="A27" s="4" t="inlineStr">
        <is>
          <t>yb</t>
        </is>
      </c>
      <c r="B27" s="35">
        <f>B24+(B25-B23)/B26</f>
        <v/>
      </c>
    </row>
    <row r="28">
      <c r="A28" s="4" t="inlineStr">
        <is>
          <t>P(yb)</t>
        </is>
      </c>
      <c r="B28" s="25">
        <f>(설정!$B$6*100/($B$27))*(1-(1/(1+($B$27)/2))^$B$12)+100*(1/(1+($B$27)/2))^$B$12</f>
        <v/>
      </c>
    </row>
    <row r="29">
      <c r="A29" s="4" t="inlineStr">
        <is>
          <t>yc</t>
        </is>
      </c>
      <c r="B29" s="35">
        <f>B27+(B28-B23)/B26</f>
        <v/>
      </c>
    </row>
    <row r="30">
      <c r="A30" s="4" t="inlineStr">
        <is>
          <t>P(yc)</t>
        </is>
      </c>
      <c r="B30" s="25">
        <f>(설정!$B$6*100/($B$29))*(1-(1/(1+($B$29)/2))^$B$12)+100*(1/(1+($B$29)/2))^$B$12</f>
        <v/>
      </c>
    </row>
    <row r="31">
      <c r="A31" s="4" t="inlineStr">
        <is>
          <t>▶ 선물 내재수익률</t>
        </is>
      </c>
      <c r="B31" s="24">
        <f>B29*100</f>
        <v/>
      </c>
      <c r="C31" s="8" t="inlineStr">
        <is>
          <t>%</t>
        </is>
      </c>
    </row>
    <row r="32">
      <c r="A32" s="4" t="inlineStr">
        <is>
          <t>수렴 잔차</t>
        </is>
      </c>
      <c r="B32" s="30">
        <f>B30-B23</f>
        <v/>
      </c>
    </row>
    <row r="33"/>
    <row r="34">
      <c r="A34" s="11" t="inlineStr">
        <is>
          <t>[4] 베이시스 및 차익 판정</t>
        </is>
      </c>
      <c r="B34" s="12" t="n"/>
      <c r="C34" s="12" t="n"/>
      <c r="D34" s="12" t="n"/>
      <c r="E34" s="12" t="n"/>
      <c r="F34" s="12" t="n"/>
    </row>
    <row r="35">
      <c r="A35" s="4" t="inlineStr">
        <is>
          <t>▶ 베이시스 (시장가 − 이론가)</t>
        </is>
      </c>
      <c r="B35" s="24">
        <f>B23-B14</f>
        <v/>
      </c>
      <c r="C35" s="8" t="inlineStr">
        <is>
          <t>포인트</t>
        </is>
      </c>
    </row>
    <row r="36">
      <c r="A36" s="4" t="inlineStr">
        <is>
          <t>베이시스</t>
        </is>
      </c>
      <c r="B36" s="31">
        <f>B35/설정!$B$10</f>
        <v/>
      </c>
      <c r="C36" s="8" t="inlineStr">
        <is>
          <t>틱</t>
        </is>
      </c>
    </row>
    <row r="37">
      <c r="A37" s="4" t="inlineStr">
        <is>
          <t>▶ 베이시스</t>
        </is>
      </c>
      <c r="B37" s="22">
        <f>B35*설정!$B$9</f>
        <v/>
      </c>
      <c r="C37" s="8" t="inlineStr">
        <is>
          <t>원/계약</t>
        </is>
      </c>
    </row>
    <row r="38">
      <c r="A38" s="4" t="inlineStr">
        <is>
          <t>수익률 스프레드 (선도평균 − 내재)</t>
        </is>
      </c>
      <c r="B38" s="31">
        <f>(B7-B31)*100</f>
        <v/>
      </c>
      <c r="C38" s="8" t="inlineStr">
        <is>
          <t>bp</t>
        </is>
      </c>
      <c r="D38" s="8" t="inlineStr">
        <is>
          <t>양수 = 선물 고평가</t>
        </is>
      </c>
    </row>
    <row r="39">
      <c r="A39" s="4" t="inlineStr">
        <is>
          <t>총 거래비용</t>
        </is>
      </c>
      <c r="B39" s="36">
        <f>설정!$B$53</f>
        <v/>
      </c>
      <c r="C39" s="8" t="inlineStr">
        <is>
          <t>원/계약</t>
        </is>
      </c>
    </row>
    <row r="40">
      <c r="A40" s="4" t="inlineStr">
        <is>
          <t>▶ 순차익 (비용 차감후)</t>
        </is>
      </c>
      <c r="B40" s="22">
        <f>ABS(B37)-B39</f>
        <v/>
      </c>
      <c r="C40" s="8" t="inlineStr">
        <is>
          <t>원/계약</t>
        </is>
      </c>
    </row>
    <row r="41">
      <c r="A41" s="4" t="inlineStr">
        <is>
          <t>계약수</t>
        </is>
      </c>
      <c r="B41" s="36">
        <f>설정!$B$40</f>
        <v/>
      </c>
      <c r="C41" s="8" t="inlineStr">
        <is>
          <t>계약</t>
        </is>
      </c>
    </row>
    <row r="42">
      <c r="A42" s="4" t="inlineStr">
        <is>
          <t>▶ 총 순차익</t>
        </is>
      </c>
      <c r="B42" s="22">
        <f>B40*B41</f>
        <v/>
      </c>
      <c r="C42" s="8" t="inlineStr">
        <is>
          <t>원</t>
        </is>
      </c>
    </row>
    <row r="43">
      <c r="A43" s="4" t="inlineStr">
        <is>
          <t>권장 포지션</t>
        </is>
      </c>
      <c r="B43" s="39">
        <f>IF(B37&gt;0,"선물 매도 + 바스켓 매수 (선물 고평가)",IF(B37&lt;0,"선물 매수 + 바스켓 매도 (선물 저평가)","중립"))</f>
        <v/>
      </c>
    </row>
    <row r="44">
      <c r="A44" s="4" t="inlineStr">
        <is>
          <t>설정된 방향과 일치?</t>
        </is>
      </c>
      <c r="B44" s="39">
        <f>IF(OR(AND(B37&gt;0,설정!$B$39=1),AND(B37&lt;0,설정!$B$39=-1)),"○ 일치","✕ 설정!B38 방향 확인")</f>
        <v/>
      </c>
    </row>
    <row r="45">
      <c r="A45" s="4" t="inlineStr">
        <is>
          <t>판정</t>
        </is>
      </c>
      <c r="B45" s="39">
        <f>IF(B40&gt;0,"차익거래 가능","비용 미달 — 관망")</f>
        <v/>
      </c>
    </row>
    <row r="46"/>
    <row r="47">
      <c r="A47" s="8" t="inlineStr">
        <is>
          <t>※ 베이시스가 양수(선물 고평가)면 선물 매도 + 바스켓 매수(cash-and-carry), 음수면 반대(reverse cash-and-carry) 입니다.</t>
        </is>
      </c>
    </row>
    <row r="48">
      <c r="A48" s="8" t="inlineStr">
        <is>
          <t>※ 40행은 절대값 기준입니다. 실제 진입 시에는 [설정] B38의 방향이 43행 권장과 일치하는지 44행에서 확인하십시오.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56" customWidth="1" min="4" max="4"/>
    <col width="10" customWidth="1" min="5" max="5"/>
    <col width="10" customWidth="1" min="6" max="6"/>
  </cols>
  <sheetData>
    <row r="1" ht="22" customHeight="1">
      <c r="A1" s="1" t="inlineStr">
        <is>
          <t>만기 손익  ―  바스켓 1단위 = 선물 1계약 대응</t>
        </is>
      </c>
      <c r="B1" s="2" t="n"/>
      <c r="C1" s="2" t="n"/>
      <c r="D1" s="2" t="n"/>
      <c r="E1" s="2" t="n"/>
      <c r="F1" s="2" t="n"/>
    </row>
    <row r="2"/>
    <row r="3">
      <c r="A3" s="11" t="inlineStr">
        <is>
          <t>[A] 실시간 락인 손익 (지금 진입 → 만기 보유 가정)</t>
        </is>
      </c>
      <c r="B3" s="12" t="n"/>
      <c r="C3" s="12" t="n"/>
      <c r="D3" s="12" t="n"/>
      <c r="E3" s="12" t="n"/>
      <c r="F3" s="12" t="n"/>
    </row>
    <row r="4">
      <c r="A4" s="4" t="inlineStr">
        <is>
          <t>베이시스</t>
        </is>
      </c>
      <c r="B4" s="36">
        <f>이론가!B37</f>
        <v/>
      </c>
      <c r="C4" s="8" t="inlineStr">
        <is>
          <t>원/계약</t>
        </is>
      </c>
    </row>
    <row r="5">
      <c r="A5" s="4" t="inlineStr">
        <is>
          <t>총 거래비용</t>
        </is>
      </c>
      <c r="B5" s="36">
        <f>설정!$B$53</f>
        <v/>
      </c>
      <c r="C5" s="8" t="inlineStr">
        <is>
          <t>원/계약</t>
        </is>
      </c>
    </row>
    <row r="6">
      <c r="A6" s="4" t="inlineStr">
        <is>
          <t>▶ 순차익</t>
        </is>
      </c>
      <c r="B6" s="22">
        <f>이론가!B40</f>
        <v/>
      </c>
      <c r="C6" s="8" t="inlineStr">
        <is>
          <t>원/계약</t>
        </is>
      </c>
    </row>
    <row r="7">
      <c r="A7" s="4" t="inlineStr">
        <is>
          <t>계약수 Q</t>
        </is>
      </c>
      <c r="B7" s="36">
        <f>설정!$B$40</f>
        <v/>
      </c>
      <c r="C7" s="8" t="inlineStr">
        <is>
          <t>계약</t>
        </is>
      </c>
    </row>
    <row r="8">
      <c r="A8" s="4" t="inlineStr">
        <is>
          <t>▶ 총 순차익</t>
        </is>
      </c>
      <c r="B8" s="22">
        <f>B6*B7</f>
        <v/>
      </c>
      <c r="C8" s="8" t="inlineStr">
        <is>
          <t>원</t>
        </is>
      </c>
    </row>
    <row r="9">
      <c r="A9" s="4" t="inlineStr">
        <is>
          <t>바스켓 투자금액 (현물 매입액)</t>
        </is>
      </c>
      <c r="B9" s="36">
        <f>SUM(바스켓!C53:E53)</f>
        <v/>
      </c>
      <c r="C9" s="8" t="inlineStr">
        <is>
          <t>원</t>
        </is>
      </c>
    </row>
    <row r="10">
      <c r="A10" s="4" t="inlineStr">
        <is>
          <t>보유일수</t>
        </is>
      </c>
      <c r="B10" s="36">
        <f>설정!$B$28</f>
        <v/>
      </c>
      <c r="C10" s="8" t="inlineStr">
        <is>
          <t>일</t>
        </is>
      </c>
    </row>
    <row r="11">
      <c r="A11" s="4" t="inlineStr">
        <is>
          <t>▶ 연환산 수익률</t>
        </is>
      </c>
      <c r="B11" s="24">
        <f>IF(AND(B9&gt;0,B10&gt;0),B8/B9*365/B10*100,"")</f>
        <v/>
      </c>
      <c r="C11" s="8" t="inlineStr">
        <is>
          <t>%</t>
        </is>
      </c>
    </row>
    <row r="12">
      <c r="A12" s="4" t="inlineStr">
        <is>
          <t>조달금리 대비 초과</t>
        </is>
      </c>
      <c r="B12" s="24">
        <f>IF(B11="","",B11-설정!$B$31)</f>
        <v/>
      </c>
      <c r="C12" s="8" t="inlineStr">
        <is>
          <t>%p</t>
        </is>
      </c>
      <c r="D12" s="8" t="inlineStr">
        <is>
          <t>레포로 100% 조달 시 이 값이 순마진</t>
        </is>
      </c>
    </row>
    <row r="13"/>
    <row r="14">
      <c r="A14" s="11" t="inlineStr">
        <is>
          <t>[B] 현재 미실현 손익 (보유 포지션 마킹)</t>
        </is>
      </c>
      <c r="B14" s="12" t="n"/>
      <c r="C14" s="12" t="n"/>
      <c r="D14" s="12" t="n"/>
      <c r="E14" s="12" t="n"/>
      <c r="F14" s="12" t="n"/>
    </row>
    <row r="15">
      <c r="A15" s="4" t="inlineStr">
        <is>
          <t>선물 진입가</t>
        </is>
      </c>
      <c r="B15" s="38">
        <f>설정!$B$42</f>
        <v/>
      </c>
    </row>
    <row r="16">
      <c r="A16" s="4" t="inlineStr">
        <is>
          <t>선물 현재가</t>
        </is>
      </c>
      <c r="B16" s="38">
        <f>실시간!C5</f>
        <v/>
      </c>
    </row>
    <row r="17">
      <c r="A17" s="4" t="inlineStr">
        <is>
          <t>선물 평가손익</t>
        </is>
      </c>
      <c r="B17" s="15">
        <f>(B15-B16)*설정!$B$39*설정!$B$9*설정!$B$40</f>
        <v/>
      </c>
      <c r="C17" s="8" t="inlineStr">
        <is>
          <t>원</t>
        </is>
      </c>
    </row>
    <row r="18">
      <c r="A18" s="4" t="inlineStr">
        <is>
          <t>현물 평가손익</t>
        </is>
      </c>
      <c r="B18" s="36">
        <f>바스켓!F54</f>
        <v/>
      </c>
      <c r="C18" s="8" t="inlineStr">
        <is>
          <t>원</t>
        </is>
      </c>
    </row>
    <row r="19">
      <c r="A19" s="4" t="inlineStr">
        <is>
          <t>진입 경과일수</t>
        </is>
      </c>
      <c r="B19" s="15">
        <f>MAX(0,설정!$B$27-설정!$B$44)</f>
        <v/>
      </c>
      <c r="C19" s="8" t="inlineStr">
        <is>
          <t>일</t>
        </is>
      </c>
    </row>
    <row r="20">
      <c r="A20" s="4" t="inlineStr">
        <is>
          <t>경과 조달이자</t>
        </is>
      </c>
      <c r="B20" s="15">
        <f>-바스켓!F51*설정!$B$32*B19/365*설정!$B$39</f>
        <v/>
      </c>
      <c r="C20" s="8" t="inlineStr">
        <is>
          <t>원</t>
        </is>
      </c>
    </row>
    <row r="21">
      <c r="A21" s="4" t="inlineStr">
        <is>
          <t>▶ 미실현 손익 합계</t>
        </is>
      </c>
      <c r="B21" s="22">
        <f>B17+B18+B20</f>
        <v/>
      </c>
      <c r="C21" s="8" t="inlineStr">
        <is>
          <t>원</t>
        </is>
      </c>
    </row>
    <row r="22"/>
    <row r="23">
      <c r="A23" s="11" t="inlineStr">
        <is>
          <t>[C] 만기 손익 — 시나리오</t>
        </is>
      </c>
      <c r="B23" s="12" t="n"/>
      <c r="C23" s="12" t="n"/>
      <c r="D23" s="12" t="n"/>
      <c r="E23" s="12" t="n"/>
      <c r="F23" s="12" t="n"/>
    </row>
    <row r="24">
      <c r="A24" s="4" t="inlineStr">
        <is>
          <t>만기 수익률 평행이동</t>
        </is>
      </c>
      <c r="B24" s="18" t="n">
        <v>0</v>
      </c>
      <c r="C24" s="8" t="inlineStr">
        <is>
          <t>bp</t>
        </is>
      </c>
      <c r="D24" s="8" t="inlineStr">
        <is>
          <t>만기시점 바스켓 수익률 shift</t>
        </is>
      </c>
    </row>
    <row r="25">
      <c r="A25" s="4" t="inlineStr">
        <is>
          <t>만기 바스켓 평균수익률</t>
        </is>
      </c>
      <c r="B25" s="9">
        <f>이론가!B7+B24/100</f>
        <v/>
      </c>
      <c r="C25" s="8" t="inlineStr">
        <is>
          <t>%</t>
        </is>
      </c>
    </row>
    <row r="26">
      <c r="A26" s="4" t="inlineStr">
        <is>
          <t>▶ 최종결제기준가격</t>
        </is>
      </c>
      <c r="B26" s="24">
        <f>(설정!$B$6*100/($B$25/100))*(1-(1/(1+($B$25/100)/2))^이론가!$B$12)+100*(1/(1+($B$25/100)/2))^이론가!$B$12</f>
        <v/>
      </c>
    </row>
    <row r="27">
      <c r="A27" s="4" t="inlineStr">
        <is>
          <t>종목1 만기 단가(더티)</t>
        </is>
      </c>
      <c r="B27" s="9">
        <f>현금흐름!$B$121</f>
        <v/>
      </c>
      <c r="D27" s="8" t="inlineStr">
        <is>
          <t>이표 스케줄 전체를 재할인한 정밀 재평가값 (근사 없음)</t>
        </is>
      </c>
    </row>
    <row r="28">
      <c r="A28" s="4" t="inlineStr">
        <is>
          <t>종목2 만기 단가(더티)</t>
        </is>
      </c>
      <c r="B28" s="9">
        <f>현금흐름!$AR$121</f>
        <v/>
      </c>
      <c r="D28" s="8" t="inlineStr">
        <is>
          <t>이표 스케줄 전체를 재할인한 정밀 재평가값 (근사 없음)</t>
        </is>
      </c>
    </row>
    <row r="29">
      <c r="A29" s="4" t="inlineStr">
        <is>
          <t>종목3 만기 단가(더티)</t>
        </is>
      </c>
      <c r="B29" s="9">
        <f>현금흐름!$CH$121</f>
        <v/>
      </c>
      <c r="D29" s="8" t="inlineStr">
        <is>
          <t>이표 스케줄 전체를 재할인한 정밀 재평가값 (근사 없음)</t>
        </is>
      </c>
    </row>
    <row r="30"/>
    <row r="31">
      <c r="A31" s="40" t="inlineStr">
        <is>
          <t>── C-1. 현재 시장가로 신규 진입한다고 가정 ──</t>
        </is>
      </c>
    </row>
    <row r="32">
      <c r="A32" s="4" t="inlineStr">
        <is>
          <t>선물 leg</t>
        </is>
      </c>
      <c r="B32" s="15">
        <f>(이론가!B23-B26)*설정!$B$39*설정!$B$9*설정!$B$40</f>
        <v/>
      </c>
      <c r="C32" s="8" t="inlineStr">
        <is>
          <t>원</t>
        </is>
      </c>
    </row>
    <row r="33">
      <c r="A33" s="4" t="inlineStr">
        <is>
          <t>현물 leg</t>
        </is>
      </c>
      <c r="B33" s="15">
        <f>설정!$B$39*(($B$27-바스켓!C36)/100*바스켓!C49+($B$28-바스켓!D36)/100*바스켓!D49+($B$29-바스켓!E36)/100*바스켓!E49)</f>
        <v/>
      </c>
      <c r="C33" s="8" t="inlineStr">
        <is>
          <t>원</t>
        </is>
      </c>
      <c r="D33" s="8" t="inlineStr">
        <is>
          <t>선도 목표단가 대비 처분손익. 조달이자·쿠폰FV는 선도단가에 이미 반영됨</t>
        </is>
      </c>
    </row>
    <row r="34">
      <c r="A34" s="4" t="inlineStr">
        <is>
          <t>거래비용</t>
        </is>
      </c>
      <c r="B34" s="15">
        <f>-설정!$B$53*설정!$B$40</f>
        <v/>
      </c>
      <c r="C34" s="8" t="inlineStr">
        <is>
          <t>원</t>
        </is>
      </c>
    </row>
    <row r="35">
      <c r="A35" s="4" t="inlineStr">
        <is>
          <t>▶ 순 만기손익</t>
        </is>
      </c>
      <c r="B35" s="22">
        <f>B32+B33+B34</f>
        <v/>
      </c>
      <c r="C35" s="8" t="inlineStr">
        <is>
          <t>원</t>
        </is>
      </c>
    </row>
    <row r="36">
      <c r="A36" s="4" t="inlineStr">
        <is>
          <t>▶ 바스켓 1단위당 (=계약당)</t>
        </is>
      </c>
      <c r="B36" s="22">
        <f>IFERROR(B35/설정!$B$40,0)</f>
        <v/>
      </c>
      <c r="C36" s="8" t="inlineStr">
        <is>
          <t>원</t>
        </is>
      </c>
    </row>
    <row r="37">
      <c r="A37" s="4" t="inlineStr">
        <is>
          <t>▶ 액면 1억원당</t>
        </is>
      </c>
      <c r="B37" s="22">
        <f>B36</f>
        <v/>
      </c>
      <c r="C37" s="8" t="inlineStr">
        <is>
          <t>원</t>
        </is>
      </c>
    </row>
    <row r="38"/>
    <row r="39">
      <c r="A39" s="40" t="inlineStr">
        <is>
          <t>── C-2. 실제 보유 포지션 기준 ──</t>
        </is>
      </c>
    </row>
    <row r="40">
      <c r="A40" s="4" t="inlineStr">
        <is>
          <t>선물 leg</t>
        </is>
      </c>
      <c r="B40" s="15">
        <f>(설정!$B$42-B26)*설정!$B$39*설정!$B$9*설정!$B$40</f>
        <v/>
      </c>
      <c r="C40" s="8" t="inlineStr">
        <is>
          <t>원</t>
        </is>
      </c>
    </row>
    <row r="41">
      <c r="A41" s="4" t="inlineStr">
        <is>
          <t>현물 취득금액</t>
        </is>
      </c>
      <c r="B41" s="36">
        <f>바스켓!F51</f>
        <v/>
      </c>
      <c r="C41" s="8" t="inlineStr">
        <is>
          <t>원</t>
        </is>
      </c>
    </row>
    <row r="42">
      <c r="A42" s="4" t="inlineStr">
        <is>
          <t>조달일수 (진입일→H)</t>
        </is>
      </c>
      <c r="B42" s="15">
        <f>MAX(0,설정!$B$21-설정!$B$44)</f>
        <v/>
      </c>
      <c r="C42" s="8" t="inlineStr">
        <is>
          <t>일</t>
        </is>
      </c>
    </row>
    <row r="43">
      <c r="A43" s="4" t="inlineStr">
        <is>
          <t>조달 원리금 상환</t>
        </is>
      </c>
      <c r="B43" s="15">
        <f>-B41*(1+설정!$B$32*B42/365)</f>
        <v/>
      </c>
      <c r="C43" s="8" t="inlineStr">
        <is>
          <t>원</t>
        </is>
      </c>
    </row>
    <row r="44">
      <c r="A44" s="4" t="inlineStr">
        <is>
          <t>만기 처분금액</t>
        </is>
      </c>
      <c r="B44" s="15">
        <f>$B$27/100*바스켓!C49+$B$28/100*바스켓!D49+$B$29/100*바스켓!E49</f>
        <v/>
      </c>
      <c r="C44" s="8" t="inlineStr">
        <is>
          <t>원</t>
        </is>
      </c>
    </row>
    <row r="45">
      <c r="A45" s="4" t="inlineStr">
        <is>
          <t>쿠폰 재투자 수입</t>
        </is>
      </c>
      <c r="B45" s="15">
        <f>바스켓!C34/100*바스켓!C49+바스켓!D34/100*바스켓!D49+바스켓!E34/100*바스켓!E49</f>
        <v/>
      </c>
      <c r="C45" s="8" t="inlineStr">
        <is>
          <t>원</t>
        </is>
      </c>
    </row>
    <row r="46">
      <c r="A46" s="4" t="inlineStr">
        <is>
          <t>현물 leg</t>
        </is>
      </c>
      <c r="B46" s="15">
        <f>(B44+B45+B43)*설정!$B$39</f>
        <v/>
      </c>
      <c r="C46" s="8" t="inlineStr">
        <is>
          <t>원</t>
        </is>
      </c>
    </row>
    <row r="47">
      <c r="A47" s="4" t="inlineStr">
        <is>
          <t>거래비용</t>
        </is>
      </c>
      <c r="B47" s="15">
        <f>-설정!$B$53*설정!$B$40</f>
        <v/>
      </c>
      <c r="C47" s="8" t="inlineStr">
        <is>
          <t>원</t>
        </is>
      </c>
    </row>
    <row r="48">
      <c r="A48" s="4" t="inlineStr">
        <is>
          <t>▶ 순 만기손익</t>
        </is>
      </c>
      <c r="B48" s="22">
        <f>B40+B46+B47</f>
        <v/>
      </c>
      <c r="C48" s="8" t="inlineStr">
        <is>
          <t>원</t>
        </is>
      </c>
    </row>
    <row r="49">
      <c r="A49" s="4" t="inlineStr">
        <is>
          <t>▶ 바스켓 1단위당</t>
        </is>
      </c>
      <c r="B49" s="22">
        <f>IFERROR(B48/설정!$B$40,0)</f>
        <v/>
      </c>
      <c r="C49" s="8" t="inlineStr">
        <is>
          <t>원</t>
        </is>
      </c>
    </row>
    <row r="50"/>
    <row r="51">
      <c r="A51" s="8" t="inlineStr">
        <is>
          <t>※ C-1은 '지금 이 순간 진입하면 만기에 얼마를 확정하는가' 이고, 헤지가 정확하면 B24(수익률 shift)를 바꿔도 B35가 거의 변하지 않아야 합니다 ([시나리오] 시트에서 확인).</t>
        </is>
      </c>
    </row>
    <row r="52">
      <c r="A52" s="8" t="inlineStr">
        <is>
          <t>※ C-2는 이미 체결한 가격(설정!B41, 바스켓!50행)을 기준으로 하며, 진입 이후 시장 변동으로 인한 실현 차이가 반영됩니다.</t>
        </is>
      </c>
    </row>
    <row r="53">
      <c r="A53" s="8" t="inlineStr">
        <is>
          <t>※ 27~29행 만기단가는 [현금흐름] 시트에서 이표 스케줄 전체를 재할인한 정밀 재평가값입니다(근사 없음). B24를 바꾸면 세 종목 모두 자동 재계산됩니다.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20" customWidth="1" min="8" max="8"/>
    <col width="6" customWidth="1" min="9" max="9"/>
  </cols>
  <sheetData>
    <row r="1" ht="22" customHeight="1">
      <c r="A1" s="1" t="inlineStr">
        <is>
          <t>만기 손익 민감도  ―  바스켓 수익률 평행이동 (헤지 유효성 점검)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1" t="inlineStr">
        <is>
          <t>shift (bp)</t>
        </is>
      </c>
      <c r="B3" s="41" t="inlineStr">
        <is>
          <t>만기 평균수익률(%)</t>
        </is>
      </c>
      <c r="C3" s="41" t="inlineStr">
        <is>
          <t>최종결제가격</t>
        </is>
      </c>
      <c r="D3" s="41" t="inlineStr">
        <is>
          <t>선물 leg (원)</t>
        </is>
      </c>
      <c r="E3" s="41" t="inlineStr">
        <is>
          <t>현물 leg (원)</t>
        </is>
      </c>
      <c r="F3" s="41" t="inlineStr">
        <is>
          <t>거래비용 (원)</t>
        </is>
      </c>
      <c r="G3" s="41" t="inlineStr">
        <is>
          <t>순 만기손익 (원)</t>
        </is>
      </c>
      <c r="H3" s="41" t="inlineStr">
        <is>
          <t>바스켓 1단위당 (원)</t>
        </is>
      </c>
    </row>
    <row r="4">
      <c r="A4" s="42" t="n">
        <v>-100</v>
      </c>
      <c r="B4" s="9">
        <f>이론가!$B$7+$A4/100</f>
        <v/>
      </c>
      <c r="C4" s="9">
        <f>(설정!$B$6*100/($B4/100))*(1-(1/(1+($B4/100)/2))^이론가!$B$12)+100*(1/(1+($B4/100)/2))^이론가!$B$12</f>
        <v/>
      </c>
      <c r="D4" s="15">
        <f>(이론가!$B$23-$C4)*설정!$B$39*설정!$B$9*설정!$B$40</f>
        <v/>
      </c>
      <c r="E4" s="15">
        <f>설정!$B$39*((현금흐름!$B$123-바스켓!C36)/100*바스켓!C49+(현금흐름!$AR$123-바스켓!D36)/100*바스켓!D49+(현금흐름!$CH$123-바스켓!E36)/100*바스켓!E49)</f>
        <v/>
      </c>
      <c r="F4" s="15">
        <f>-설정!$B$53*설정!$B$40</f>
        <v/>
      </c>
      <c r="G4" s="15">
        <f>$D4+$E4+$F4</f>
        <v/>
      </c>
      <c r="H4" s="15">
        <f>IFERROR($G4/설정!$B$40,0)</f>
        <v/>
      </c>
    </row>
    <row r="5">
      <c r="A5" s="42" t="n">
        <v>-90</v>
      </c>
      <c r="B5" s="9">
        <f>이론가!$B$7+$A5/100</f>
        <v/>
      </c>
      <c r="C5" s="9">
        <f>(설정!$B$6*100/($B5/100))*(1-(1/(1+($B5/100)/2))^이론가!$B$12)+100*(1/(1+($B5/100)/2))^이론가!$B$12</f>
        <v/>
      </c>
      <c r="D5" s="15">
        <f>(이론가!$B$23-$C5)*설정!$B$39*설정!$B$9*설정!$B$40</f>
        <v/>
      </c>
      <c r="E5" s="15">
        <f>설정!$B$39*((현금흐름!$B$124-바스켓!C36)/100*바스켓!C49+(현금흐름!$AR$124-바스켓!D36)/100*바스켓!D49+(현금흐름!$CH$124-바스켓!E36)/100*바스켓!E49)</f>
        <v/>
      </c>
      <c r="F5" s="15">
        <f>-설정!$B$53*설정!$B$40</f>
        <v/>
      </c>
      <c r="G5" s="15">
        <f>$D5+$E5+$F5</f>
        <v/>
      </c>
      <c r="H5" s="15">
        <f>IFERROR($G5/설정!$B$40,0)</f>
        <v/>
      </c>
    </row>
    <row r="6">
      <c r="A6" s="42" t="n">
        <v>-80</v>
      </c>
      <c r="B6" s="9">
        <f>이론가!$B$7+$A6/100</f>
        <v/>
      </c>
      <c r="C6" s="9">
        <f>(설정!$B$6*100/($B6/100))*(1-(1/(1+($B6/100)/2))^이론가!$B$12)+100*(1/(1+($B6/100)/2))^이론가!$B$12</f>
        <v/>
      </c>
      <c r="D6" s="15">
        <f>(이론가!$B$23-$C6)*설정!$B$39*설정!$B$9*설정!$B$40</f>
        <v/>
      </c>
      <c r="E6" s="15">
        <f>설정!$B$39*((현금흐름!$B$125-바스켓!C36)/100*바스켓!C49+(현금흐름!$AR$125-바스켓!D36)/100*바스켓!D49+(현금흐름!$CH$125-바스켓!E36)/100*바스켓!E49)</f>
        <v/>
      </c>
      <c r="F6" s="15">
        <f>-설정!$B$53*설정!$B$40</f>
        <v/>
      </c>
      <c r="G6" s="15">
        <f>$D6+$E6+$F6</f>
        <v/>
      </c>
      <c r="H6" s="15">
        <f>IFERROR($G6/설정!$B$40,0)</f>
        <v/>
      </c>
    </row>
    <row r="7">
      <c r="A7" s="42" t="n">
        <v>-70</v>
      </c>
      <c r="B7" s="9">
        <f>이론가!$B$7+$A7/100</f>
        <v/>
      </c>
      <c r="C7" s="9">
        <f>(설정!$B$6*100/($B7/100))*(1-(1/(1+($B7/100)/2))^이론가!$B$12)+100*(1/(1+($B7/100)/2))^이론가!$B$12</f>
        <v/>
      </c>
      <c r="D7" s="15">
        <f>(이론가!$B$23-$C7)*설정!$B$39*설정!$B$9*설정!$B$40</f>
        <v/>
      </c>
      <c r="E7" s="15">
        <f>설정!$B$39*((현금흐름!$B$126-바스켓!C36)/100*바스켓!C49+(현금흐름!$AR$126-바스켓!D36)/100*바스켓!D49+(현금흐름!$CH$126-바스켓!E36)/100*바스켓!E49)</f>
        <v/>
      </c>
      <c r="F7" s="15">
        <f>-설정!$B$53*설정!$B$40</f>
        <v/>
      </c>
      <c r="G7" s="15">
        <f>$D7+$E7+$F7</f>
        <v/>
      </c>
      <c r="H7" s="15">
        <f>IFERROR($G7/설정!$B$40,0)</f>
        <v/>
      </c>
    </row>
    <row r="8">
      <c r="A8" s="42" t="n">
        <v>-60</v>
      </c>
      <c r="B8" s="9">
        <f>이론가!$B$7+$A8/100</f>
        <v/>
      </c>
      <c r="C8" s="9">
        <f>(설정!$B$6*100/($B8/100))*(1-(1/(1+($B8/100)/2))^이론가!$B$12)+100*(1/(1+($B8/100)/2))^이론가!$B$12</f>
        <v/>
      </c>
      <c r="D8" s="15">
        <f>(이론가!$B$23-$C8)*설정!$B$39*설정!$B$9*설정!$B$40</f>
        <v/>
      </c>
      <c r="E8" s="15">
        <f>설정!$B$39*((현금흐름!$B$127-바스켓!C36)/100*바스켓!C49+(현금흐름!$AR$127-바스켓!D36)/100*바스켓!D49+(현금흐름!$CH$127-바스켓!E36)/100*바스켓!E49)</f>
        <v/>
      </c>
      <c r="F8" s="15">
        <f>-설정!$B$53*설정!$B$40</f>
        <v/>
      </c>
      <c r="G8" s="15">
        <f>$D8+$E8+$F8</f>
        <v/>
      </c>
      <c r="H8" s="15">
        <f>IFERROR($G8/설정!$B$40,0)</f>
        <v/>
      </c>
    </row>
    <row r="9">
      <c r="A9" s="42" t="n">
        <v>-50</v>
      </c>
      <c r="B9" s="9">
        <f>이론가!$B$7+$A9/100</f>
        <v/>
      </c>
      <c r="C9" s="9">
        <f>(설정!$B$6*100/($B9/100))*(1-(1/(1+($B9/100)/2))^이론가!$B$12)+100*(1/(1+($B9/100)/2))^이론가!$B$12</f>
        <v/>
      </c>
      <c r="D9" s="15">
        <f>(이론가!$B$23-$C9)*설정!$B$39*설정!$B$9*설정!$B$40</f>
        <v/>
      </c>
      <c r="E9" s="15">
        <f>설정!$B$39*((현금흐름!$B$128-바스켓!C36)/100*바스켓!C49+(현금흐름!$AR$128-바스켓!D36)/100*바스켓!D49+(현금흐름!$CH$128-바스켓!E36)/100*바스켓!E49)</f>
        <v/>
      </c>
      <c r="F9" s="15">
        <f>-설정!$B$53*설정!$B$40</f>
        <v/>
      </c>
      <c r="G9" s="15">
        <f>$D9+$E9+$F9</f>
        <v/>
      </c>
      <c r="H9" s="15">
        <f>IFERROR($G9/설정!$B$40,0)</f>
        <v/>
      </c>
    </row>
    <row r="10">
      <c r="A10" s="42" t="n">
        <v>-40</v>
      </c>
      <c r="B10" s="9">
        <f>이론가!$B$7+$A10/100</f>
        <v/>
      </c>
      <c r="C10" s="9">
        <f>(설정!$B$6*100/($B10/100))*(1-(1/(1+($B10/100)/2))^이론가!$B$12)+100*(1/(1+($B10/100)/2))^이론가!$B$12</f>
        <v/>
      </c>
      <c r="D10" s="15">
        <f>(이론가!$B$23-$C10)*설정!$B$39*설정!$B$9*설정!$B$40</f>
        <v/>
      </c>
      <c r="E10" s="15">
        <f>설정!$B$39*((현금흐름!$B$129-바스켓!C36)/100*바스켓!C49+(현금흐름!$AR$129-바스켓!D36)/100*바스켓!D49+(현금흐름!$CH$129-바스켓!E36)/100*바스켓!E49)</f>
        <v/>
      </c>
      <c r="F10" s="15">
        <f>-설정!$B$53*설정!$B$40</f>
        <v/>
      </c>
      <c r="G10" s="15">
        <f>$D10+$E10+$F10</f>
        <v/>
      </c>
      <c r="H10" s="15">
        <f>IFERROR($G10/설정!$B$40,0)</f>
        <v/>
      </c>
    </row>
    <row r="11">
      <c r="A11" s="42" t="n">
        <v>-30</v>
      </c>
      <c r="B11" s="9">
        <f>이론가!$B$7+$A11/100</f>
        <v/>
      </c>
      <c r="C11" s="9">
        <f>(설정!$B$6*100/($B11/100))*(1-(1/(1+($B11/100)/2))^이론가!$B$12)+100*(1/(1+($B11/100)/2))^이론가!$B$12</f>
        <v/>
      </c>
      <c r="D11" s="15">
        <f>(이론가!$B$23-$C11)*설정!$B$39*설정!$B$9*설정!$B$40</f>
        <v/>
      </c>
      <c r="E11" s="15">
        <f>설정!$B$39*((현금흐름!$B$130-바스켓!C36)/100*바스켓!C49+(현금흐름!$AR$130-바스켓!D36)/100*바스켓!D49+(현금흐름!$CH$130-바스켓!E36)/100*바스켓!E49)</f>
        <v/>
      </c>
      <c r="F11" s="15">
        <f>-설정!$B$53*설정!$B$40</f>
        <v/>
      </c>
      <c r="G11" s="15">
        <f>$D11+$E11+$F11</f>
        <v/>
      </c>
      <c r="H11" s="15">
        <f>IFERROR($G11/설정!$B$40,0)</f>
        <v/>
      </c>
    </row>
    <row r="12">
      <c r="A12" s="42" t="n">
        <v>-20</v>
      </c>
      <c r="B12" s="9">
        <f>이론가!$B$7+$A12/100</f>
        <v/>
      </c>
      <c r="C12" s="9">
        <f>(설정!$B$6*100/($B12/100))*(1-(1/(1+($B12/100)/2))^이론가!$B$12)+100*(1/(1+($B12/100)/2))^이론가!$B$12</f>
        <v/>
      </c>
      <c r="D12" s="15">
        <f>(이론가!$B$23-$C12)*설정!$B$39*설정!$B$9*설정!$B$40</f>
        <v/>
      </c>
      <c r="E12" s="15">
        <f>설정!$B$39*((현금흐름!$B$131-바스켓!C36)/100*바스켓!C49+(현금흐름!$AR$131-바스켓!D36)/100*바스켓!D49+(현금흐름!$CH$131-바스켓!E36)/100*바스켓!E49)</f>
        <v/>
      </c>
      <c r="F12" s="15">
        <f>-설정!$B$53*설정!$B$40</f>
        <v/>
      </c>
      <c r="G12" s="15">
        <f>$D12+$E12+$F12</f>
        <v/>
      </c>
      <c r="H12" s="15">
        <f>IFERROR($G12/설정!$B$40,0)</f>
        <v/>
      </c>
    </row>
    <row r="13">
      <c r="A13" s="42" t="n">
        <v>-10</v>
      </c>
      <c r="B13" s="9">
        <f>이론가!$B$7+$A13/100</f>
        <v/>
      </c>
      <c r="C13" s="9">
        <f>(설정!$B$6*100/($B13/100))*(1-(1/(1+($B13/100)/2))^이론가!$B$12)+100*(1/(1+($B13/100)/2))^이론가!$B$12</f>
        <v/>
      </c>
      <c r="D13" s="15">
        <f>(이론가!$B$23-$C13)*설정!$B$39*설정!$B$9*설정!$B$40</f>
        <v/>
      </c>
      <c r="E13" s="15">
        <f>설정!$B$39*((현금흐름!$B$132-바스켓!C36)/100*바스켓!C49+(현금흐름!$AR$132-바스켓!D36)/100*바스켓!D49+(현금흐름!$CH$132-바스켓!E36)/100*바스켓!E49)</f>
        <v/>
      </c>
      <c r="F13" s="15">
        <f>-설정!$B$53*설정!$B$40</f>
        <v/>
      </c>
      <c r="G13" s="15">
        <f>$D13+$E13+$F13</f>
        <v/>
      </c>
      <c r="H13" s="15">
        <f>IFERROR($G13/설정!$B$40,0)</f>
        <v/>
      </c>
    </row>
    <row r="14">
      <c r="A14" s="43" t="n">
        <v>0</v>
      </c>
      <c r="B14" s="44">
        <f>이론가!$B$7+$A14/100</f>
        <v/>
      </c>
      <c r="C14" s="44">
        <f>(설정!$B$6*100/($B14/100))*(1-(1/(1+($B14/100)/2))^이론가!$B$12)+100*(1/(1+($B14/100)/2))^이론가!$B$12</f>
        <v/>
      </c>
      <c r="D14" s="45">
        <f>(이론가!$B$23-$C14)*설정!$B$39*설정!$B$9*설정!$B$40</f>
        <v/>
      </c>
      <c r="E14" s="45">
        <f>설정!$B$39*((현금흐름!$B$133-바스켓!C36)/100*바스켓!C49+(현금흐름!$AR$133-바스켓!D36)/100*바스켓!D49+(현금흐름!$CH$133-바스켓!E36)/100*바스켓!E49)</f>
        <v/>
      </c>
      <c r="F14" s="45">
        <f>-설정!$B$53*설정!$B$40</f>
        <v/>
      </c>
      <c r="G14" s="45">
        <f>$D14+$E14+$F14</f>
        <v/>
      </c>
      <c r="H14" s="45">
        <f>IFERROR($G14/설정!$B$40,0)</f>
        <v/>
      </c>
    </row>
    <row r="15">
      <c r="A15" s="42" t="n">
        <v>10</v>
      </c>
      <c r="B15" s="9">
        <f>이론가!$B$7+$A15/100</f>
        <v/>
      </c>
      <c r="C15" s="9">
        <f>(설정!$B$6*100/($B15/100))*(1-(1/(1+($B15/100)/2))^이론가!$B$12)+100*(1/(1+($B15/100)/2))^이론가!$B$12</f>
        <v/>
      </c>
      <c r="D15" s="15">
        <f>(이론가!$B$23-$C15)*설정!$B$39*설정!$B$9*설정!$B$40</f>
        <v/>
      </c>
      <c r="E15" s="15">
        <f>설정!$B$39*((현금흐름!$B$134-바스켓!C36)/100*바스켓!C49+(현금흐름!$AR$134-바스켓!D36)/100*바스켓!D49+(현금흐름!$CH$134-바스켓!E36)/100*바스켓!E49)</f>
        <v/>
      </c>
      <c r="F15" s="15">
        <f>-설정!$B$53*설정!$B$40</f>
        <v/>
      </c>
      <c r="G15" s="15">
        <f>$D15+$E15+$F15</f>
        <v/>
      </c>
      <c r="H15" s="15">
        <f>IFERROR($G15/설정!$B$40,0)</f>
        <v/>
      </c>
    </row>
    <row r="16">
      <c r="A16" s="42" t="n">
        <v>20</v>
      </c>
      <c r="B16" s="9">
        <f>이론가!$B$7+$A16/100</f>
        <v/>
      </c>
      <c r="C16" s="9">
        <f>(설정!$B$6*100/($B16/100))*(1-(1/(1+($B16/100)/2))^이론가!$B$12)+100*(1/(1+($B16/100)/2))^이론가!$B$12</f>
        <v/>
      </c>
      <c r="D16" s="15">
        <f>(이론가!$B$23-$C16)*설정!$B$39*설정!$B$9*설정!$B$40</f>
        <v/>
      </c>
      <c r="E16" s="15">
        <f>설정!$B$39*((현금흐름!$B$135-바스켓!C36)/100*바스켓!C49+(현금흐름!$AR$135-바스켓!D36)/100*바스켓!D49+(현금흐름!$CH$135-바스켓!E36)/100*바스켓!E49)</f>
        <v/>
      </c>
      <c r="F16" s="15">
        <f>-설정!$B$53*설정!$B$40</f>
        <v/>
      </c>
      <c r="G16" s="15">
        <f>$D16+$E16+$F16</f>
        <v/>
      </c>
      <c r="H16" s="15">
        <f>IFERROR($G16/설정!$B$40,0)</f>
        <v/>
      </c>
    </row>
    <row r="17">
      <c r="A17" s="42" t="n">
        <v>30</v>
      </c>
      <c r="B17" s="9">
        <f>이론가!$B$7+$A17/100</f>
        <v/>
      </c>
      <c r="C17" s="9">
        <f>(설정!$B$6*100/($B17/100))*(1-(1/(1+($B17/100)/2))^이론가!$B$12)+100*(1/(1+($B17/100)/2))^이론가!$B$12</f>
        <v/>
      </c>
      <c r="D17" s="15">
        <f>(이론가!$B$23-$C17)*설정!$B$39*설정!$B$9*설정!$B$40</f>
        <v/>
      </c>
      <c r="E17" s="15">
        <f>설정!$B$39*((현금흐름!$B$136-바스켓!C36)/100*바스켓!C49+(현금흐름!$AR$136-바스켓!D36)/100*바스켓!D49+(현금흐름!$CH$136-바스켓!E36)/100*바스켓!E49)</f>
        <v/>
      </c>
      <c r="F17" s="15">
        <f>-설정!$B$53*설정!$B$40</f>
        <v/>
      </c>
      <c r="G17" s="15">
        <f>$D17+$E17+$F17</f>
        <v/>
      </c>
      <c r="H17" s="15">
        <f>IFERROR($G17/설정!$B$40,0)</f>
        <v/>
      </c>
    </row>
    <row r="18">
      <c r="A18" s="42" t="n">
        <v>40</v>
      </c>
      <c r="B18" s="9">
        <f>이론가!$B$7+$A18/100</f>
        <v/>
      </c>
      <c r="C18" s="9">
        <f>(설정!$B$6*100/($B18/100))*(1-(1/(1+($B18/100)/2))^이론가!$B$12)+100*(1/(1+($B18/100)/2))^이론가!$B$12</f>
        <v/>
      </c>
      <c r="D18" s="15">
        <f>(이론가!$B$23-$C18)*설정!$B$39*설정!$B$9*설정!$B$40</f>
        <v/>
      </c>
      <c r="E18" s="15">
        <f>설정!$B$39*((현금흐름!$B$137-바스켓!C36)/100*바스켓!C49+(현금흐름!$AR$137-바스켓!D36)/100*바스켓!D49+(현금흐름!$CH$137-바스켓!E36)/100*바스켓!E49)</f>
        <v/>
      </c>
      <c r="F18" s="15">
        <f>-설정!$B$53*설정!$B$40</f>
        <v/>
      </c>
      <c r="G18" s="15">
        <f>$D18+$E18+$F18</f>
        <v/>
      </c>
      <c r="H18" s="15">
        <f>IFERROR($G18/설정!$B$40,0)</f>
        <v/>
      </c>
    </row>
    <row r="19">
      <c r="A19" s="42" t="n">
        <v>50</v>
      </c>
      <c r="B19" s="9">
        <f>이론가!$B$7+$A19/100</f>
        <v/>
      </c>
      <c r="C19" s="9">
        <f>(설정!$B$6*100/($B19/100))*(1-(1/(1+($B19/100)/2))^이론가!$B$12)+100*(1/(1+($B19/100)/2))^이론가!$B$12</f>
        <v/>
      </c>
      <c r="D19" s="15">
        <f>(이론가!$B$23-$C19)*설정!$B$39*설정!$B$9*설정!$B$40</f>
        <v/>
      </c>
      <c r="E19" s="15">
        <f>설정!$B$39*((현금흐름!$B$138-바스켓!C36)/100*바스켓!C49+(현금흐름!$AR$138-바스켓!D36)/100*바스켓!D49+(현금흐름!$CH$138-바스켓!E36)/100*바스켓!E49)</f>
        <v/>
      </c>
      <c r="F19" s="15">
        <f>-설정!$B$53*설정!$B$40</f>
        <v/>
      </c>
      <c r="G19" s="15">
        <f>$D19+$E19+$F19</f>
        <v/>
      </c>
      <c r="H19" s="15">
        <f>IFERROR($G19/설정!$B$40,0)</f>
        <v/>
      </c>
    </row>
    <row r="20">
      <c r="A20" s="42" t="n">
        <v>60</v>
      </c>
      <c r="B20" s="9">
        <f>이론가!$B$7+$A20/100</f>
        <v/>
      </c>
      <c r="C20" s="9">
        <f>(설정!$B$6*100/($B20/100))*(1-(1/(1+($B20/100)/2))^이론가!$B$12)+100*(1/(1+($B20/100)/2))^이론가!$B$12</f>
        <v/>
      </c>
      <c r="D20" s="15">
        <f>(이론가!$B$23-$C20)*설정!$B$39*설정!$B$9*설정!$B$40</f>
        <v/>
      </c>
      <c r="E20" s="15">
        <f>설정!$B$39*((현금흐름!$B$139-바스켓!C36)/100*바스켓!C49+(현금흐름!$AR$139-바스켓!D36)/100*바스켓!D49+(현금흐름!$CH$139-바스켓!E36)/100*바스켓!E49)</f>
        <v/>
      </c>
      <c r="F20" s="15">
        <f>-설정!$B$53*설정!$B$40</f>
        <v/>
      </c>
      <c r="G20" s="15">
        <f>$D20+$E20+$F20</f>
        <v/>
      </c>
      <c r="H20" s="15">
        <f>IFERROR($G20/설정!$B$40,0)</f>
        <v/>
      </c>
    </row>
    <row r="21">
      <c r="A21" s="42" t="n">
        <v>70</v>
      </c>
      <c r="B21" s="9">
        <f>이론가!$B$7+$A21/100</f>
        <v/>
      </c>
      <c r="C21" s="9">
        <f>(설정!$B$6*100/($B21/100))*(1-(1/(1+($B21/100)/2))^이론가!$B$12)+100*(1/(1+($B21/100)/2))^이론가!$B$12</f>
        <v/>
      </c>
      <c r="D21" s="15">
        <f>(이론가!$B$23-$C21)*설정!$B$39*설정!$B$9*설정!$B$40</f>
        <v/>
      </c>
      <c r="E21" s="15">
        <f>설정!$B$39*((현금흐름!$B$140-바스켓!C36)/100*바스켓!C49+(현금흐름!$AR$140-바스켓!D36)/100*바스켓!D49+(현금흐름!$CH$140-바스켓!E36)/100*바스켓!E49)</f>
        <v/>
      </c>
      <c r="F21" s="15">
        <f>-설정!$B$53*설정!$B$40</f>
        <v/>
      </c>
      <c r="G21" s="15">
        <f>$D21+$E21+$F21</f>
        <v/>
      </c>
      <c r="H21" s="15">
        <f>IFERROR($G21/설정!$B$40,0)</f>
        <v/>
      </c>
    </row>
    <row r="22">
      <c r="A22" s="42" t="n">
        <v>80</v>
      </c>
      <c r="B22" s="9">
        <f>이론가!$B$7+$A22/100</f>
        <v/>
      </c>
      <c r="C22" s="9">
        <f>(설정!$B$6*100/($B22/100))*(1-(1/(1+($B22/100)/2))^이론가!$B$12)+100*(1/(1+($B22/100)/2))^이론가!$B$12</f>
        <v/>
      </c>
      <c r="D22" s="15">
        <f>(이론가!$B$23-$C22)*설정!$B$39*설정!$B$9*설정!$B$40</f>
        <v/>
      </c>
      <c r="E22" s="15">
        <f>설정!$B$39*((현금흐름!$B$141-바스켓!C36)/100*바스켓!C49+(현금흐름!$AR$141-바스켓!D36)/100*바스켓!D49+(현금흐름!$CH$141-바스켓!E36)/100*바스켓!E49)</f>
        <v/>
      </c>
      <c r="F22" s="15">
        <f>-설정!$B$53*설정!$B$40</f>
        <v/>
      </c>
      <c r="G22" s="15">
        <f>$D22+$E22+$F22</f>
        <v/>
      </c>
      <c r="H22" s="15">
        <f>IFERROR($G22/설정!$B$40,0)</f>
        <v/>
      </c>
    </row>
    <row r="23">
      <c r="A23" s="42" t="n">
        <v>90</v>
      </c>
      <c r="B23" s="9">
        <f>이론가!$B$7+$A23/100</f>
        <v/>
      </c>
      <c r="C23" s="9">
        <f>(설정!$B$6*100/($B23/100))*(1-(1/(1+($B23/100)/2))^이론가!$B$12)+100*(1/(1+($B23/100)/2))^이론가!$B$12</f>
        <v/>
      </c>
      <c r="D23" s="15">
        <f>(이론가!$B$23-$C23)*설정!$B$39*설정!$B$9*설정!$B$40</f>
        <v/>
      </c>
      <c r="E23" s="15">
        <f>설정!$B$39*((현금흐름!$B$142-바스켓!C36)/100*바스켓!C49+(현금흐름!$AR$142-바스켓!D36)/100*바스켓!D49+(현금흐름!$CH$142-바스켓!E36)/100*바스켓!E49)</f>
        <v/>
      </c>
      <c r="F23" s="15">
        <f>-설정!$B$53*설정!$B$40</f>
        <v/>
      </c>
      <c r="G23" s="15">
        <f>$D23+$E23+$F23</f>
        <v/>
      </c>
      <c r="H23" s="15">
        <f>IFERROR($G23/설정!$B$40,0)</f>
        <v/>
      </c>
    </row>
    <row r="24">
      <c r="A24" s="42" t="n">
        <v>100</v>
      </c>
      <c r="B24" s="9">
        <f>이론가!$B$7+$A24/100</f>
        <v/>
      </c>
      <c r="C24" s="9">
        <f>(설정!$B$6*100/($B24/100))*(1-(1/(1+($B24/100)/2))^이론가!$B$12)+100*(1/(1+($B24/100)/2))^이론가!$B$12</f>
        <v/>
      </c>
      <c r="D24" s="15">
        <f>(이론가!$B$23-$C24)*설정!$B$39*설정!$B$9*설정!$B$40</f>
        <v/>
      </c>
      <c r="E24" s="15">
        <f>설정!$B$39*((현금흐름!$B$143-바스켓!C36)/100*바스켓!C49+(현금흐름!$AR$143-바스켓!D36)/100*바스켓!D49+(현금흐름!$CH$143-바스켓!E36)/100*바스켓!E49)</f>
        <v/>
      </c>
      <c r="F24" s="15">
        <f>-설정!$B$53*설정!$B$40</f>
        <v/>
      </c>
      <c r="G24" s="15">
        <f>$D24+$E24+$F24</f>
        <v/>
      </c>
      <c r="H24" s="15">
        <f>IFERROR($G24/설정!$B$40,0)</f>
        <v/>
      </c>
    </row>
    <row r="27">
      <c r="A27" s="4" t="inlineStr">
        <is>
          <t>손익 최대값</t>
        </is>
      </c>
      <c r="B27" s="22">
        <f>MAX(G4:G24)</f>
        <v/>
      </c>
      <c r="C27" s="8" t="inlineStr">
        <is>
          <t>원</t>
        </is>
      </c>
    </row>
    <row r="28">
      <c r="A28" s="4" t="inlineStr">
        <is>
          <t>손익 최소값</t>
        </is>
      </c>
      <c r="B28" s="22">
        <f>MIN(G4:G24)</f>
        <v/>
      </c>
      <c r="C28" s="8" t="inlineStr">
        <is>
          <t>원</t>
        </is>
      </c>
    </row>
    <row r="29">
      <c r="A29" s="4" t="inlineStr">
        <is>
          <t>변동폭 (헤지 잔여리스크)</t>
        </is>
      </c>
      <c r="B29" s="22">
        <f>B27-B28</f>
        <v/>
      </c>
      <c r="C29" s="8" t="inlineStr">
        <is>
          <t>원</t>
        </is>
      </c>
    </row>
    <row r="30">
      <c r="A30" s="4" t="inlineStr">
        <is>
          <t>변동폭 ÷ shift0 손익</t>
        </is>
      </c>
      <c r="B30" s="24">
        <f>IFERROR(B29/ABS(G14),0)</f>
        <v/>
      </c>
      <c r="C30" s="8" t="inlineStr">
        <is>
          <t>배</t>
        </is>
      </c>
    </row>
    <row r="31">
      <c r="A31" s="4" t="inlineStr">
        <is>
          <t>shift 0 기준 손익</t>
        </is>
      </c>
      <c r="B31" s="22">
        <f>G14</f>
        <v/>
      </c>
      <c r="C31" s="8" t="inlineStr">
        <is>
          <t>원</t>
        </is>
      </c>
    </row>
    <row r="33">
      <c r="A33" s="8" t="inlineStr">
        <is>
          <t>※ BPV 헤지는 1차(듀레이션) 리스크만 중립화합니다. 위 표가 shift 0에서 볼록하게 꺾여 내려가는 것은 이 거래가 구조적으로 '컨벡시티 매도' 포지션이기 때문입니다 — 표준물(5% 쿠폰)이 바스켓(저쿠폰)보다 컨벡시티가 커서, 선물을 매도하면 컨벡시티를 파는 셈이 됩니다. 헤지로 제거되지 않습니다.</t>
        </is>
      </c>
    </row>
    <row r="34">
      <c r="A34" s="8" t="inlineStr">
        <is>
          <t>※ 평행이동만 가정합니다. 바스켓 종목 간 상대수익률(커브) 변화는 종목별 BPV 헤지로 이미 중립화되어 있습니다.</t>
        </is>
      </c>
    </row>
    <row r="35">
      <c r="A35" s="8" t="inlineStr">
        <is>
          <t>※ 현물 leg는 근사가 아니라 이표 스케줄 전체를 재할인한 정밀 재평가입니다. A열의 shift 값을 바꾸면 [현금흐름] 시트가 자동으로 해당 수익률에서 재평가합니다.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T14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22" customWidth="1" min="43" max="43"/>
    <col width="15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2" customWidth="1" min="85" max="85"/>
    <col width="15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</cols>
  <sheetData>
    <row r="1" ht="22" customHeight="1">
      <c r="A1" s="1" t="inlineStr">
        <is>
          <t>현금흐름 스케줄 &amp; 단가 계산 엔진  (직접 수정 금지)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만기일</t>
        </is>
      </c>
      <c r="B2" s="46">
        <f>바스켓!C7</f>
        <v/>
      </c>
      <c r="AQ2" s="4" t="inlineStr">
        <is>
          <t>만기일</t>
        </is>
      </c>
      <c r="AR2" s="46">
        <f>바스켓!D7</f>
        <v/>
      </c>
      <c r="CG2" s="4" t="inlineStr">
        <is>
          <t>만기일</t>
        </is>
      </c>
      <c r="CH2" s="46">
        <f>바스켓!E7</f>
        <v/>
      </c>
    </row>
    <row r="3">
      <c r="A3" s="4" t="inlineStr">
        <is>
          <t>발행일</t>
        </is>
      </c>
      <c r="B3" s="46">
        <f>바스켓!C6</f>
        <v/>
      </c>
      <c r="AQ3" s="4" t="inlineStr">
        <is>
          <t>발행일</t>
        </is>
      </c>
      <c r="AR3" s="46">
        <f>바스켓!D6</f>
        <v/>
      </c>
      <c r="CG3" s="4" t="inlineStr">
        <is>
          <t>발행일</t>
        </is>
      </c>
      <c r="CH3" s="46">
        <f>바스켓!E6</f>
        <v/>
      </c>
    </row>
    <row r="4">
      <c r="A4" s="4" t="inlineStr">
        <is>
          <t>표면금리(소수)</t>
        </is>
      </c>
      <c r="B4" s="47">
        <f>바스켓!C8/100</f>
        <v/>
      </c>
      <c r="AQ4" s="4" t="inlineStr">
        <is>
          <t>표면금리(소수)</t>
        </is>
      </c>
      <c r="AR4" s="47">
        <f>바스켓!D8/100</f>
        <v/>
      </c>
      <c r="CG4" s="4" t="inlineStr">
        <is>
          <t>표면금리(소수)</t>
        </is>
      </c>
      <c r="CH4" s="47">
        <f>바스켓!E8/100</f>
        <v/>
      </c>
    </row>
    <row r="5">
      <c r="A5" s="4" t="inlineStr">
        <is>
          <t>반기 쿠폰액</t>
        </is>
      </c>
      <c r="B5" s="28">
        <f>B4*100/바스켓!C9</f>
        <v/>
      </c>
      <c r="AQ5" s="4" t="inlineStr">
        <is>
          <t>반기 쿠폰액</t>
        </is>
      </c>
      <c r="AR5" s="28">
        <f>AR4*100/바스켓!D9</f>
        <v/>
      </c>
      <c r="CG5" s="4" t="inlineStr">
        <is>
          <t>반기 쿠폰액</t>
        </is>
      </c>
      <c r="CH5" s="28">
        <f>CH4*100/바스켓!E9</f>
        <v/>
      </c>
    </row>
    <row r="6">
      <c r="A6" s="4" t="inlineStr">
        <is>
          <t>현물결제일 S0</t>
        </is>
      </c>
      <c r="B6" s="46">
        <f>설정!$B$27</f>
        <v/>
      </c>
      <c r="AQ6" s="4" t="inlineStr">
        <is>
          <t>현물결제일 S0</t>
        </is>
      </c>
      <c r="AR6" s="46">
        <f>설정!$B$27</f>
        <v/>
      </c>
      <c r="CG6" s="4" t="inlineStr">
        <is>
          <t>현물결제일 S0</t>
        </is>
      </c>
      <c r="CH6" s="46">
        <f>설정!$B$27</f>
        <v/>
      </c>
    </row>
    <row r="7">
      <c r="A7" s="4" t="inlineStr">
        <is>
          <t>최종결제일 H</t>
        </is>
      </c>
      <c r="B7" s="46">
        <f>설정!$B$21</f>
        <v/>
      </c>
      <c r="AQ7" s="4" t="inlineStr">
        <is>
          <t>최종결제일 H</t>
        </is>
      </c>
      <c r="AR7" s="46">
        <f>설정!$B$21</f>
        <v/>
      </c>
      <c r="CG7" s="4" t="inlineStr">
        <is>
          <t>최종결제일 H</t>
        </is>
      </c>
      <c r="CH7" s="46">
        <f>설정!$B$21</f>
        <v/>
      </c>
    </row>
    <row r="8">
      <c r="A8" s="4" t="inlineStr">
        <is>
          <t>현물 수익률(소수)</t>
        </is>
      </c>
      <c r="B8" s="48">
        <f>바스켓!C17</f>
        <v/>
      </c>
      <c r="AQ8" s="4" t="inlineStr">
        <is>
          <t>현물 수익률(소수)</t>
        </is>
      </c>
      <c r="AR8" s="48">
        <f>바스켓!D17</f>
        <v/>
      </c>
      <c r="CG8" s="4" t="inlineStr">
        <is>
          <t>현물 수익률(소수)</t>
        </is>
      </c>
      <c r="CH8" s="48">
        <f>바스켓!E17</f>
        <v/>
      </c>
    </row>
    <row r="9">
      <c r="A9" s="4" t="inlineStr">
        <is>
          <t>조달금리(소수)</t>
        </is>
      </c>
      <c r="B9" s="48">
        <f>설정!$B$32</f>
        <v/>
      </c>
      <c r="AQ9" s="4" t="inlineStr">
        <is>
          <t>조달금리(소수)</t>
        </is>
      </c>
      <c r="AR9" s="48">
        <f>설정!$B$32</f>
        <v/>
      </c>
      <c r="CG9" s="4" t="inlineStr">
        <is>
          <t>조달금리(소수)</t>
        </is>
      </c>
      <c r="CH9" s="48">
        <f>설정!$B$32</f>
        <v/>
      </c>
    </row>
    <row r="10">
      <c r="A10" s="4" t="inlineStr">
        <is>
          <t>재투자금리(소수)</t>
        </is>
      </c>
      <c r="B10" s="48">
        <f>설정!$B$34</f>
        <v/>
      </c>
      <c r="AQ10" s="4" t="inlineStr">
        <is>
          <t>재투자금리(소수)</t>
        </is>
      </c>
      <c r="AR10" s="48">
        <f>설정!$B$34</f>
        <v/>
      </c>
      <c r="CG10" s="4" t="inlineStr">
        <is>
          <t>재투자금리(소수)</t>
        </is>
      </c>
      <c r="CH10" s="48">
        <f>설정!$B$34</f>
        <v/>
      </c>
    </row>
    <row r="11">
      <c r="A11" s="4" t="inlineStr">
        <is>
          <t>이자일수기준</t>
        </is>
      </c>
      <c r="B11" s="36">
        <f>설정!$B$35</f>
        <v/>
      </c>
      <c r="AQ11" s="4" t="inlineStr">
        <is>
          <t>이자일수기준</t>
        </is>
      </c>
      <c r="AR11" s="36">
        <f>설정!$B$35</f>
        <v/>
      </c>
      <c r="CG11" s="4" t="inlineStr">
        <is>
          <t>이자일수기준</t>
        </is>
      </c>
      <c r="CH11" s="36">
        <f>설정!$B$35</f>
        <v/>
      </c>
    </row>
    <row r="12">
      <c r="A12" s="3" t="inlineStr">
        <is>
          <t>■ 종목1 이표 스케줄</t>
        </is>
      </c>
      <c r="AQ12" s="3" t="inlineStr">
        <is>
          <t>■ 종목2 이표 스케줄</t>
        </is>
      </c>
      <c r="CG12" s="3" t="inlineStr">
        <is>
          <t>■ 종목3 이표 스케줄</t>
        </is>
      </c>
    </row>
    <row r="14">
      <c r="A14" s="41" t="inlineStr">
        <is>
          <t>k</t>
        </is>
      </c>
      <c r="B14" s="41" t="inlineStr">
        <is>
          <t>이표일</t>
        </is>
      </c>
      <c r="C14" s="41" t="inlineStr">
        <is>
          <t>CF(100기준)</t>
        </is>
      </c>
      <c r="D14" s="41" t="inlineStr">
        <is>
          <t>현물포함</t>
        </is>
      </c>
      <c r="E14" s="41" t="inlineStr">
        <is>
          <t>현물idx</t>
        </is>
      </c>
      <c r="F14" s="41" t="inlineStr">
        <is>
          <t>PV@y</t>
        </is>
      </c>
      <c r="G14" s="41" t="inlineStr">
        <is>
          <t>PV@y+1bp</t>
        </is>
      </c>
      <c r="H14" s="41" t="inlineStr">
        <is>
          <t>PV@y-1bp</t>
        </is>
      </c>
      <c r="I14" s="41" t="inlineStr">
        <is>
          <t>선도포함</t>
        </is>
      </c>
      <c r="J14" s="41" t="inlineStr">
        <is>
          <t>선도idx</t>
        </is>
      </c>
      <c r="K14" s="41" t="inlineStr">
        <is>
          <t>PV_H@y0</t>
        </is>
      </c>
      <c r="L14" s="41" t="inlineStr">
        <is>
          <t>PV_H@y0+</t>
        </is>
      </c>
      <c r="M14" s="41" t="inlineStr">
        <is>
          <t>PV_H@y0-</t>
        </is>
      </c>
      <c r="N14" s="41" t="inlineStr">
        <is>
          <t>PV_H@y1</t>
        </is>
      </c>
      <c r="O14" s="41" t="inlineStr">
        <is>
          <t>PV_H@y2</t>
        </is>
      </c>
      <c r="P14" s="41" t="inlineStr">
        <is>
          <t>PV_H@y2+</t>
        </is>
      </c>
      <c r="Q14" s="41" t="inlineStr">
        <is>
          <t>PV_H@y2-</t>
        </is>
      </c>
      <c r="R14" s="41" t="inlineStr">
        <is>
          <t>쿠폰재투자FV</t>
        </is>
      </c>
      <c r="S14" s="41" t="inlineStr">
        <is>
          <t>PV_H@손익shift</t>
        </is>
      </c>
      <c r="T14" s="41" t="inlineStr">
        <is>
          <t>PV_H@시나리오1</t>
        </is>
      </c>
      <c r="U14" s="41" t="inlineStr">
        <is>
          <t>PV_H@시나리오2</t>
        </is>
      </c>
      <c r="V14" s="41" t="inlineStr">
        <is>
          <t>PV_H@시나리오3</t>
        </is>
      </c>
      <c r="W14" s="41" t="inlineStr">
        <is>
          <t>PV_H@시나리오4</t>
        </is>
      </c>
      <c r="X14" s="41" t="inlineStr">
        <is>
          <t>PV_H@시나리오5</t>
        </is>
      </c>
      <c r="Y14" s="41" t="inlineStr">
        <is>
          <t>PV_H@시나리오6</t>
        </is>
      </c>
      <c r="Z14" s="41" t="inlineStr">
        <is>
          <t>PV_H@시나리오7</t>
        </is>
      </c>
      <c r="AA14" s="41" t="inlineStr">
        <is>
          <t>PV_H@시나리오8</t>
        </is>
      </c>
      <c r="AB14" s="41" t="inlineStr">
        <is>
          <t>PV_H@시나리오9</t>
        </is>
      </c>
      <c r="AC14" s="41" t="inlineStr">
        <is>
          <t>PV_H@시나리오10</t>
        </is>
      </c>
      <c r="AD14" s="41" t="inlineStr">
        <is>
          <t>PV_H@시나리오11</t>
        </is>
      </c>
      <c r="AE14" s="41" t="inlineStr">
        <is>
          <t>PV_H@시나리오12</t>
        </is>
      </c>
      <c r="AF14" s="41" t="inlineStr">
        <is>
          <t>PV_H@시나리오13</t>
        </is>
      </c>
      <c r="AG14" s="41" t="inlineStr">
        <is>
          <t>PV_H@시나리오14</t>
        </is>
      </c>
      <c r="AH14" s="41" t="inlineStr">
        <is>
          <t>PV_H@시나리오15</t>
        </is>
      </c>
      <c r="AI14" s="41" t="inlineStr">
        <is>
          <t>PV_H@시나리오16</t>
        </is>
      </c>
      <c r="AJ14" s="41" t="inlineStr">
        <is>
          <t>PV_H@시나리오17</t>
        </is>
      </c>
      <c r="AK14" s="41" t="inlineStr">
        <is>
          <t>PV_H@시나리오18</t>
        </is>
      </c>
      <c r="AL14" s="41" t="inlineStr">
        <is>
          <t>PV_H@시나리오19</t>
        </is>
      </c>
      <c r="AM14" s="41" t="inlineStr">
        <is>
          <t>PV_H@시나리오20</t>
        </is>
      </c>
      <c r="AN14" s="41" t="inlineStr">
        <is>
          <t>PV_H@시나리오21</t>
        </is>
      </c>
      <c r="AQ14" s="41" t="inlineStr">
        <is>
          <t>k</t>
        </is>
      </c>
      <c r="AR14" s="41" t="inlineStr">
        <is>
          <t>이표일</t>
        </is>
      </c>
      <c r="AS14" s="41" t="inlineStr">
        <is>
          <t>CF(100기준)</t>
        </is>
      </c>
      <c r="AT14" s="41" t="inlineStr">
        <is>
          <t>현물포함</t>
        </is>
      </c>
      <c r="AU14" s="41" t="inlineStr">
        <is>
          <t>현물idx</t>
        </is>
      </c>
      <c r="AV14" s="41" t="inlineStr">
        <is>
          <t>PV@y</t>
        </is>
      </c>
      <c r="AW14" s="41" t="inlineStr">
        <is>
          <t>PV@y+1bp</t>
        </is>
      </c>
      <c r="AX14" s="41" t="inlineStr">
        <is>
          <t>PV@y-1bp</t>
        </is>
      </c>
      <c r="AY14" s="41" t="inlineStr">
        <is>
          <t>선도포함</t>
        </is>
      </c>
      <c r="AZ14" s="41" t="inlineStr">
        <is>
          <t>선도idx</t>
        </is>
      </c>
      <c r="BA14" s="41" t="inlineStr">
        <is>
          <t>PV_H@y0</t>
        </is>
      </c>
      <c r="BB14" s="41" t="inlineStr">
        <is>
          <t>PV_H@y0+</t>
        </is>
      </c>
      <c r="BC14" s="41" t="inlineStr">
        <is>
          <t>PV_H@y0-</t>
        </is>
      </c>
      <c r="BD14" s="41" t="inlineStr">
        <is>
          <t>PV_H@y1</t>
        </is>
      </c>
      <c r="BE14" s="41" t="inlineStr">
        <is>
          <t>PV_H@y2</t>
        </is>
      </c>
      <c r="BF14" s="41" t="inlineStr">
        <is>
          <t>PV_H@y2+</t>
        </is>
      </c>
      <c r="BG14" s="41" t="inlineStr">
        <is>
          <t>PV_H@y2-</t>
        </is>
      </c>
      <c r="BH14" s="41" t="inlineStr">
        <is>
          <t>쿠폰재투자FV</t>
        </is>
      </c>
      <c r="BI14" s="41" t="inlineStr">
        <is>
          <t>PV_H@손익shift</t>
        </is>
      </c>
      <c r="BJ14" s="41" t="inlineStr">
        <is>
          <t>PV_H@시나리오1</t>
        </is>
      </c>
      <c r="BK14" s="41" t="inlineStr">
        <is>
          <t>PV_H@시나리오2</t>
        </is>
      </c>
      <c r="BL14" s="41" t="inlineStr">
        <is>
          <t>PV_H@시나리오3</t>
        </is>
      </c>
      <c r="BM14" s="41" t="inlineStr">
        <is>
          <t>PV_H@시나리오4</t>
        </is>
      </c>
      <c r="BN14" s="41" t="inlineStr">
        <is>
          <t>PV_H@시나리오5</t>
        </is>
      </c>
      <c r="BO14" s="41" t="inlineStr">
        <is>
          <t>PV_H@시나리오6</t>
        </is>
      </c>
      <c r="BP14" s="41" t="inlineStr">
        <is>
          <t>PV_H@시나리오7</t>
        </is>
      </c>
      <c r="BQ14" s="41" t="inlineStr">
        <is>
          <t>PV_H@시나리오8</t>
        </is>
      </c>
      <c r="BR14" s="41" t="inlineStr">
        <is>
          <t>PV_H@시나리오9</t>
        </is>
      </c>
      <c r="BS14" s="41" t="inlineStr">
        <is>
          <t>PV_H@시나리오10</t>
        </is>
      </c>
      <c r="BT14" s="41" t="inlineStr">
        <is>
          <t>PV_H@시나리오11</t>
        </is>
      </c>
      <c r="BU14" s="41" t="inlineStr">
        <is>
          <t>PV_H@시나리오12</t>
        </is>
      </c>
      <c r="BV14" s="41" t="inlineStr">
        <is>
          <t>PV_H@시나리오13</t>
        </is>
      </c>
      <c r="BW14" s="41" t="inlineStr">
        <is>
          <t>PV_H@시나리오14</t>
        </is>
      </c>
      <c r="BX14" s="41" t="inlineStr">
        <is>
          <t>PV_H@시나리오15</t>
        </is>
      </c>
      <c r="BY14" s="41" t="inlineStr">
        <is>
          <t>PV_H@시나리오16</t>
        </is>
      </c>
      <c r="BZ14" s="41" t="inlineStr">
        <is>
          <t>PV_H@시나리오17</t>
        </is>
      </c>
      <c r="CA14" s="41" t="inlineStr">
        <is>
          <t>PV_H@시나리오18</t>
        </is>
      </c>
      <c r="CB14" s="41" t="inlineStr">
        <is>
          <t>PV_H@시나리오19</t>
        </is>
      </c>
      <c r="CC14" s="41" t="inlineStr">
        <is>
          <t>PV_H@시나리오20</t>
        </is>
      </c>
      <c r="CD14" s="41" t="inlineStr">
        <is>
          <t>PV_H@시나리오21</t>
        </is>
      </c>
      <c r="CG14" s="41" t="inlineStr">
        <is>
          <t>k</t>
        </is>
      </c>
      <c r="CH14" s="41" t="inlineStr">
        <is>
          <t>이표일</t>
        </is>
      </c>
      <c r="CI14" s="41" t="inlineStr">
        <is>
          <t>CF(100기준)</t>
        </is>
      </c>
      <c r="CJ14" s="41" t="inlineStr">
        <is>
          <t>현물포함</t>
        </is>
      </c>
      <c r="CK14" s="41" t="inlineStr">
        <is>
          <t>현물idx</t>
        </is>
      </c>
      <c r="CL14" s="41" t="inlineStr">
        <is>
          <t>PV@y</t>
        </is>
      </c>
      <c r="CM14" s="41" t="inlineStr">
        <is>
          <t>PV@y+1bp</t>
        </is>
      </c>
      <c r="CN14" s="41" t="inlineStr">
        <is>
          <t>PV@y-1bp</t>
        </is>
      </c>
      <c r="CO14" s="41" t="inlineStr">
        <is>
          <t>선도포함</t>
        </is>
      </c>
      <c r="CP14" s="41" t="inlineStr">
        <is>
          <t>선도idx</t>
        </is>
      </c>
      <c r="CQ14" s="41" t="inlineStr">
        <is>
          <t>PV_H@y0</t>
        </is>
      </c>
      <c r="CR14" s="41" t="inlineStr">
        <is>
          <t>PV_H@y0+</t>
        </is>
      </c>
      <c r="CS14" s="41" t="inlineStr">
        <is>
          <t>PV_H@y0-</t>
        </is>
      </c>
      <c r="CT14" s="41" t="inlineStr">
        <is>
          <t>PV_H@y1</t>
        </is>
      </c>
      <c r="CU14" s="41" t="inlineStr">
        <is>
          <t>PV_H@y2</t>
        </is>
      </c>
      <c r="CV14" s="41" t="inlineStr">
        <is>
          <t>PV_H@y2+</t>
        </is>
      </c>
      <c r="CW14" s="41" t="inlineStr">
        <is>
          <t>PV_H@y2-</t>
        </is>
      </c>
      <c r="CX14" s="41" t="inlineStr">
        <is>
          <t>쿠폰재투자FV</t>
        </is>
      </c>
      <c r="CY14" s="41" t="inlineStr">
        <is>
          <t>PV_H@손익shift</t>
        </is>
      </c>
      <c r="CZ14" s="41" t="inlineStr">
        <is>
          <t>PV_H@시나리오1</t>
        </is>
      </c>
      <c r="DA14" s="41" t="inlineStr">
        <is>
          <t>PV_H@시나리오2</t>
        </is>
      </c>
      <c r="DB14" s="41" t="inlineStr">
        <is>
          <t>PV_H@시나리오3</t>
        </is>
      </c>
      <c r="DC14" s="41" t="inlineStr">
        <is>
          <t>PV_H@시나리오4</t>
        </is>
      </c>
      <c r="DD14" s="41" t="inlineStr">
        <is>
          <t>PV_H@시나리오5</t>
        </is>
      </c>
      <c r="DE14" s="41" t="inlineStr">
        <is>
          <t>PV_H@시나리오6</t>
        </is>
      </c>
      <c r="DF14" s="41" t="inlineStr">
        <is>
          <t>PV_H@시나리오7</t>
        </is>
      </c>
      <c r="DG14" s="41" t="inlineStr">
        <is>
          <t>PV_H@시나리오8</t>
        </is>
      </c>
      <c r="DH14" s="41" t="inlineStr">
        <is>
          <t>PV_H@시나리오9</t>
        </is>
      </c>
      <c r="DI14" s="41" t="inlineStr">
        <is>
          <t>PV_H@시나리오10</t>
        </is>
      </c>
      <c r="DJ14" s="41" t="inlineStr">
        <is>
          <t>PV_H@시나리오11</t>
        </is>
      </c>
      <c r="DK14" s="41" t="inlineStr">
        <is>
          <t>PV_H@시나리오12</t>
        </is>
      </c>
      <c r="DL14" s="41" t="inlineStr">
        <is>
          <t>PV_H@시나리오13</t>
        </is>
      </c>
      <c r="DM14" s="41" t="inlineStr">
        <is>
          <t>PV_H@시나리오14</t>
        </is>
      </c>
      <c r="DN14" s="41" t="inlineStr">
        <is>
          <t>PV_H@시나리오15</t>
        </is>
      </c>
      <c r="DO14" s="41" t="inlineStr">
        <is>
          <t>PV_H@시나리오16</t>
        </is>
      </c>
      <c r="DP14" s="41" t="inlineStr">
        <is>
          <t>PV_H@시나리오17</t>
        </is>
      </c>
      <c r="DQ14" s="41" t="inlineStr">
        <is>
          <t>PV_H@시나리오18</t>
        </is>
      </c>
      <c r="DR14" s="41" t="inlineStr">
        <is>
          <t>PV_H@시나리오19</t>
        </is>
      </c>
      <c r="DS14" s="41" t="inlineStr">
        <is>
          <t>PV_H@시나리오20</t>
        </is>
      </c>
      <c r="DT14" s="41" t="inlineStr">
        <is>
          <t>PV_H@시나리오21</t>
        </is>
      </c>
    </row>
    <row r="15">
      <c r="A15" s="49" t="n">
        <v>1</v>
      </c>
      <c r="B15" s="50">
        <f>EDATE($B$2,-6*(62-$A15))</f>
        <v/>
      </c>
      <c r="C15" s="51">
        <f>IF(AND(B15&gt;$B$3,B15&lt;=$B$2),IF(B15=$B$2,$B$5+100,$B$5),0)</f>
        <v/>
      </c>
      <c r="D15" s="49">
        <f>IF(AND($C15&gt;0,B15&gt;$B$6),1,0)</f>
        <v/>
      </c>
      <c r="E15" s="49">
        <f>IF(D15=1,SUM($D$15:D15),"")</f>
        <v/>
      </c>
      <c r="F15" s="51">
        <f>IF(D15=1,$C15/(1+$B$8/2)^(E15-1),0)</f>
        <v/>
      </c>
      <c r="G15" s="51">
        <f>IF(D15=1,$C15/(1+($B$8+0.0001)/2)^(E15-1),0)</f>
        <v/>
      </c>
      <c r="H15" s="51">
        <f>IF(D15=1,$C15/(1+($B$8-0.0001)/2)^(E15-1),0)</f>
        <v/>
      </c>
      <c r="I15" s="49">
        <f>IF(AND($C15&gt;0,B15&gt;$B$7),1,0)</f>
        <v/>
      </c>
      <c r="J15" s="49">
        <f>IF(I15=1,SUM($I$15:I15),"")</f>
        <v/>
      </c>
      <c r="K15" s="51">
        <f>IF(I15=1,$C15/(1+$B$104/2)^(J15-1),0)</f>
        <v/>
      </c>
      <c r="L15" s="51">
        <f>IF(I15=1,$C15/(1+($B$104+0.0001)/2)^(J15-1),0)</f>
        <v/>
      </c>
      <c r="M15" s="51">
        <f>IF(I15=1,$C15/(1+($B$104-0.0001)/2)^(J15-1),0)</f>
        <v/>
      </c>
      <c r="N15" s="51">
        <f>IF(I15=1,$C15/(1+$B$109/2)^(J15-1),0)</f>
        <v/>
      </c>
      <c r="O15" s="51">
        <f>IF(I15=1,$C15/(1+$B$111/2)^(J15-1),0)</f>
        <v/>
      </c>
      <c r="P15" s="51">
        <f>IF(I15=1,$C15/(1+($B$111+0.0001)/2)^(J15-1),0)</f>
        <v/>
      </c>
      <c r="Q15" s="51">
        <f>IF(I15=1,$C15/(1+($B$111-0.0001)/2)^(J15-1),0)</f>
        <v/>
      </c>
      <c r="R15" s="51">
        <f>IF(AND($C15&gt;0,B15&gt;$B$6,B15&lt;=$B$7),$C15*(1+$B$10*($B$7-B15)/365),0)</f>
        <v/>
      </c>
      <c r="S15" s="51">
        <f>IF(I15=1,$C15/(1+($B$111+손익!$B$24/10000)/2)^(J15-1),0)</f>
        <v/>
      </c>
      <c r="T15" s="51">
        <f>IF(I15=1,$C15/(1+($B$111+시나리오!$A$4/10000)/2)^(J15-1),0)</f>
        <v/>
      </c>
      <c r="U15" s="51">
        <f>IF(I15=1,$C15/(1+($B$111+시나리오!$A$5/10000)/2)^(J15-1),0)</f>
        <v/>
      </c>
      <c r="V15" s="51">
        <f>IF(I15=1,$C15/(1+($B$111+시나리오!$A$6/10000)/2)^(J15-1),0)</f>
        <v/>
      </c>
      <c r="W15" s="51">
        <f>IF(I15=1,$C15/(1+($B$111+시나리오!$A$7/10000)/2)^(J15-1),0)</f>
        <v/>
      </c>
      <c r="X15" s="51">
        <f>IF(I15=1,$C15/(1+($B$111+시나리오!$A$8/10000)/2)^(J15-1),0)</f>
        <v/>
      </c>
      <c r="Y15" s="51">
        <f>IF(I15=1,$C15/(1+($B$111+시나리오!$A$9/10000)/2)^(J15-1),0)</f>
        <v/>
      </c>
      <c r="Z15" s="51">
        <f>IF(I15=1,$C15/(1+($B$111+시나리오!$A$10/10000)/2)^(J15-1),0)</f>
        <v/>
      </c>
      <c r="AA15" s="51">
        <f>IF(I15=1,$C15/(1+($B$111+시나리오!$A$11/10000)/2)^(J15-1),0)</f>
        <v/>
      </c>
      <c r="AB15" s="51">
        <f>IF(I15=1,$C15/(1+($B$111+시나리오!$A$12/10000)/2)^(J15-1),0)</f>
        <v/>
      </c>
      <c r="AC15" s="51">
        <f>IF(I15=1,$C15/(1+($B$111+시나리오!$A$13/10000)/2)^(J15-1),0)</f>
        <v/>
      </c>
      <c r="AD15" s="51">
        <f>IF(I15=1,$C15/(1+($B$111+시나리오!$A$14/10000)/2)^(J15-1),0)</f>
        <v/>
      </c>
      <c r="AE15" s="51">
        <f>IF(I15=1,$C15/(1+($B$111+시나리오!$A$15/10000)/2)^(J15-1),0)</f>
        <v/>
      </c>
      <c r="AF15" s="51">
        <f>IF(I15=1,$C15/(1+($B$111+시나리오!$A$16/10000)/2)^(J15-1),0)</f>
        <v/>
      </c>
      <c r="AG15" s="51">
        <f>IF(I15=1,$C15/(1+($B$111+시나리오!$A$17/10000)/2)^(J15-1),0)</f>
        <v/>
      </c>
      <c r="AH15" s="51">
        <f>IF(I15=1,$C15/(1+($B$111+시나리오!$A$18/10000)/2)^(J15-1),0)</f>
        <v/>
      </c>
      <c r="AI15" s="51">
        <f>IF(I15=1,$C15/(1+($B$111+시나리오!$A$19/10000)/2)^(J15-1),0)</f>
        <v/>
      </c>
      <c r="AJ15" s="51">
        <f>IF(I15=1,$C15/(1+($B$111+시나리오!$A$20/10000)/2)^(J15-1),0)</f>
        <v/>
      </c>
      <c r="AK15" s="51">
        <f>IF(I15=1,$C15/(1+($B$111+시나리오!$A$21/10000)/2)^(J15-1),0)</f>
        <v/>
      </c>
      <c r="AL15" s="51">
        <f>IF(I15=1,$C15/(1+($B$111+시나리오!$A$22/10000)/2)^(J15-1),0)</f>
        <v/>
      </c>
      <c r="AM15" s="51">
        <f>IF(I15=1,$C15/(1+($B$111+시나리오!$A$23/10000)/2)^(J15-1),0)</f>
        <v/>
      </c>
      <c r="AN15" s="51">
        <f>IF(I15=1,$C15/(1+($B$111+시나리오!$A$24/10000)/2)^(J15-1),0)</f>
        <v/>
      </c>
      <c r="AQ15" s="49" t="n">
        <v>1</v>
      </c>
      <c r="AR15" s="50">
        <f>EDATE($AR$2,-6*(62-$AQ15))</f>
        <v/>
      </c>
      <c r="AS15" s="51">
        <f>IF(AND(AR15&gt;$AR$3,AR15&lt;=$AR$2),IF(AR15=$AR$2,$AR$5+100,$AR$5),0)</f>
        <v/>
      </c>
      <c r="AT15" s="49">
        <f>IF(AND($AS15&gt;0,AR15&gt;$AR$6),1,0)</f>
        <v/>
      </c>
      <c r="AU15" s="49">
        <f>IF(AT15=1,SUM($AT$15:AT15),"")</f>
        <v/>
      </c>
      <c r="AV15" s="51">
        <f>IF(AT15=1,$AS15/(1+$AR$8/2)^(AU15-1),0)</f>
        <v/>
      </c>
      <c r="AW15" s="51">
        <f>IF(AT15=1,$AS15/(1+($AR$8+0.0001)/2)^(AU15-1),0)</f>
        <v/>
      </c>
      <c r="AX15" s="51">
        <f>IF(AT15=1,$AS15/(1+($AR$8-0.0001)/2)^(AU15-1),0)</f>
        <v/>
      </c>
      <c r="AY15" s="49">
        <f>IF(AND($AS15&gt;0,AR15&gt;$AR$7),1,0)</f>
        <v/>
      </c>
      <c r="AZ15" s="49">
        <f>IF(AY15=1,SUM($AY$15:AY15),"")</f>
        <v/>
      </c>
      <c r="BA15" s="51">
        <f>IF(AY15=1,$AS15/(1+$AR$104/2)^(AZ15-1),0)</f>
        <v/>
      </c>
      <c r="BB15" s="51">
        <f>IF(AY15=1,$AS15/(1+($AR$104+0.0001)/2)^(AZ15-1),0)</f>
        <v/>
      </c>
      <c r="BC15" s="51">
        <f>IF(AY15=1,$AS15/(1+($AR$104-0.0001)/2)^(AZ15-1),0)</f>
        <v/>
      </c>
      <c r="BD15" s="51">
        <f>IF(AY15=1,$AS15/(1+$AR$109/2)^(AZ15-1),0)</f>
        <v/>
      </c>
      <c r="BE15" s="51">
        <f>IF(AY15=1,$AS15/(1+$AR$111/2)^(AZ15-1),0)</f>
        <v/>
      </c>
      <c r="BF15" s="51">
        <f>IF(AY15=1,$AS15/(1+($AR$111+0.0001)/2)^(AZ15-1),0)</f>
        <v/>
      </c>
      <c r="BG15" s="51">
        <f>IF(AY15=1,$AS15/(1+($AR$111-0.0001)/2)^(AZ15-1),0)</f>
        <v/>
      </c>
      <c r="BH15" s="51">
        <f>IF(AND($AS15&gt;0,AR15&gt;$AR$6,AR15&lt;=$AR$7),$AS15*(1+$AR$10*($AR$7-AR15)/365),0)</f>
        <v/>
      </c>
      <c r="BI15" s="51">
        <f>IF(AY15=1,$AS15/(1+($AR$111+손익!$B$24/10000)/2)^(AZ15-1),0)</f>
        <v/>
      </c>
      <c r="BJ15" s="51">
        <f>IF(AY15=1,$AS15/(1+($AR$111+시나리오!$A$4/10000)/2)^(AZ15-1),0)</f>
        <v/>
      </c>
      <c r="BK15" s="51">
        <f>IF(AY15=1,$AS15/(1+($AR$111+시나리오!$A$5/10000)/2)^(AZ15-1),0)</f>
        <v/>
      </c>
      <c r="BL15" s="51">
        <f>IF(AY15=1,$AS15/(1+($AR$111+시나리오!$A$6/10000)/2)^(AZ15-1),0)</f>
        <v/>
      </c>
      <c r="BM15" s="51">
        <f>IF(AY15=1,$AS15/(1+($AR$111+시나리오!$A$7/10000)/2)^(AZ15-1),0)</f>
        <v/>
      </c>
      <c r="BN15" s="51">
        <f>IF(AY15=1,$AS15/(1+($AR$111+시나리오!$A$8/10000)/2)^(AZ15-1),0)</f>
        <v/>
      </c>
      <c r="BO15" s="51">
        <f>IF(AY15=1,$AS15/(1+($AR$111+시나리오!$A$9/10000)/2)^(AZ15-1),0)</f>
        <v/>
      </c>
      <c r="BP15" s="51">
        <f>IF(AY15=1,$AS15/(1+($AR$111+시나리오!$A$10/10000)/2)^(AZ15-1),0)</f>
        <v/>
      </c>
      <c r="BQ15" s="51">
        <f>IF(AY15=1,$AS15/(1+($AR$111+시나리오!$A$11/10000)/2)^(AZ15-1),0)</f>
        <v/>
      </c>
      <c r="BR15" s="51">
        <f>IF(AY15=1,$AS15/(1+($AR$111+시나리오!$A$12/10000)/2)^(AZ15-1),0)</f>
        <v/>
      </c>
      <c r="BS15" s="51">
        <f>IF(AY15=1,$AS15/(1+($AR$111+시나리오!$A$13/10000)/2)^(AZ15-1),0)</f>
        <v/>
      </c>
      <c r="BT15" s="51">
        <f>IF(AY15=1,$AS15/(1+($AR$111+시나리오!$A$14/10000)/2)^(AZ15-1),0)</f>
        <v/>
      </c>
      <c r="BU15" s="51">
        <f>IF(AY15=1,$AS15/(1+($AR$111+시나리오!$A$15/10000)/2)^(AZ15-1),0)</f>
        <v/>
      </c>
      <c r="BV15" s="51">
        <f>IF(AY15=1,$AS15/(1+($AR$111+시나리오!$A$16/10000)/2)^(AZ15-1),0)</f>
        <v/>
      </c>
      <c r="BW15" s="51">
        <f>IF(AY15=1,$AS15/(1+($AR$111+시나리오!$A$17/10000)/2)^(AZ15-1),0)</f>
        <v/>
      </c>
      <c r="BX15" s="51">
        <f>IF(AY15=1,$AS15/(1+($AR$111+시나리오!$A$18/10000)/2)^(AZ15-1),0)</f>
        <v/>
      </c>
      <c r="BY15" s="51">
        <f>IF(AY15=1,$AS15/(1+($AR$111+시나리오!$A$19/10000)/2)^(AZ15-1),0)</f>
        <v/>
      </c>
      <c r="BZ15" s="51">
        <f>IF(AY15=1,$AS15/(1+($AR$111+시나리오!$A$20/10000)/2)^(AZ15-1),0)</f>
        <v/>
      </c>
      <c r="CA15" s="51">
        <f>IF(AY15=1,$AS15/(1+($AR$111+시나리오!$A$21/10000)/2)^(AZ15-1),0)</f>
        <v/>
      </c>
      <c r="CB15" s="51">
        <f>IF(AY15=1,$AS15/(1+($AR$111+시나리오!$A$22/10000)/2)^(AZ15-1),0)</f>
        <v/>
      </c>
      <c r="CC15" s="51">
        <f>IF(AY15=1,$AS15/(1+($AR$111+시나리오!$A$23/10000)/2)^(AZ15-1),0)</f>
        <v/>
      </c>
      <c r="CD15" s="51">
        <f>IF(AY15=1,$AS15/(1+($AR$111+시나리오!$A$24/10000)/2)^(AZ15-1),0)</f>
        <v/>
      </c>
      <c r="CG15" s="49" t="n">
        <v>1</v>
      </c>
      <c r="CH15" s="50">
        <f>EDATE($CH$2,-6*(62-$CG15))</f>
        <v/>
      </c>
      <c r="CI15" s="51">
        <f>IF(AND(CH15&gt;$CH$3,CH15&lt;=$CH$2),IF(CH15=$CH$2,$CH$5+100,$CH$5),0)</f>
        <v/>
      </c>
      <c r="CJ15" s="49">
        <f>IF(AND($CI15&gt;0,CH15&gt;$CH$6),1,0)</f>
        <v/>
      </c>
      <c r="CK15" s="49">
        <f>IF(CJ15=1,SUM($CJ$15:CJ15),"")</f>
        <v/>
      </c>
      <c r="CL15" s="51">
        <f>IF(CJ15=1,$CI15/(1+$CH$8/2)^(CK15-1),0)</f>
        <v/>
      </c>
      <c r="CM15" s="51">
        <f>IF(CJ15=1,$CI15/(1+($CH$8+0.0001)/2)^(CK15-1),0)</f>
        <v/>
      </c>
      <c r="CN15" s="51">
        <f>IF(CJ15=1,$CI15/(1+($CH$8-0.0001)/2)^(CK15-1),0)</f>
        <v/>
      </c>
      <c r="CO15" s="49">
        <f>IF(AND($CI15&gt;0,CH15&gt;$CH$7),1,0)</f>
        <v/>
      </c>
      <c r="CP15" s="49">
        <f>IF(CO15=1,SUM($CO$15:CO15),"")</f>
        <v/>
      </c>
      <c r="CQ15" s="51">
        <f>IF(CO15=1,$CI15/(1+$CH$104/2)^(CP15-1),0)</f>
        <v/>
      </c>
      <c r="CR15" s="51">
        <f>IF(CO15=1,$CI15/(1+($CH$104+0.0001)/2)^(CP15-1),0)</f>
        <v/>
      </c>
      <c r="CS15" s="51">
        <f>IF(CO15=1,$CI15/(1+($CH$104-0.0001)/2)^(CP15-1),0)</f>
        <v/>
      </c>
      <c r="CT15" s="51">
        <f>IF(CO15=1,$CI15/(1+$CH$109/2)^(CP15-1),0)</f>
        <v/>
      </c>
      <c r="CU15" s="51">
        <f>IF(CO15=1,$CI15/(1+$CH$111/2)^(CP15-1),0)</f>
        <v/>
      </c>
      <c r="CV15" s="51">
        <f>IF(CO15=1,$CI15/(1+($CH$111+0.0001)/2)^(CP15-1),0)</f>
        <v/>
      </c>
      <c r="CW15" s="51">
        <f>IF(CO15=1,$CI15/(1+($CH$111-0.0001)/2)^(CP15-1),0)</f>
        <v/>
      </c>
      <c r="CX15" s="51">
        <f>IF(AND($CI15&gt;0,CH15&gt;$CH$6,CH15&lt;=$CH$7),$CI15*(1+$CH$10*($CH$7-CH15)/365),0)</f>
        <v/>
      </c>
      <c r="CY15" s="51">
        <f>IF(CO15=1,$CI15/(1+($CH$111+손익!$B$24/10000)/2)^(CP15-1),0)</f>
        <v/>
      </c>
      <c r="CZ15" s="51">
        <f>IF(CO15=1,$CI15/(1+($CH$111+시나리오!$A$4/10000)/2)^(CP15-1),0)</f>
        <v/>
      </c>
      <c r="DA15" s="51">
        <f>IF(CO15=1,$CI15/(1+($CH$111+시나리오!$A$5/10000)/2)^(CP15-1),0)</f>
        <v/>
      </c>
      <c r="DB15" s="51">
        <f>IF(CO15=1,$CI15/(1+($CH$111+시나리오!$A$6/10000)/2)^(CP15-1),0)</f>
        <v/>
      </c>
      <c r="DC15" s="51">
        <f>IF(CO15=1,$CI15/(1+($CH$111+시나리오!$A$7/10000)/2)^(CP15-1),0)</f>
        <v/>
      </c>
      <c r="DD15" s="51">
        <f>IF(CO15=1,$CI15/(1+($CH$111+시나리오!$A$8/10000)/2)^(CP15-1),0)</f>
        <v/>
      </c>
      <c r="DE15" s="51">
        <f>IF(CO15=1,$CI15/(1+($CH$111+시나리오!$A$9/10000)/2)^(CP15-1),0)</f>
        <v/>
      </c>
      <c r="DF15" s="51">
        <f>IF(CO15=1,$CI15/(1+($CH$111+시나리오!$A$10/10000)/2)^(CP15-1),0)</f>
        <v/>
      </c>
      <c r="DG15" s="51">
        <f>IF(CO15=1,$CI15/(1+($CH$111+시나리오!$A$11/10000)/2)^(CP15-1),0)</f>
        <v/>
      </c>
      <c r="DH15" s="51">
        <f>IF(CO15=1,$CI15/(1+($CH$111+시나리오!$A$12/10000)/2)^(CP15-1),0)</f>
        <v/>
      </c>
      <c r="DI15" s="51">
        <f>IF(CO15=1,$CI15/(1+($CH$111+시나리오!$A$13/10000)/2)^(CP15-1),0)</f>
        <v/>
      </c>
      <c r="DJ15" s="51">
        <f>IF(CO15=1,$CI15/(1+($CH$111+시나리오!$A$14/10000)/2)^(CP15-1),0)</f>
        <v/>
      </c>
      <c r="DK15" s="51">
        <f>IF(CO15=1,$CI15/(1+($CH$111+시나리오!$A$15/10000)/2)^(CP15-1),0)</f>
        <v/>
      </c>
      <c r="DL15" s="51">
        <f>IF(CO15=1,$CI15/(1+($CH$111+시나리오!$A$16/10000)/2)^(CP15-1),0)</f>
        <v/>
      </c>
      <c r="DM15" s="51">
        <f>IF(CO15=1,$CI15/(1+($CH$111+시나리오!$A$17/10000)/2)^(CP15-1),0)</f>
        <v/>
      </c>
      <c r="DN15" s="51">
        <f>IF(CO15=1,$CI15/(1+($CH$111+시나리오!$A$18/10000)/2)^(CP15-1),0)</f>
        <v/>
      </c>
      <c r="DO15" s="51">
        <f>IF(CO15=1,$CI15/(1+($CH$111+시나리오!$A$19/10000)/2)^(CP15-1),0)</f>
        <v/>
      </c>
      <c r="DP15" s="51">
        <f>IF(CO15=1,$CI15/(1+($CH$111+시나리오!$A$20/10000)/2)^(CP15-1),0)</f>
        <v/>
      </c>
      <c r="DQ15" s="51">
        <f>IF(CO15=1,$CI15/(1+($CH$111+시나리오!$A$21/10000)/2)^(CP15-1),0)</f>
        <v/>
      </c>
      <c r="DR15" s="51">
        <f>IF(CO15=1,$CI15/(1+($CH$111+시나리오!$A$22/10000)/2)^(CP15-1),0)</f>
        <v/>
      </c>
      <c r="DS15" s="51">
        <f>IF(CO15=1,$CI15/(1+($CH$111+시나리오!$A$23/10000)/2)^(CP15-1),0)</f>
        <v/>
      </c>
      <c r="DT15" s="51">
        <f>IF(CO15=1,$CI15/(1+($CH$111+시나리오!$A$24/10000)/2)^(CP15-1),0)</f>
        <v/>
      </c>
    </row>
    <row r="16">
      <c r="A16" s="49" t="n">
        <v>2</v>
      </c>
      <c r="B16" s="50">
        <f>EDATE($B$2,-6*(62-$A16))</f>
        <v/>
      </c>
      <c r="C16" s="51">
        <f>IF(AND(B16&gt;$B$3,B16&lt;=$B$2),IF(B16=$B$2,$B$5+100,$B$5),0)</f>
        <v/>
      </c>
      <c r="D16" s="49">
        <f>IF(AND($C16&gt;0,B16&gt;$B$6),1,0)</f>
        <v/>
      </c>
      <c r="E16" s="49">
        <f>IF(D16=1,SUM($D$15:D16),"")</f>
        <v/>
      </c>
      <c r="F16" s="51">
        <f>IF(D16=1,$C16/(1+$B$8/2)^(E16-1),0)</f>
        <v/>
      </c>
      <c r="G16" s="51">
        <f>IF(D16=1,$C16/(1+($B$8+0.0001)/2)^(E16-1),0)</f>
        <v/>
      </c>
      <c r="H16" s="51">
        <f>IF(D16=1,$C16/(1+($B$8-0.0001)/2)^(E16-1),0)</f>
        <v/>
      </c>
      <c r="I16" s="49">
        <f>IF(AND($C16&gt;0,B16&gt;$B$7),1,0)</f>
        <v/>
      </c>
      <c r="J16" s="49">
        <f>IF(I16=1,SUM($I$15:I16),"")</f>
        <v/>
      </c>
      <c r="K16" s="51">
        <f>IF(I16=1,$C16/(1+$B$104/2)^(J16-1),0)</f>
        <v/>
      </c>
      <c r="L16" s="51">
        <f>IF(I16=1,$C16/(1+($B$104+0.0001)/2)^(J16-1),0)</f>
        <v/>
      </c>
      <c r="M16" s="51">
        <f>IF(I16=1,$C16/(1+($B$104-0.0001)/2)^(J16-1),0)</f>
        <v/>
      </c>
      <c r="N16" s="51">
        <f>IF(I16=1,$C16/(1+$B$109/2)^(J16-1),0)</f>
        <v/>
      </c>
      <c r="O16" s="51">
        <f>IF(I16=1,$C16/(1+$B$111/2)^(J16-1),0)</f>
        <v/>
      </c>
      <c r="P16" s="51">
        <f>IF(I16=1,$C16/(1+($B$111+0.0001)/2)^(J16-1),0)</f>
        <v/>
      </c>
      <c r="Q16" s="51">
        <f>IF(I16=1,$C16/(1+($B$111-0.0001)/2)^(J16-1),0)</f>
        <v/>
      </c>
      <c r="R16" s="51">
        <f>IF(AND($C16&gt;0,B16&gt;$B$6,B16&lt;=$B$7),$C16*(1+$B$10*($B$7-B16)/365),0)</f>
        <v/>
      </c>
      <c r="S16" s="51">
        <f>IF(I16=1,$C16/(1+($B$111+손익!$B$24/10000)/2)^(J16-1),0)</f>
        <v/>
      </c>
      <c r="T16" s="51">
        <f>IF(I16=1,$C16/(1+($B$111+시나리오!$A$4/10000)/2)^(J16-1),0)</f>
        <v/>
      </c>
      <c r="U16" s="51">
        <f>IF(I16=1,$C16/(1+($B$111+시나리오!$A$5/10000)/2)^(J16-1),0)</f>
        <v/>
      </c>
      <c r="V16" s="51">
        <f>IF(I16=1,$C16/(1+($B$111+시나리오!$A$6/10000)/2)^(J16-1),0)</f>
        <v/>
      </c>
      <c r="W16" s="51">
        <f>IF(I16=1,$C16/(1+($B$111+시나리오!$A$7/10000)/2)^(J16-1),0)</f>
        <v/>
      </c>
      <c r="X16" s="51">
        <f>IF(I16=1,$C16/(1+($B$111+시나리오!$A$8/10000)/2)^(J16-1),0)</f>
        <v/>
      </c>
      <c r="Y16" s="51">
        <f>IF(I16=1,$C16/(1+($B$111+시나리오!$A$9/10000)/2)^(J16-1),0)</f>
        <v/>
      </c>
      <c r="Z16" s="51">
        <f>IF(I16=1,$C16/(1+($B$111+시나리오!$A$10/10000)/2)^(J16-1),0)</f>
        <v/>
      </c>
      <c r="AA16" s="51">
        <f>IF(I16=1,$C16/(1+($B$111+시나리오!$A$11/10000)/2)^(J16-1),0)</f>
        <v/>
      </c>
      <c r="AB16" s="51">
        <f>IF(I16=1,$C16/(1+($B$111+시나리오!$A$12/10000)/2)^(J16-1),0)</f>
        <v/>
      </c>
      <c r="AC16" s="51">
        <f>IF(I16=1,$C16/(1+($B$111+시나리오!$A$13/10000)/2)^(J16-1),0)</f>
        <v/>
      </c>
      <c r="AD16" s="51">
        <f>IF(I16=1,$C16/(1+($B$111+시나리오!$A$14/10000)/2)^(J16-1),0)</f>
        <v/>
      </c>
      <c r="AE16" s="51">
        <f>IF(I16=1,$C16/(1+($B$111+시나리오!$A$15/10000)/2)^(J16-1),0)</f>
        <v/>
      </c>
      <c r="AF16" s="51">
        <f>IF(I16=1,$C16/(1+($B$111+시나리오!$A$16/10000)/2)^(J16-1),0)</f>
        <v/>
      </c>
      <c r="AG16" s="51">
        <f>IF(I16=1,$C16/(1+($B$111+시나리오!$A$17/10000)/2)^(J16-1),0)</f>
        <v/>
      </c>
      <c r="AH16" s="51">
        <f>IF(I16=1,$C16/(1+($B$111+시나리오!$A$18/10000)/2)^(J16-1),0)</f>
        <v/>
      </c>
      <c r="AI16" s="51">
        <f>IF(I16=1,$C16/(1+($B$111+시나리오!$A$19/10000)/2)^(J16-1),0)</f>
        <v/>
      </c>
      <c r="AJ16" s="51">
        <f>IF(I16=1,$C16/(1+($B$111+시나리오!$A$20/10000)/2)^(J16-1),0)</f>
        <v/>
      </c>
      <c r="AK16" s="51">
        <f>IF(I16=1,$C16/(1+($B$111+시나리오!$A$21/10000)/2)^(J16-1),0)</f>
        <v/>
      </c>
      <c r="AL16" s="51">
        <f>IF(I16=1,$C16/(1+($B$111+시나리오!$A$22/10000)/2)^(J16-1),0)</f>
        <v/>
      </c>
      <c r="AM16" s="51">
        <f>IF(I16=1,$C16/(1+($B$111+시나리오!$A$23/10000)/2)^(J16-1),0)</f>
        <v/>
      </c>
      <c r="AN16" s="51">
        <f>IF(I16=1,$C16/(1+($B$111+시나리오!$A$24/10000)/2)^(J16-1),0)</f>
        <v/>
      </c>
      <c r="AQ16" s="49" t="n">
        <v>2</v>
      </c>
      <c r="AR16" s="50">
        <f>EDATE($AR$2,-6*(62-$AQ16))</f>
        <v/>
      </c>
      <c r="AS16" s="51">
        <f>IF(AND(AR16&gt;$AR$3,AR16&lt;=$AR$2),IF(AR16=$AR$2,$AR$5+100,$AR$5),0)</f>
        <v/>
      </c>
      <c r="AT16" s="49">
        <f>IF(AND($AS16&gt;0,AR16&gt;$AR$6),1,0)</f>
        <v/>
      </c>
      <c r="AU16" s="49">
        <f>IF(AT16=1,SUM($AT$15:AT16),"")</f>
        <v/>
      </c>
      <c r="AV16" s="51">
        <f>IF(AT16=1,$AS16/(1+$AR$8/2)^(AU16-1),0)</f>
        <v/>
      </c>
      <c r="AW16" s="51">
        <f>IF(AT16=1,$AS16/(1+($AR$8+0.0001)/2)^(AU16-1),0)</f>
        <v/>
      </c>
      <c r="AX16" s="51">
        <f>IF(AT16=1,$AS16/(1+($AR$8-0.0001)/2)^(AU16-1),0)</f>
        <v/>
      </c>
      <c r="AY16" s="49">
        <f>IF(AND($AS16&gt;0,AR16&gt;$AR$7),1,0)</f>
        <v/>
      </c>
      <c r="AZ16" s="49">
        <f>IF(AY16=1,SUM($AY$15:AY16),"")</f>
        <v/>
      </c>
      <c r="BA16" s="51">
        <f>IF(AY16=1,$AS16/(1+$AR$104/2)^(AZ16-1),0)</f>
        <v/>
      </c>
      <c r="BB16" s="51">
        <f>IF(AY16=1,$AS16/(1+($AR$104+0.0001)/2)^(AZ16-1),0)</f>
        <v/>
      </c>
      <c r="BC16" s="51">
        <f>IF(AY16=1,$AS16/(1+($AR$104-0.0001)/2)^(AZ16-1),0)</f>
        <v/>
      </c>
      <c r="BD16" s="51">
        <f>IF(AY16=1,$AS16/(1+$AR$109/2)^(AZ16-1),0)</f>
        <v/>
      </c>
      <c r="BE16" s="51">
        <f>IF(AY16=1,$AS16/(1+$AR$111/2)^(AZ16-1),0)</f>
        <v/>
      </c>
      <c r="BF16" s="51">
        <f>IF(AY16=1,$AS16/(1+($AR$111+0.0001)/2)^(AZ16-1),0)</f>
        <v/>
      </c>
      <c r="BG16" s="51">
        <f>IF(AY16=1,$AS16/(1+($AR$111-0.0001)/2)^(AZ16-1),0)</f>
        <v/>
      </c>
      <c r="BH16" s="51">
        <f>IF(AND($AS16&gt;0,AR16&gt;$AR$6,AR16&lt;=$AR$7),$AS16*(1+$AR$10*($AR$7-AR16)/365),0)</f>
        <v/>
      </c>
      <c r="BI16" s="51">
        <f>IF(AY16=1,$AS16/(1+($AR$111+손익!$B$24/10000)/2)^(AZ16-1),0)</f>
        <v/>
      </c>
      <c r="BJ16" s="51">
        <f>IF(AY16=1,$AS16/(1+($AR$111+시나리오!$A$4/10000)/2)^(AZ16-1),0)</f>
        <v/>
      </c>
      <c r="BK16" s="51">
        <f>IF(AY16=1,$AS16/(1+($AR$111+시나리오!$A$5/10000)/2)^(AZ16-1),0)</f>
        <v/>
      </c>
      <c r="BL16" s="51">
        <f>IF(AY16=1,$AS16/(1+($AR$111+시나리오!$A$6/10000)/2)^(AZ16-1),0)</f>
        <v/>
      </c>
      <c r="BM16" s="51">
        <f>IF(AY16=1,$AS16/(1+($AR$111+시나리오!$A$7/10000)/2)^(AZ16-1),0)</f>
        <v/>
      </c>
      <c r="BN16" s="51">
        <f>IF(AY16=1,$AS16/(1+($AR$111+시나리오!$A$8/10000)/2)^(AZ16-1),0)</f>
        <v/>
      </c>
      <c r="BO16" s="51">
        <f>IF(AY16=1,$AS16/(1+($AR$111+시나리오!$A$9/10000)/2)^(AZ16-1),0)</f>
        <v/>
      </c>
      <c r="BP16" s="51">
        <f>IF(AY16=1,$AS16/(1+($AR$111+시나리오!$A$10/10000)/2)^(AZ16-1),0)</f>
        <v/>
      </c>
      <c r="BQ16" s="51">
        <f>IF(AY16=1,$AS16/(1+($AR$111+시나리오!$A$11/10000)/2)^(AZ16-1),0)</f>
        <v/>
      </c>
      <c r="BR16" s="51">
        <f>IF(AY16=1,$AS16/(1+($AR$111+시나리오!$A$12/10000)/2)^(AZ16-1),0)</f>
        <v/>
      </c>
      <c r="BS16" s="51">
        <f>IF(AY16=1,$AS16/(1+($AR$111+시나리오!$A$13/10000)/2)^(AZ16-1),0)</f>
        <v/>
      </c>
      <c r="BT16" s="51">
        <f>IF(AY16=1,$AS16/(1+($AR$111+시나리오!$A$14/10000)/2)^(AZ16-1),0)</f>
        <v/>
      </c>
      <c r="BU16" s="51">
        <f>IF(AY16=1,$AS16/(1+($AR$111+시나리오!$A$15/10000)/2)^(AZ16-1),0)</f>
        <v/>
      </c>
      <c r="BV16" s="51">
        <f>IF(AY16=1,$AS16/(1+($AR$111+시나리오!$A$16/10000)/2)^(AZ16-1),0)</f>
        <v/>
      </c>
      <c r="BW16" s="51">
        <f>IF(AY16=1,$AS16/(1+($AR$111+시나리오!$A$17/10000)/2)^(AZ16-1),0)</f>
        <v/>
      </c>
      <c r="BX16" s="51">
        <f>IF(AY16=1,$AS16/(1+($AR$111+시나리오!$A$18/10000)/2)^(AZ16-1),0)</f>
        <v/>
      </c>
      <c r="BY16" s="51">
        <f>IF(AY16=1,$AS16/(1+($AR$111+시나리오!$A$19/10000)/2)^(AZ16-1),0)</f>
        <v/>
      </c>
      <c r="BZ16" s="51">
        <f>IF(AY16=1,$AS16/(1+($AR$111+시나리오!$A$20/10000)/2)^(AZ16-1),0)</f>
        <v/>
      </c>
      <c r="CA16" s="51">
        <f>IF(AY16=1,$AS16/(1+($AR$111+시나리오!$A$21/10000)/2)^(AZ16-1),0)</f>
        <v/>
      </c>
      <c r="CB16" s="51">
        <f>IF(AY16=1,$AS16/(1+($AR$111+시나리오!$A$22/10000)/2)^(AZ16-1),0)</f>
        <v/>
      </c>
      <c r="CC16" s="51">
        <f>IF(AY16=1,$AS16/(1+($AR$111+시나리오!$A$23/10000)/2)^(AZ16-1),0)</f>
        <v/>
      </c>
      <c r="CD16" s="51">
        <f>IF(AY16=1,$AS16/(1+($AR$111+시나리오!$A$24/10000)/2)^(AZ16-1),0)</f>
        <v/>
      </c>
      <c r="CG16" s="49" t="n">
        <v>2</v>
      </c>
      <c r="CH16" s="50">
        <f>EDATE($CH$2,-6*(62-$CG16))</f>
        <v/>
      </c>
      <c r="CI16" s="51">
        <f>IF(AND(CH16&gt;$CH$3,CH16&lt;=$CH$2),IF(CH16=$CH$2,$CH$5+100,$CH$5),0)</f>
        <v/>
      </c>
      <c r="CJ16" s="49">
        <f>IF(AND($CI16&gt;0,CH16&gt;$CH$6),1,0)</f>
        <v/>
      </c>
      <c r="CK16" s="49">
        <f>IF(CJ16=1,SUM($CJ$15:CJ16),"")</f>
        <v/>
      </c>
      <c r="CL16" s="51">
        <f>IF(CJ16=1,$CI16/(1+$CH$8/2)^(CK16-1),0)</f>
        <v/>
      </c>
      <c r="CM16" s="51">
        <f>IF(CJ16=1,$CI16/(1+($CH$8+0.0001)/2)^(CK16-1),0)</f>
        <v/>
      </c>
      <c r="CN16" s="51">
        <f>IF(CJ16=1,$CI16/(1+($CH$8-0.0001)/2)^(CK16-1),0)</f>
        <v/>
      </c>
      <c r="CO16" s="49">
        <f>IF(AND($CI16&gt;0,CH16&gt;$CH$7),1,0)</f>
        <v/>
      </c>
      <c r="CP16" s="49">
        <f>IF(CO16=1,SUM($CO$15:CO16),"")</f>
        <v/>
      </c>
      <c r="CQ16" s="51">
        <f>IF(CO16=1,$CI16/(1+$CH$104/2)^(CP16-1),0)</f>
        <v/>
      </c>
      <c r="CR16" s="51">
        <f>IF(CO16=1,$CI16/(1+($CH$104+0.0001)/2)^(CP16-1),0)</f>
        <v/>
      </c>
      <c r="CS16" s="51">
        <f>IF(CO16=1,$CI16/(1+($CH$104-0.0001)/2)^(CP16-1),0)</f>
        <v/>
      </c>
      <c r="CT16" s="51">
        <f>IF(CO16=1,$CI16/(1+$CH$109/2)^(CP16-1),0)</f>
        <v/>
      </c>
      <c r="CU16" s="51">
        <f>IF(CO16=1,$CI16/(1+$CH$111/2)^(CP16-1),0)</f>
        <v/>
      </c>
      <c r="CV16" s="51">
        <f>IF(CO16=1,$CI16/(1+($CH$111+0.0001)/2)^(CP16-1),0)</f>
        <v/>
      </c>
      <c r="CW16" s="51">
        <f>IF(CO16=1,$CI16/(1+($CH$111-0.0001)/2)^(CP16-1),0)</f>
        <v/>
      </c>
      <c r="CX16" s="51">
        <f>IF(AND($CI16&gt;0,CH16&gt;$CH$6,CH16&lt;=$CH$7),$CI16*(1+$CH$10*($CH$7-CH16)/365),0)</f>
        <v/>
      </c>
      <c r="CY16" s="51">
        <f>IF(CO16=1,$CI16/(1+($CH$111+손익!$B$24/10000)/2)^(CP16-1),0)</f>
        <v/>
      </c>
      <c r="CZ16" s="51">
        <f>IF(CO16=1,$CI16/(1+($CH$111+시나리오!$A$4/10000)/2)^(CP16-1),0)</f>
        <v/>
      </c>
      <c r="DA16" s="51">
        <f>IF(CO16=1,$CI16/(1+($CH$111+시나리오!$A$5/10000)/2)^(CP16-1),0)</f>
        <v/>
      </c>
      <c r="DB16" s="51">
        <f>IF(CO16=1,$CI16/(1+($CH$111+시나리오!$A$6/10000)/2)^(CP16-1),0)</f>
        <v/>
      </c>
      <c r="DC16" s="51">
        <f>IF(CO16=1,$CI16/(1+($CH$111+시나리오!$A$7/10000)/2)^(CP16-1),0)</f>
        <v/>
      </c>
      <c r="DD16" s="51">
        <f>IF(CO16=1,$CI16/(1+($CH$111+시나리오!$A$8/10000)/2)^(CP16-1),0)</f>
        <v/>
      </c>
      <c r="DE16" s="51">
        <f>IF(CO16=1,$CI16/(1+($CH$111+시나리오!$A$9/10000)/2)^(CP16-1),0)</f>
        <v/>
      </c>
      <c r="DF16" s="51">
        <f>IF(CO16=1,$CI16/(1+($CH$111+시나리오!$A$10/10000)/2)^(CP16-1),0)</f>
        <v/>
      </c>
      <c r="DG16" s="51">
        <f>IF(CO16=1,$CI16/(1+($CH$111+시나리오!$A$11/10000)/2)^(CP16-1),0)</f>
        <v/>
      </c>
      <c r="DH16" s="51">
        <f>IF(CO16=1,$CI16/(1+($CH$111+시나리오!$A$12/10000)/2)^(CP16-1),0)</f>
        <v/>
      </c>
      <c r="DI16" s="51">
        <f>IF(CO16=1,$CI16/(1+($CH$111+시나리오!$A$13/10000)/2)^(CP16-1),0)</f>
        <v/>
      </c>
      <c r="DJ16" s="51">
        <f>IF(CO16=1,$CI16/(1+($CH$111+시나리오!$A$14/10000)/2)^(CP16-1),0)</f>
        <v/>
      </c>
      <c r="DK16" s="51">
        <f>IF(CO16=1,$CI16/(1+($CH$111+시나리오!$A$15/10000)/2)^(CP16-1),0)</f>
        <v/>
      </c>
      <c r="DL16" s="51">
        <f>IF(CO16=1,$CI16/(1+($CH$111+시나리오!$A$16/10000)/2)^(CP16-1),0)</f>
        <v/>
      </c>
      <c r="DM16" s="51">
        <f>IF(CO16=1,$CI16/(1+($CH$111+시나리오!$A$17/10000)/2)^(CP16-1),0)</f>
        <v/>
      </c>
      <c r="DN16" s="51">
        <f>IF(CO16=1,$CI16/(1+($CH$111+시나리오!$A$18/10000)/2)^(CP16-1),0)</f>
        <v/>
      </c>
      <c r="DO16" s="51">
        <f>IF(CO16=1,$CI16/(1+($CH$111+시나리오!$A$19/10000)/2)^(CP16-1),0)</f>
        <v/>
      </c>
      <c r="DP16" s="51">
        <f>IF(CO16=1,$CI16/(1+($CH$111+시나리오!$A$20/10000)/2)^(CP16-1),0)</f>
        <v/>
      </c>
      <c r="DQ16" s="51">
        <f>IF(CO16=1,$CI16/(1+($CH$111+시나리오!$A$21/10000)/2)^(CP16-1),0)</f>
        <v/>
      </c>
      <c r="DR16" s="51">
        <f>IF(CO16=1,$CI16/(1+($CH$111+시나리오!$A$22/10000)/2)^(CP16-1),0)</f>
        <v/>
      </c>
      <c r="DS16" s="51">
        <f>IF(CO16=1,$CI16/(1+($CH$111+시나리오!$A$23/10000)/2)^(CP16-1),0)</f>
        <v/>
      </c>
      <c r="DT16" s="51">
        <f>IF(CO16=1,$CI16/(1+($CH$111+시나리오!$A$24/10000)/2)^(CP16-1),0)</f>
        <v/>
      </c>
    </row>
    <row r="17">
      <c r="A17" s="49" t="n">
        <v>3</v>
      </c>
      <c r="B17" s="50">
        <f>EDATE($B$2,-6*(62-$A17))</f>
        <v/>
      </c>
      <c r="C17" s="51">
        <f>IF(AND(B17&gt;$B$3,B17&lt;=$B$2),IF(B17=$B$2,$B$5+100,$B$5),0)</f>
        <v/>
      </c>
      <c r="D17" s="49">
        <f>IF(AND($C17&gt;0,B17&gt;$B$6),1,0)</f>
        <v/>
      </c>
      <c r="E17" s="49">
        <f>IF(D17=1,SUM($D$15:D17),"")</f>
        <v/>
      </c>
      <c r="F17" s="51">
        <f>IF(D17=1,$C17/(1+$B$8/2)^(E17-1),0)</f>
        <v/>
      </c>
      <c r="G17" s="51">
        <f>IF(D17=1,$C17/(1+($B$8+0.0001)/2)^(E17-1),0)</f>
        <v/>
      </c>
      <c r="H17" s="51">
        <f>IF(D17=1,$C17/(1+($B$8-0.0001)/2)^(E17-1),0)</f>
        <v/>
      </c>
      <c r="I17" s="49">
        <f>IF(AND($C17&gt;0,B17&gt;$B$7),1,0)</f>
        <v/>
      </c>
      <c r="J17" s="49">
        <f>IF(I17=1,SUM($I$15:I17),"")</f>
        <v/>
      </c>
      <c r="K17" s="51">
        <f>IF(I17=1,$C17/(1+$B$104/2)^(J17-1),0)</f>
        <v/>
      </c>
      <c r="L17" s="51">
        <f>IF(I17=1,$C17/(1+($B$104+0.0001)/2)^(J17-1),0)</f>
        <v/>
      </c>
      <c r="M17" s="51">
        <f>IF(I17=1,$C17/(1+($B$104-0.0001)/2)^(J17-1),0)</f>
        <v/>
      </c>
      <c r="N17" s="51">
        <f>IF(I17=1,$C17/(1+$B$109/2)^(J17-1),0)</f>
        <v/>
      </c>
      <c r="O17" s="51">
        <f>IF(I17=1,$C17/(1+$B$111/2)^(J17-1),0)</f>
        <v/>
      </c>
      <c r="P17" s="51">
        <f>IF(I17=1,$C17/(1+($B$111+0.0001)/2)^(J17-1),0)</f>
        <v/>
      </c>
      <c r="Q17" s="51">
        <f>IF(I17=1,$C17/(1+($B$111-0.0001)/2)^(J17-1),0)</f>
        <v/>
      </c>
      <c r="R17" s="51">
        <f>IF(AND($C17&gt;0,B17&gt;$B$6,B17&lt;=$B$7),$C17*(1+$B$10*($B$7-B17)/365),0)</f>
        <v/>
      </c>
      <c r="S17" s="51">
        <f>IF(I17=1,$C17/(1+($B$111+손익!$B$24/10000)/2)^(J17-1),0)</f>
        <v/>
      </c>
      <c r="T17" s="51">
        <f>IF(I17=1,$C17/(1+($B$111+시나리오!$A$4/10000)/2)^(J17-1),0)</f>
        <v/>
      </c>
      <c r="U17" s="51">
        <f>IF(I17=1,$C17/(1+($B$111+시나리오!$A$5/10000)/2)^(J17-1),0)</f>
        <v/>
      </c>
      <c r="V17" s="51">
        <f>IF(I17=1,$C17/(1+($B$111+시나리오!$A$6/10000)/2)^(J17-1),0)</f>
        <v/>
      </c>
      <c r="W17" s="51">
        <f>IF(I17=1,$C17/(1+($B$111+시나리오!$A$7/10000)/2)^(J17-1),0)</f>
        <v/>
      </c>
      <c r="X17" s="51">
        <f>IF(I17=1,$C17/(1+($B$111+시나리오!$A$8/10000)/2)^(J17-1),0)</f>
        <v/>
      </c>
      <c r="Y17" s="51">
        <f>IF(I17=1,$C17/(1+($B$111+시나리오!$A$9/10000)/2)^(J17-1),0)</f>
        <v/>
      </c>
      <c r="Z17" s="51">
        <f>IF(I17=1,$C17/(1+($B$111+시나리오!$A$10/10000)/2)^(J17-1),0)</f>
        <v/>
      </c>
      <c r="AA17" s="51">
        <f>IF(I17=1,$C17/(1+($B$111+시나리오!$A$11/10000)/2)^(J17-1),0)</f>
        <v/>
      </c>
      <c r="AB17" s="51">
        <f>IF(I17=1,$C17/(1+($B$111+시나리오!$A$12/10000)/2)^(J17-1),0)</f>
        <v/>
      </c>
      <c r="AC17" s="51">
        <f>IF(I17=1,$C17/(1+($B$111+시나리오!$A$13/10000)/2)^(J17-1),0)</f>
        <v/>
      </c>
      <c r="AD17" s="51">
        <f>IF(I17=1,$C17/(1+($B$111+시나리오!$A$14/10000)/2)^(J17-1),0)</f>
        <v/>
      </c>
      <c r="AE17" s="51">
        <f>IF(I17=1,$C17/(1+($B$111+시나리오!$A$15/10000)/2)^(J17-1),0)</f>
        <v/>
      </c>
      <c r="AF17" s="51">
        <f>IF(I17=1,$C17/(1+($B$111+시나리오!$A$16/10000)/2)^(J17-1),0)</f>
        <v/>
      </c>
      <c r="AG17" s="51">
        <f>IF(I17=1,$C17/(1+($B$111+시나리오!$A$17/10000)/2)^(J17-1),0)</f>
        <v/>
      </c>
      <c r="AH17" s="51">
        <f>IF(I17=1,$C17/(1+($B$111+시나리오!$A$18/10000)/2)^(J17-1),0)</f>
        <v/>
      </c>
      <c r="AI17" s="51">
        <f>IF(I17=1,$C17/(1+($B$111+시나리오!$A$19/10000)/2)^(J17-1),0)</f>
        <v/>
      </c>
      <c r="AJ17" s="51">
        <f>IF(I17=1,$C17/(1+($B$111+시나리오!$A$20/10000)/2)^(J17-1),0)</f>
        <v/>
      </c>
      <c r="AK17" s="51">
        <f>IF(I17=1,$C17/(1+($B$111+시나리오!$A$21/10000)/2)^(J17-1),0)</f>
        <v/>
      </c>
      <c r="AL17" s="51">
        <f>IF(I17=1,$C17/(1+($B$111+시나리오!$A$22/10000)/2)^(J17-1),0)</f>
        <v/>
      </c>
      <c r="AM17" s="51">
        <f>IF(I17=1,$C17/(1+($B$111+시나리오!$A$23/10000)/2)^(J17-1),0)</f>
        <v/>
      </c>
      <c r="AN17" s="51">
        <f>IF(I17=1,$C17/(1+($B$111+시나리오!$A$24/10000)/2)^(J17-1),0)</f>
        <v/>
      </c>
      <c r="AQ17" s="49" t="n">
        <v>3</v>
      </c>
      <c r="AR17" s="50">
        <f>EDATE($AR$2,-6*(62-$AQ17))</f>
        <v/>
      </c>
      <c r="AS17" s="51">
        <f>IF(AND(AR17&gt;$AR$3,AR17&lt;=$AR$2),IF(AR17=$AR$2,$AR$5+100,$AR$5),0)</f>
        <v/>
      </c>
      <c r="AT17" s="49">
        <f>IF(AND($AS17&gt;0,AR17&gt;$AR$6),1,0)</f>
        <v/>
      </c>
      <c r="AU17" s="49">
        <f>IF(AT17=1,SUM($AT$15:AT17),"")</f>
        <v/>
      </c>
      <c r="AV17" s="51">
        <f>IF(AT17=1,$AS17/(1+$AR$8/2)^(AU17-1),0)</f>
        <v/>
      </c>
      <c r="AW17" s="51">
        <f>IF(AT17=1,$AS17/(1+($AR$8+0.0001)/2)^(AU17-1),0)</f>
        <v/>
      </c>
      <c r="AX17" s="51">
        <f>IF(AT17=1,$AS17/(1+($AR$8-0.0001)/2)^(AU17-1),0)</f>
        <v/>
      </c>
      <c r="AY17" s="49">
        <f>IF(AND($AS17&gt;0,AR17&gt;$AR$7),1,0)</f>
        <v/>
      </c>
      <c r="AZ17" s="49">
        <f>IF(AY17=1,SUM($AY$15:AY17),"")</f>
        <v/>
      </c>
      <c r="BA17" s="51">
        <f>IF(AY17=1,$AS17/(1+$AR$104/2)^(AZ17-1),0)</f>
        <v/>
      </c>
      <c r="BB17" s="51">
        <f>IF(AY17=1,$AS17/(1+($AR$104+0.0001)/2)^(AZ17-1),0)</f>
        <v/>
      </c>
      <c r="BC17" s="51">
        <f>IF(AY17=1,$AS17/(1+($AR$104-0.0001)/2)^(AZ17-1),0)</f>
        <v/>
      </c>
      <c r="BD17" s="51">
        <f>IF(AY17=1,$AS17/(1+$AR$109/2)^(AZ17-1),0)</f>
        <v/>
      </c>
      <c r="BE17" s="51">
        <f>IF(AY17=1,$AS17/(1+$AR$111/2)^(AZ17-1),0)</f>
        <v/>
      </c>
      <c r="BF17" s="51">
        <f>IF(AY17=1,$AS17/(1+($AR$111+0.0001)/2)^(AZ17-1),0)</f>
        <v/>
      </c>
      <c r="BG17" s="51">
        <f>IF(AY17=1,$AS17/(1+($AR$111-0.0001)/2)^(AZ17-1),0)</f>
        <v/>
      </c>
      <c r="BH17" s="51">
        <f>IF(AND($AS17&gt;0,AR17&gt;$AR$6,AR17&lt;=$AR$7),$AS17*(1+$AR$10*($AR$7-AR17)/365),0)</f>
        <v/>
      </c>
      <c r="BI17" s="51">
        <f>IF(AY17=1,$AS17/(1+($AR$111+손익!$B$24/10000)/2)^(AZ17-1),0)</f>
        <v/>
      </c>
      <c r="BJ17" s="51">
        <f>IF(AY17=1,$AS17/(1+($AR$111+시나리오!$A$4/10000)/2)^(AZ17-1),0)</f>
        <v/>
      </c>
      <c r="BK17" s="51">
        <f>IF(AY17=1,$AS17/(1+($AR$111+시나리오!$A$5/10000)/2)^(AZ17-1),0)</f>
        <v/>
      </c>
      <c r="BL17" s="51">
        <f>IF(AY17=1,$AS17/(1+($AR$111+시나리오!$A$6/10000)/2)^(AZ17-1),0)</f>
        <v/>
      </c>
      <c r="BM17" s="51">
        <f>IF(AY17=1,$AS17/(1+($AR$111+시나리오!$A$7/10000)/2)^(AZ17-1),0)</f>
        <v/>
      </c>
      <c r="BN17" s="51">
        <f>IF(AY17=1,$AS17/(1+($AR$111+시나리오!$A$8/10000)/2)^(AZ17-1),0)</f>
        <v/>
      </c>
      <c r="BO17" s="51">
        <f>IF(AY17=1,$AS17/(1+($AR$111+시나리오!$A$9/10000)/2)^(AZ17-1),0)</f>
        <v/>
      </c>
      <c r="BP17" s="51">
        <f>IF(AY17=1,$AS17/(1+($AR$111+시나리오!$A$10/10000)/2)^(AZ17-1),0)</f>
        <v/>
      </c>
      <c r="BQ17" s="51">
        <f>IF(AY17=1,$AS17/(1+($AR$111+시나리오!$A$11/10000)/2)^(AZ17-1),0)</f>
        <v/>
      </c>
      <c r="BR17" s="51">
        <f>IF(AY17=1,$AS17/(1+($AR$111+시나리오!$A$12/10000)/2)^(AZ17-1),0)</f>
        <v/>
      </c>
      <c r="BS17" s="51">
        <f>IF(AY17=1,$AS17/(1+($AR$111+시나리오!$A$13/10000)/2)^(AZ17-1),0)</f>
        <v/>
      </c>
      <c r="BT17" s="51">
        <f>IF(AY17=1,$AS17/(1+($AR$111+시나리오!$A$14/10000)/2)^(AZ17-1),0)</f>
        <v/>
      </c>
      <c r="BU17" s="51">
        <f>IF(AY17=1,$AS17/(1+($AR$111+시나리오!$A$15/10000)/2)^(AZ17-1),0)</f>
        <v/>
      </c>
      <c r="BV17" s="51">
        <f>IF(AY17=1,$AS17/(1+($AR$111+시나리오!$A$16/10000)/2)^(AZ17-1),0)</f>
        <v/>
      </c>
      <c r="BW17" s="51">
        <f>IF(AY17=1,$AS17/(1+($AR$111+시나리오!$A$17/10000)/2)^(AZ17-1),0)</f>
        <v/>
      </c>
      <c r="BX17" s="51">
        <f>IF(AY17=1,$AS17/(1+($AR$111+시나리오!$A$18/10000)/2)^(AZ17-1),0)</f>
        <v/>
      </c>
      <c r="BY17" s="51">
        <f>IF(AY17=1,$AS17/(1+($AR$111+시나리오!$A$19/10000)/2)^(AZ17-1),0)</f>
        <v/>
      </c>
      <c r="BZ17" s="51">
        <f>IF(AY17=1,$AS17/(1+($AR$111+시나리오!$A$20/10000)/2)^(AZ17-1),0)</f>
        <v/>
      </c>
      <c r="CA17" s="51">
        <f>IF(AY17=1,$AS17/(1+($AR$111+시나리오!$A$21/10000)/2)^(AZ17-1),0)</f>
        <v/>
      </c>
      <c r="CB17" s="51">
        <f>IF(AY17=1,$AS17/(1+($AR$111+시나리오!$A$22/10000)/2)^(AZ17-1),0)</f>
        <v/>
      </c>
      <c r="CC17" s="51">
        <f>IF(AY17=1,$AS17/(1+($AR$111+시나리오!$A$23/10000)/2)^(AZ17-1),0)</f>
        <v/>
      </c>
      <c r="CD17" s="51">
        <f>IF(AY17=1,$AS17/(1+($AR$111+시나리오!$A$24/10000)/2)^(AZ17-1),0)</f>
        <v/>
      </c>
      <c r="CG17" s="49" t="n">
        <v>3</v>
      </c>
      <c r="CH17" s="50">
        <f>EDATE($CH$2,-6*(62-$CG17))</f>
        <v/>
      </c>
      <c r="CI17" s="51">
        <f>IF(AND(CH17&gt;$CH$3,CH17&lt;=$CH$2),IF(CH17=$CH$2,$CH$5+100,$CH$5),0)</f>
        <v/>
      </c>
      <c r="CJ17" s="49">
        <f>IF(AND($CI17&gt;0,CH17&gt;$CH$6),1,0)</f>
        <v/>
      </c>
      <c r="CK17" s="49">
        <f>IF(CJ17=1,SUM($CJ$15:CJ17),"")</f>
        <v/>
      </c>
      <c r="CL17" s="51">
        <f>IF(CJ17=1,$CI17/(1+$CH$8/2)^(CK17-1),0)</f>
        <v/>
      </c>
      <c r="CM17" s="51">
        <f>IF(CJ17=1,$CI17/(1+($CH$8+0.0001)/2)^(CK17-1),0)</f>
        <v/>
      </c>
      <c r="CN17" s="51">
        <f>IF(CJ17=1,$CI17/(1+($CH$8-0.0001)/2)^(CK17-1),0)</f>
        <v/>
      </c>
      <c r="CO17" s="49">
        <f>IF(AND($CI17&gt;0,CH17&gt;$CH$7),1,0)</f>
        <v/>
      </c>
      <c r="CP17" s="49">
        <f>IF(CO17=1,SUM($CO$15:CO17),"")</f>
        <v/>
      </c>
      <c r="CQ17" s="51">
        <f>IF(CO17=1,$CI17/(1+$CH$104/2)^(CP17-1),0)</f>
        <v/>
      </c>
      <c r="CR17" s="51">
        <f>IF(CO17=1,$CI17/(1+($CH$104+0.0001)/2)^(CP17-1),0)</f>
        <v/>
      </c>
      <c r="CS17" s="51">
        <f>IF(CO17=1,$CI17/(1+($CH$104-0.0001)/2)^(CP17-1),0)</f>
        <v/>
      </c>
      <c r="CT17" s="51">
        <f>IF(CO17=1,$CI17/(1+$CH$109/2)^(CP17-1),0)</f>
        <v/>
      </c>
      <c r="CU17" s="51">
        <f>IF(CO17=1,$CI17/(1+$CH$111/2)^(CP17-1),0)</f>
        <v/>
      </c>
      <c r="CV17" s="51">
        <f>IF(CO17=1,$CI17/(1+($CH$111+0.0001)/2)^(CP17-1),0)</f>
        <v/>
      </c>
      <c r="CW17" s="51">
        <f>IF(CO17=1,$CI17/(1+($CH$111-0.0001)/2)^(CP17-1),0)</f>
        <v/>
      </c>
      <c r="CX17" s="51">
        <f>IF(AND($CI17&gt;0,CH17&gt;$CH$6,CH17&lt;=$CH$7),$CI17*(1+$CH$10*($CH$7-CH17)/365),0)</f>
        <v/>
      </c>
      <c r="CY17" s="51">
        <f>IF(CO17=1,$CI17/(1+($CH$111+손익!$B$24/10000)/2)^(CP17-1),0)</f>
        <v/>
      </c>
      <c r="CZ17" s="51">
        <f>IF(CO17=1,$CI17/(1+($CH$111+시나리오!$A$4/10000)/2)^(CP17-1),0)</f>
        <v/>
      </c>
      <c r="DA17" s="51">
        <f>IF(CO17=1,$CI17/(1+($CH$111+시나리오!$A$5/10000)/2)^(CP17-1),0)</f>
        <v/>
      </c>
      <c r="DB17" s="51">
        <f>IF(CO17=1,$CI17/(1+($CH$111+시나리오!$A$6/10000)/2)^(CP17-1),0)</f>
        <v/>
      </c>
      <c r="DC17" s="51">
        <f>IF(CO17=1,$CI17/(1+($CH$111+시나리오!$A$7/10000)/2)^(CP17-1),0)</f>
        <v/>
      </c>
      <c r="DD17" s="51">
        <f>IF(CO17=1,$CI17/(1+($CH$111+시나리오!$A$8/10000)/2)^(CP17-1),0)</f>
        <v/>
      </c>
      <c r="DE17" s="51">
        <f>IF(CO17=1,$CI17/(1+($CH$111+시나리오!$A$9/10000)/2)^(CP17-1),0)</f>
        <v/>
      </c>
      <c r="DF17" s="51">
        <f>IF(CO17=1,$CI17/(1+($CH$111+시나리오!$A$10/10000)/2)^(CP17-1),0)</f>
        <v/>
      </c>
      <c r="DG17" s="51">
        <f>IF(CO17=1,$CI17/(1+($CH$111+시나리오!$A$11/10000)/2)^(CP17-1),0)</f>
        <v/>
      </c>
      <c r="DH17" s="51">
        <f>IF(CO17=1,$CI17/(1+($CH$111+시나리오!$A$12/10000)/2)^(CP17-1),0)</f>
        <v/>
      </c>
      <c r="DI17" s="51">
        <f>IF(CO17=1,$CI17/(1+($CH$111+시나리오!$A$13/10000)/2)^(CP17-1),0)</f>
        <v/>
      </c>
      <c r="DJ17" s="51">
        <f>IF(CO17=1,$CI17/(1+($CH$111+시나리오!$A$14/10000)/2)^(CP17-1),0)</f>
        <v/>
      </c>
      <c r="DK17" s="51">
        <f>IF(CO17=1,$CI17/(1+($CH$111+시나리오!$A$15/10000)/2)^(CP17-1),0)</f>
        <v/>
      </c>
      <c r="DL17" s="51">
        <f>IF(CO17=1,$CI17/(1+($CH$111+시나리오!$A$16/10000)/2)^(CP17-1),0)</f>
        <v/>
      </c>
      <c r="DM17" s="51">
        <f>IF(CO17=1,$CI17/(1+($CH$111+시나리오!$A$17/10000)/2)^(CP17-1),0)</f>
        <v/>
      </c>
      <c r="DN17" s="51">
        <f>IF(CO17=1,$CI17/(1+($CH$111+시나리오!$A$18/10000)/2)^(CP17-1),0)</f>
        <v/>
      </c>
      <c r="DO17" s="51">
        <f>IF(CO17=1,$CI17/(1+($CH$111+시나리오!$A$19/10000)/2)^(CP17-1),0)</f>
        <v/>
      </c>
      <c r="DP17" s="51">
        <f>IF(CO17=1,$CI17/(1+($CH$111+시나리오!$A$20/10000)/2)^(CP17-1),0)</f>
        <v/>
      </c>
      <c r="DQ17" s="51">
        <f>IF(CO17=1,$CI17/(1+($CH$111+시나리오!$A$21/10000)/2)^(CP17-1),0)</f>
        <v/>
      </c>
      <c r="DR17" s="51">
        <f>IF(CO17=1,$CI17/(1+($CH$111+시나리오!$A$22/10000)/2)^(CP17-1),0)</f>
        <v/>
      </c>
      <c r="DS17" s="51">
        <f>IF(CO17=1,$CI17/(1+($CH$111+시나리오!$A$23/10000)/2)^(CP17-1),0)</f>
        <v/>
      </c>
      <c r="DT17" s="51">
        <f>IF(CO17=1,$CI17/(1+($CH$111+시나리오!$A$24/10000)/2)^(CP17-1),0)</f>
        <v/>
      </c>
    </row>
    <row r="18">
      <c r="A18" s="49" t="n">
        <v>4</v>
      </c>
      <c r="B18" s="50">
        <f>EDATE($B$2,-6*(62-$A18))</f>
        <v/>
      </c>
      <c r="C18" s="51">
        <f>IF(AND(B18&gt;$B$3,B18&lt;=$B$2),IF(B18=$B$2,$B$5+100,$B$5),0)</f>
        <v/>
      </c>
      <c r="D18" s="49">
        <f>IF(AND($C18&gt;0,B18&gt;$B$6),1,0)</f>
        <v/>
      </c>
      <c r="E18" s="49">
        <f>IF(D18=1,SUM($D$15:D18),"")</f>
        <v/>
      </c>
      <c r="F18" s="51">
        <f>IF(D18=1,$C18/(1+$B$8/2)^(E18-1),0)</f>
        <v/>
      </c>
      <c r="G18" s="51">
        <f>IF(D18=1,$C18/(1+($B$8+0.0001)/2)^(E18-1),0)</f>
        <v/>
      </c>
      <c r="H18" s="51">
        <f>IF(D18=1,$C18/(1+($B$8-0.0001)/2)^(E18-1),0)</f>
        <v/>
      </c>
      <c r="I18" s="49">
        <f>IF(AND($C18&gt;0,B18&gt;$B$7),1,0)</f>
        <v/>
      </c>
      <c r="J18" s="49">
        <f>IF(I18=1,SUM($I$15:I18),"")</f>
        <v/>
      </c>
      <c r="K18" s="51">
        <f>IF(I18=1,$C18/(1+$B$104/2)^(J18-1),0)</f>
        <v/>
      </c>
      <c r="L18" s="51">
        <f>IF(I18=1,$C18/(1+($B$104+0.0001)/2)^(J18-1),0)</f>
        <v/>
      </c>
      <c r="M18" s="51">
        <f>IF(I18=1,$C18/(1+($B$104-0.0001)/2)^(J18-1),0)</f>
        <v/>
      </c>
      <c r="N18" s="51">
        <f>IF(I18=1,$C18/(1+$B$109/2)^(J18-1),0)</f>
        <v/>
      </c>
      <c r="O18" s="51">
        <f>IF(I18=1,$C18/(1+$B$111/2)^(J18-1),0)</f>
        <v/>
      </c>
      <c r="P18" s="51">
        <f>IF(I18=1,$C18/(1+($B$111+0.0001)/2)^(J18-1),0)</f>
        <v/>
      </c>
      <c r="Q18" s="51">
        <f>IF(I18=1,$C18/(1+($B$111-0.0001)/2)^(J18-1),0)</f>
        <v/>
      </c>
      <c r="R18" s="51">
        <f>IF(AND($C18&gt;0,B18&gt;$B$6,B18&lt;=$B$7),$C18*(1+$B$10*($B$7-B18)/365),0)</f>
        <v/>
      </c>
      <c r="S18" s="51">
        <f>IF(I18=1,$C18/(1+($B$111+손익!$B$24/10000)/2)^(J18-1),0)</f>
        <v/>
      </c>
      <c r="T18" s="51">
        <f>IF(I18=1,$C18/(1+($B$111+시나리오!$A$4/10000)/2)^(J18-1),0)</f>
        <v/>
      </c>
      <c r="U18" s="51">
        <f>IF(I18=1,$C18/(1+($B$111+시나리오!$A$5/10000)/2)^(J18-1),0)</f>
        <v/>
      </c>
      <c r="V18" s="51">
        <f>IF(I18=1,$C18/(1+($B$111+시나리오!$A$6/10000)/2)^(J18-1),0)</f>
        <v/>
      </c>
      <c r="W18" s="51">
        <f>IF(I18=1,$C18/(1+($B$111+시나리오!$A$7/10000)/2)^(J18-1),0)</f>
        <v/>
      </c>
      <c r="X18" s="51">
        <f>IF(I18=1,$C18/(1+($B$111+시나리오!$A$8/10000)/2)^(J18-1),0)</f>
        <v/>
      </c>
      <c r="Y18" s="51">
        <f>IF(I18=1,$C18/(1+($B$111+시나리오!$A$9/10000)/2)^(J18-1),0)</f>
        <v/>
      </c>
      <c r="Z18" s="51">
        <f>IF(I18=1,$C18/(1+($B$111+시나리오!$A$10/10000)/2)^(J18-1),0)</f>
        <v/>
      </c>
      <c r="AA18" s="51">
        <f>IF(I18=1,$C18/(1+($B$111+시나리오!$A$11/10000)/2)^(J18-1),0)</f>
        <v/>
      </c>
      <c r="AB18" s="51">
        <f>IF(I18=1,$C18/(1+($B$111+시나리오!$A$12/10000)/2)^(J18-1),0)</f>
        <v/>
      </c>
      <c r="AC18" s="51">
        <f>IF(I18=1,$C18/(1+($B$111+시나리오!$A$13/10000)/2)^(J18-1),0)</f>
        <v/>
      </c>
      <c r="AD18" s="51">
        <f>IF(I18=1,$C18/(1+($B$111+시나리오!$A$14/10000)/2)^(J18-1),0)</f>
        <v/>
      </c>
      <c r="AE18" s="51">
        <f>IF(I18=1,$C18/(1+($B$111+시나리오!$A$15/10000)/2)^(J18-1),0)</f>
        <v/>
      </c>
      <c r="AF18" s="51">
        <f>IF(I18=1,$C18/(1+($B$111+시나리오!$A$16/10000)/2)^(J18-1),0)</f>
        <v/>
      </c>
      <c r="AG18" s="51">
        <f>IF(I18=1,$C18/(1+($B$111+시나리오!$A$17/10000)/2)^(J18-1),0)</f>
        <v/>
      </c>
      <c r="AH18" s="51">
        <f>IF(I18=1,$C18/(1+($B$111+시나리오!$A$18/10000)/2)^(J18-1),0)</f>
        <v/>
      </c>
      <c r="AI18" s="51">
        <f>IF(I18=1,$C18/(1+($B$111+시나리오!$A$19/10000)/2)^(J18-1),0)</f>
        <v/>
      </c>
      <c r="AJ18" s="51">
        <f>IF(I18=1,$C18/(1+($B$111+시나리오!$A$20/10000)/2)^(J18-1),0)</f>
        <v/>
      </c>
      <c r="AK18" s="51">
        <f>IF(I18=1,$C18/(1+($B$111+시나리오!$A$21/10000)/2)^(J18-1),0)</f>
        <v/>
      </c>
      <c r="AL18" s="51">
        <f>IF(I18=1,$C18/(1+($B$111+시나리오!$A$22/10000)/2)^(J18-1),0)</f>
        <v/>
      </c>
      <c r="AM18" s="51">
        <f>IF(I18=1,$C18/(1+($B$111+시나리오!$A$23/10000)/2)^(J18-1),0)</f>
        <v/>
      </c>
      <c r="AN18" s="51">
        <f>IF(I18=1,$C18/(1+($B$111+시나리오!$A$24/10000)/2)^(J18-1),0)</f>
        <v/>
      </c>
      <c r="AQ18" s="49" t="n">
        <v>4</v>
      </c>
      <c r="AR18" s="50">
        <f>EDATE($AR$2,-6*(62-$AQ18))</f>
        <v/>
      </c>
      <c r="AS18" s="51">
        <f>IF(AND(AR18&gt;$AR$3,AR18&lt;=$AR$2),IF(AR18=$AR$2,$AR$5+100,$AR$5),0)</f>
        <v/>
      </c>
      <c r="AT18" s="49">
        <f>IF(AND($AS18&gt;0,AR18&gt;$AR$6),1,0)</f>
        <v/>
      </c>
      <c r="AU18" s="49">
        <f>IF(AT18=1,SUM($AT$15:AT18),"")</f>
        <v/>
      </c>
      <c r="AV18" s="51">
        <f>IF(AT18=1,$AS18/(1+$AR$8/2)^(AU18-1),0)</f>
        <v/>
      </c>
      <c r="AW18" s="51">
        <f>IF(AT18=1,$AS18/(1+($AR$8+0.0001)/2)^(AU18-1),0)</f>
        <v/>
      </c>
      <c r="AX18" s="51">
        <f>IF(AT18=1,$AS18/(1+($AR$8-0.0001)/2)^(AU18-1),0)</f>
        <v/>
      </c>
      <c r="AY18" s="49">
        <f>IF(AND($AS18&gt;0,AR18&gt;$AR$7),1,0)</f>
        <v/>
      </c>
      <c r="AZ18" s="49">
        <f>IF(AY18=1,SUM($AY$15:AY18),"")</f>
        <v/>
      </c>
      <c r="BA18" s="51">
        <f>IF(AY18=1,$AS18/(1+$AR$104/2)^(AZ18-1),0)</f>
        <v/>
      </c>
      <c r="BB18" s="51">
        <f>IF(AY18=1,$AS18/(1+($AR$104+0.0001)/2)^(AZ18-1),0)</f>
        <v/>
      </c>
      <c r="BC18" s="51">
        <f>IF(AY18=1,$AS18/(1+($AR$104-0.0001)/2)^(AZ18-1),0)</f>
        <v/>
      </c>
      <c r="BD18" s="51">
        <f>IF(AY18=1,$AS18/(1+$AR$109/2)^(AZ18-1),0)</f>
        <v/>
      </c>
      <c r="BE18" s="51">
        <f>IF(AY18=1,$AS18/(1+$AR$111/2)^(AZ18-1),0)</f>
        <v/>
      </c>
      <c r="BF18" s="51">
        <f>IF(AY18=1,$AS18/(1+($AR$111+0.0001)/2)^(AZ18-1),0)</f>
        <v/>
      </c>
      <c r="BG18" s="51">
        <f>IF(AY18=1,$AS18/(1+($AR$111-0.0001)/2)^(AZ18-1),0)</f>
        <v/>
      </c>
      <c r="BH18" s="51">
        <f>IF(AND($AS18&gt;0,AR18&gt;$AR$6,AR18&lt;=$AR$7),$AS18*(1+$AR$10*($AR$7-AR18)/365),0)</f>
        <v/>
      </c>
      <c r="BI18" s="51">
        <f>IF(AY18=1,$AS18/(1+($AR$111+손익!$B$24/10000)/2)^(AZ18-1),0)</f>
        <v/>
      </c>
      <c r="BJ18" s="51">
        <f>IF(AY18=1,$AS18/(1+($AR$111+시나리오!$A$4/10000)/2)^(AZ18-1),0)</f>
        <v/>
      </c>
      <c r="BK18" s="51">
        <f>IF(AY18=1,$AS18/(1+($AR$111+시나리오!$A$5/10000)/2)^(AZ18-1),0)</f>
        <v/>
      </c>
      <c r="BL18" s="51">
        <f>IF(AY18=1,$AS18/(1+($AR$111+시나리오!$A$6/10000)/2)^(AZ18-1),0)</f>
        <v/>
      </c>
      <c r="BM18" s="51">
        <f>IF(AY18=1,$AS18/(1+($AR$111+시나리오!$A$7/10000)/2)^(AZ18-1),0)</f>
        <v/>
      </c>
      <c r="BN18" s="51">
        <f>IF(AY18=1,$AS18/(1+($AR$111+시나리오!$A$8/10000)/2)^(AZ18-1),0)</f>
        <v/>
      </c>
      <c r="BO18" s="51">
        <f>IF(AY18=1,$AS18/(1+($AR$111+시나리오!$A$9/10000)/2)^(AZ18-1),0)</f>
        <v/>
      </c>
      <c r="BP18" s="51">
        <f>IF(AY18=1,$AS18/(1+($AR$111+시나리오!$A$10/10000)/2)^(AZ18-1),0)</f>
        <v/>
      </c>
      <c r="BQ18" s="51">
        <f>IF(AY18=1,$AS18/(1+($AR$111+시나리오!$A$11/10000)/2)^(AZ18-1),0)</f>
        <v/>
      </c>
      <c r="BR18" s="51">
        <f>IF(AY18=1,$AS18/(1+($AR$111+시나리오!$A$12/10000)/2)^(AZ18-1),0)</f>
        <v/>
      </c>
      <c r="BS18" s="51">
        <f>IF(AY18=1,$AS18/(1+($AR$111+시나리오!$A$13/10000)/2)^(AZ18-1),0)</f>
        <v/>
      </c>
      <c r="BT18" s="51">
        <f>IF(AY18=1,$AS18/(1+($AR$111+시나리오!$A$14/10000)/2)^(AZ18-1),0)</f>
        <v/>
      </c>
      <c r="BU18" s="51">
        <f>IF(AY18=1,$AS18/(1+($AR$111+시나리오!$A$15/10000)/2)^(AZ18-1),0)</f>
        <v/>
      </c>
      <c r="BV18" s="51">
        <f>IF(AY18=1,$AS18/(1+($AR$111+시나리오!$A$16/10000)/2)^(AZ18-1),0)</f>
        <v/>
      </c>
      <c r="BW18" s="51">
        <f>IF(AY18=1,$AS18/(1+($AR$111+시나리오!$A$17/10000)/2)^(AZ18-1),0)</f>
        <v/>
      </c>
      <c r="BX18" s="51">
        <f>IF(AY18=1,$AS18/(1+($AR$111+시나리오!$A$18/10000)/2)^(AZ18-1),0)</f>
        <v/>
      </c>
      <c r="BY18" s="51">
        <f>IF(AY18=1,$AS18/(1+($AR$111+시나리오!$A$19/10000)/2)^(AZ18-1),0)</f>
        <v/>
      </c>
      <c r="BZ18" s="51">
        <f>IF(AY18=1,$AS18/(1+($AR$111+시나리오!$A$20/10000)/2)^(AZ18-1),0)</f>
        <v/>
      </c>
      <c r="CA18" s="51">
        <f>IF(AY18=1,$AS18/(1+($AR$111+시나리오!$A$21/10000)/2)^(AZ18-1),0)</f>
        <v/>
      </c>
      <c r="CB18" s="51">
        <f>IF(AY18=1,$AS18/(1+($AR$111+시나리오!$A$22/10000)/2)^(AZ18-1),0)</f>
        <v/>
      </c>
      <c r="CC18" s="51">
        <f>IF(AY18=1,$AS18/(1+($AR$111+시나리오!$A$23/10000)/2)^(AZ18-1),0)</f>
        <v/>
      </c>
      <c r="CD18" s="51">
        <f>IF(AY18=1,$AS18/(1+($AR$111+시나리오!$A$24/10000)/2)^(AZ18-1),0)</f>
        <v/>
      </c>
      <c r="CG18" s="49" t="n">
        <v>4</v>
      </c>
      <c r="CH18" s="50">
        <f>EDATE($CH$2,-6*(62-$CG18))</f>
        <v/>
      </c>
      <c r="CI18" s="51">
        <f>IF(AND(CH18&gt;$CH$3,CH18&lt;=$CH$2),IF(CH18=$CH$2,$CH$5+100,$CH$5),0)</f>
        <v/>
      </c>
      <c r="CJ18" s="49">
        <f>IF(AND($CI18&gt;0,CH18&gt;$CH$6),1,0)</f>
        <v/>
      </c>
      <c r="CK18" s="49">
        <f>IF(CJ18=1,SUM($CJ$15:CJ18),"")</f>
        <v/>
      </c>
      <c r="CL18" s="51">
        <f>IF(CJ18=1,$CI18/(1+$CH$8/2)^(CK18-1),0)</f>
        <v/>
      </c>
      <c r="CM18" s="51">
        <f>IF(CJ18=1,$CI18/(1+($CH$8+0.0001)/2)^(CK18-1),0)</f>
        <v/>
      </c>
      <c r="CN18" s="51">
        <f>IF(CJ18=1,$CI18/(1+($CH$8-0.0001)/2)^(CK18-1),0)</f>
        <v/>
      </c>
      <c r="CO18" s="49">
        <f>IF(AND($CI18&gt;0,CH18&gt;$CH$7),1,0)</f>
        <v/>
      </c>
      <c r="CP18" s="49">
        <f>IF(CO18=1,SUM($CO$15:CO18),"")</f>
        <v/>
      </c>
      <c r="CQ18" s="51">
        <f>IF(CO18=1,$CI18/(1+$CH$104/2)^(CP18-1),0)</f>
        <v/>
      </c>
      <c r="CR18" s="51">
        <f>IF(CO18=1,$CI18/(1+($CH$104+0.0001)/2)^(CP18-1),0)</f>
        <v/>
      </c>
      <c r="CS18" s="51">
        <f>IF(CO18=1,$CI18/(1+($CH$104-0.0001)/2)^(CP18-1),0)</f>
        <v/>
      </c>
      <c r="CT18" s="51">
        <f>IF(CO18=1,$CI18/(1+$CH$109/2)^(CP18-1),0)</f>
        <v/>
      </c>
      <c r="CU18" s="51">
        <f>IF(CO18=1,$CI18/(1+$CH$111/2)^(CP18-1),0)</f>
        <v/>
      </c>
      <c r="CV18" s="51">
        <f>IF(CO18=1,$CI18/(1+($CH$111+0.0001)/2)^(CP18-1),0)</f>
        <v/>
      </c>
      <c r="CW18" s="51">
        <f>IF(CO18=1,$CI18/(1+($CH$111-0.0001)/2)^(CP18-1),0)</f>
        <v/>
      </c>
      <c r="CX18" s="51">
        <f>IF(AND($CI18&gt;0,CH18&gt;$CH$6,CH18&lt;=$CH$7),$CI18*(1+$CH$10*($CH$7-CH18)/365),0)</f>
        <v/>
      </c>
      <c r="CY18" s="51">
        <f>IF(CO18=1,$CI18/(1+($CH$111+손익!$B$24/10000)/2)^(CP18-1),0)</f>
        <v/>
      </c>
      <c r="CZ18" s="51">
        <f>IF(CO18=1,$CI18/(1+($CH$111+시나리오!$A$4/10000)/2)^(CP18-1),0)</f>
        <v/>
      </c>
      <c r="DA18" s="51">
        <f>IF(CO18=1,$CI18/(1+($CH$111+시나리오!$A$5/10000)/2)^(CP18-1),0)</f>
        <v/>
      </c>
      <c r="DB18" s="51">
        <f>IF(CO18=1,$CI18/(1+($CH$111+시나리오!$A$6/10000)/2)^(CP18-1),0)</f>
        <v/>
      </c>
      <c r="DC18" s="51">
        <f>IF(CO18=1,$CI18/(1+($CH$111+시나리오!$A$7/10000)/2)^(CP18-1),0)</f>
        <v/>
      </c>
      <c r="DD18" s="51">
        <f>IF(CO18=1,$CI18/(1+($CH$111+시나리오!$A$8/10000)/2)^(CP18-1),0)</f>
        <v/>
      </c>
      <c r="DE18" s="51">
        <f>IF(CO18=1,$CI18/(1+($CH$111+시나리오!$A$9/10000)/2)^(CP18-1),0)</f>
        <v/>
      </c>
      <c r="DF18" s="51">
        <f>IF(CO18=1,$CI18/(1+($CH$111+시나리오!$A$10/10000)/2)^(CP18-1),0)</f>
        <v/>
      </c>
      <c r="DG18" s="51">
        <f>IF(CO18=1,$CI18/(1+($CH$111+시나리오!$A$11/10000)/2)^(CP18-1),0)</f>
        <v/>
      </c>
      <c r="DH18" s="51">
        <f>IF(CO18=1,$CI18/(1+($CH$111+시나리오!$A$12/10000)/2)^(CP18-1),0)</f>
        <v/>
      </c>
      <c r="DI18" s="51">
        <f>IF(CO18=1,$CI18/(1+($CH$111+시나리오!$A$13/10000)/2)^(CP18-1),0)</f>
        <v/>
      </c>
      <c r="DJ18" s="51">
        <f>IF(CO18=1,$CI18/(1+($CH$111+시나리오!$A$14/10000)/2)^(CP18-1),0)</f>
        <v/>
      </c>
      <c r="DK18" s="51">
        <f>IF(CO18=1,$CI18/(1+($CH$111+시나리오!$A$15/10000)/2)^(CP18-1),0)</f>
        <v/>
      </c>
      <c r="DL18" s="51">
        <f>IF(CO18=1,$CI18/(1+($CH$111+시나리오!$A$16/10000)/2)^(CP18-1),0)</f>
        <v/>
      </c>
      <c r="DM18" s="51">
        <f>IF(CO18=1,$CI18/(1+($CH$111+시나리오!$A$17/10000)/2)^(CP18-1),0)</f>
        <v/>
      </c>
      <c r="DN18" s="51">
        <f>IF(CO18=1,$CI18/(1+($CH$111+시나리오!$A$18/10000)/2)^(CP18-1),0)</f>
        <v/>
      </c>
      <c r="DO18" s="51">
        <f>IF(CO18=1,$CI18/(1+($CH$111+시나리오!$A$19/10000)/2)^(CP18-1),0)</f>
        <v/>
      </c>
      <c r="DP18" s="51">
        <f>IF(CO18=1,$CI18/(1+($CH$111+시나리오!$A$20/10000)/2)^(CP18-1),0)</f>
        <v/>
      </c>
      <c r="DQ18" s="51">
        <f>IF(CO18=1,$CI18/(1+($CH$111+시나리오!$A$21/10000)/2)^(CP18-1),0)</f>
        <v/>
      </c>
      <c r="DR18" s="51">
        <f>IF(CO18=1,$CI18/(1+($CH$111+시나리오!$A$22/10000)/2)^(CP18-1),0)</f>
        <v/>
      </c>
      <c r="DS18" s="51">
        <f>IF(CO18=1,$CI18/(1+($CH$111+시나리오!$A$23/10000)/2)^(CP18-1),0)</f>
        <v/>
      </c>
      <c r="DT18" s="51">
        <f>IF(CO18=1,$CI18/(1+($CH$111+시나리오!$A$24/10000)/2)^(CP18-1),0)</f>
        <v/>
      </c>
    </row>
    <row r="19">
      <c r="A19" s="49" t="n">
        <v>5</v>
      </c>
      <c r="B19" s="50">
        <f>EDATE($B$2,-6*(62-$A19))</f>
        <v/>
      </c>
      <c r="C19" s="51">
        <f>IF(AND(B19&gt;$B$3,B19&lt;=$B$2),IF(B19=$B$2,$B$5+100,$B$5),0)</f>
        <v/>
      </c>
      <c r="D19" s="49">
        <f>IF(AND($C19&gt;0,B19&gt;$B$6),1,0)</f>
        <v/>
      </c>
      <c r="E19" s="49">
        <f>IF(D19=1,SUM($D$15:D19),"")</f>
        <v/>
      </c>
      <c r="F19" s="51">
        <f>IF(D19=1,$C19/(1+$B$8/2)^(E19-1),0)</f>
        <v/>
      </c>
      <c r="G19" s="51">
        <f>IF(D19=1,$C19/(1+($B$8+0.0001)/2)^(E19-1),0)</f>
        <v/>
      </c>
      <c r="H19" s="51">
        <f>IF(D19=1,$C19/(1+($B$8-0.0001)/2)^(E19-1),0)</f>
        <v/>
      </c>
      <c r="I19" s="49">
        <f>IF(AND($C19&gt;0,B19&gt;$B$7),1,0)</f>
        <v/>
      </c>
      <c r="J19" s="49">
        <f>IF(I19=1,SUM($I$15:I19),"")</f>
        <v/>
      </c>
      <c r="K19" s="51">
        <f>IF(I19=1,$C19/(1+$B$104/2)^(J19-1),0)</f>
        <v/>
      </c>
      <c r="L19" s="51">
        <f>IF(I19=1,$C19/(1+($B$104+0.0001)/2)^(J19-1),0)</f>
        <v/>
      </c>
      <c r="M19" s="51">
        <f>IF(I19=1,$C19/(1+($B$104-0.0001)/2)^(J19-1),0)</f>
        <v/>
      </c>
      <c r="N19" s="51">
        <f>IF(I19=1,$C19/(1+$B$109/2)^(J19-1),0)</f>
        <v/>
      </c>
      <c r="O19" s="51">
        <f>IF(I19=1,$C19/(1+$B$111/2)^(J19-1),0)</f>
        <v/>
      </c>
      <c r="P19" s="51">
        <f>IF(I19=1,$C19/(1+($B$111+0.0001)/2)^(J19-1),0)</f>
        <v/>
      </c>
      <c r="Q19" s="51">
        <f>IF(I19=1,$C19/(1+($B$111-0.0001)/2)^(J19-1),0)</f>
        <v/>
      </c>
      <c r="R19" s="51">
        <f>IF(AND($C19&gt;0,B19&gt;$B$6,B19&lt;=$B$7),$C19*(1+$B$10*($B$7-B19)/365),0)</f>
        <v/>
      </c>
      <c r="S19" s="51">
        <f>IF(I19=1,$C19/(1+($B$111+손익!$B$24/10000)/2)^(J19-1),0)</f>
        <v/>
      </c>
      <c r="T19" s="51">
        <f>IF(I19=1,$C19/(1+($B$111+시나리오!$A$4/10000)/2)^(J19-1),0)</f>
        <v/>
      </c>
      <c r="U19" s="51">
        <f>IF(I19=1,$C19/(1+($B$111+시나리오!$A$5/10000)/2)^(J19-1),0)</f>
        <v/>
      </c>
      <c r="V19" s="51">
        <f>IF(I19=1,$C19/(1+($B$111+시나리오!$A$6/10000)/2)^(J19-1),0)</f>
        <v/>
      </c>
      <c r="W19" s="51">
        <f>IF(I19=1,$C19/(1+($B$111+시나리오!$A$7/10000)/2)^(J19-1),0)</f>
        <v/>
      </c>
      <c r="X19" s="51">
        <f>IF(I19=1,$C19/(1+($B$111+시나리오!$A$8/10000)/2)^(J19-1),0)</f>
        <v/>
      </c>
      <c r="Y19" s="51">
        <f>IF(I19=1,$C19/(1+($B$111+시나리오!$A$9/10000)/2)^(J19-1),0)</f>
        <v/>
      </c>
      <c r="Z19" s="51">
        <f>IF(I19=1,$C19/(1+($B$111+시나리오!$A$10/10000)/2)^(J19-1),0)</f>
        <v/>
      </c>
      <c r="AA19" s="51">
        <f>IF(I19=1,$C19/(1+($B$111+시나리오!$A$11/10000)/2)^(J19-1),0)</f>
        <v/>
      </c>
      <c r="AB19" s="51">
        <f>IF(I19=1,$C19/(1+($B$111+시나리오!$A$12/10000)/2)^(J19-1),0)</f>
        <v/>
      </c>
      <c r="AC19" s="51">
        <f>IF(I19=1,$C19/(1+($B$111+시나리오!$A$13/10000)/2)^(J19-1),0)</f>
        <v/>
      </c>
      <c r="AD19" s="51">
        <f>IF(I19=1,$C19/(1+($B$111+시나리오!$A$14/10000)/2)^(J19-1),0)</f>
        <v/>
      </c>
      <c r="AE19" s="51">
        <f>IF(I19=1,$C19/(1+($B$111+시나리오!$A$15/10000)/2)^(J19-1),0)</f>
        <v/>
      </c>
      <c r="AF19" s="51">
        <f>IF(I19=1,$C19/(1+($B$111+시나리오!$A$16/10000)/2)^(J19-1),0)</f>
        <v/>
      </c>
      <c r="AG19" s="51">
        <f>IF(I19=1,$C19/(1+($B$111+시나리오!$A$17/10000)/2)^(J19-1),0)</f>
        <v/>
      </c>
      <c r="AH19" s="51">
        <f>IF(I19=1,$C19/(1+($B$111+시나리오!$A$18/10000)/2)^(J19-1),0)</f>
        <v/>
      </c>
      <c r="AI19" s="51">
        <f>IF(I19=1,$C19/(1+($B$111+시나리오!$A$19/10000)/2)^(J19-1),0)</f>
        <v/>
      </c>
      <c r="AJ19" s="51">
        <f>IF(I19=1,$C19/(1+($B$111+시나리오!$A$20/10000)/2)^(J19-1),0)</f>
        <v/>
      </c>
      <c r="AK19" s="51">
        <f>IF(I19=1,$C19/(1+($B$111+시나리오!$A$21/10000)/2)^(J19-1),0)</f>
        <v/>
      </c>
      <c r="AL19" s="51">
        <f>IF(I19=1,$C19/(1+($B$111+시나리오!$A$22/10000)/2)^(J19-1),0)</f>
        <v/>
      </c>
      <c r="AM19" s="51">
        <f>IF(I19=1,$C19/(1+($B$111+시나리오!$A$23/10000)/2)^(J19-1),0)</f>
        <v/>
      </c>
      <c r="AN19" s="51">
        <f>IF(I19=1,$C19/(1+($B$111+시나리오!$A$24/10000)/2)^(J19-1),0)</f>
        <v/>
      </c>
      <c r="AQ19" s="49" t="n">
        <v>5</v>
      </c>
      <c r="AR19" s="50">
        <f>EDATE($AR$2,-6*(62-$AQ19))</f>
        <v/>
      </c>
      <c r="AS19" s="51">
        <f>IF(AND(AR19&gt;$AR$3,AR19&lt;=$AR$2),IF(AR19=$AR$2,$AR$5+100,$AR$5),0)</f>
        <v/>
      </c>
      <c r="AT19" s="49">
        <f>IF(AND($AS19&gt;0,AR19&gt;$AR$6),1,0)</f>
        <v/>
      </c>
      <c r="AU19" s="49">
        <f>IF(AT19=1,SUM($AT$15:AT19),"")</f>
        <v/>
      </c>
      <c r="AV19" s="51">
        <f>IF(AT19=1,$AS19/(1+$AR$8/2)^(AU19-1),0)</f>
        <v/>
      </c>
      <c r="AW19" s="51">
        <f>IF(AT19=1,$AS19/(1+($AR$8+0.0001)/2)^(AU19-1),0)</f>
        <v/>
      </c>
      <c r="AX19" s="51">
        <f>IF(AT19=1,$AS19/(1+($AR$8-0.0001)/2)^(AU19-1),0)</f>
        <v/>
      </c>
      <c r="AY19" s="49">
        <f>IF(AND($AS19&gt;0,AR19&gt;$AR$7),1,0)</f>
        <v/>
      </c>
      <c r="AZ19" s="49">
        <f>IF(AY19=1,SUM($AY$15:AY19),"")</f>
        <v/>
      </c>
      <c r="BA19" s="51">
        <f>IF(AY19=1,$AS19/(1+$AR$104/2)^(AZ19-1),0)</f>
        <v/>
      </c>
      <c r="BB19" s="51">
        <f>IF(AY19=1,$AS19/(1+($AR$104+0.0001)/2)^(AZ19-1),0)</f>
        <v/>
      </c>
      <c r="BC19" s="51">
        <f>IF(AY19=1,$AS19/(1+($AR$104-0.0001)/2)^(AZ19-1),0)</f>
        <v/>
      </c>
      <c r="BD19" s="51">
        <f>IF(AY19=1,$AS19/(1+$AR$109/2)^(AZ19-1),0)</f>
        <v/>
      </c>
      <c r="BE19" s="51">
        <f>IF(AY19=1,$AS19/(1+$AR$111/2)^(AZ19-1),0)</f>
        <v/>
      </c>
      <c r="BF19" s="51">
        <f>IF(AY19=1,$AS19/(1+($AR$111+0.0001)/2)^(AZ19-1),0)</f>
        <v/>
      </c>
      <c r="BG19" s="51">
        <f>IF(AY19=1,$AS19/(1+($AR$111-0.0001)/2)^(AZ19-1),0)</f>
        <v/>
      </c>
      <c r="BH19" s="51">
        <f>IF(AND($AS19&gt;0,AR19&gt;$AR$6,AR19&lt;=$AR$7),$AS19*(1+$AR$10*($AR$7-AR19)/365),0)</f>
        <v/>
      </c>
      <c r="BI19" s="51">
        <f>IF(AY19=1,$AS19/(1+($AR$111+손익!$B$24/10000)/2)^(AZ19-1),0)</f>
        <v/>
      </c>
      <c r="BJ19" s="51">
        <f>IF(AY19=1,$AS19/(1+($AR$111+시나리오!$A$4/10000)/2)^(AZ19-1),0)</f>
        <v/>
      </c>
      <c r="BK19" s="51">
        <f>IF(AY19=1,$AS19/(1+($AR$111+시나리오!$A$5/10000)/2)^(AZ19-1),0)</f>
        <v/>
      </c>
      <c r="BL19" s="51">
        <f>IF(AY19=1,$AS19/(1+($AR$111+시나리오!$A$6/10000)/2)^(AZ19-1),0)</f>
        <v/>
      </c>
      <c r="BM19" s="51">
        <f>IF(AY19=1,$AS19/(1+($AR$111+시나리오!$A$7/10000)/2)^(AZ19-1),0)</f>
        <v/>
      </c>
      <c r="BN19" s="51">
        <f>IF(AY19=1,$AS19/(1+($AR$111+시나리오!$A$8/10000)/2)^(AZ19-1),0)</f>
        <v/>
      </c>
      <c r="BO19" s="51">
        <f>IF(AY19=1,$AS19/(1+($AR$111+시나리오!$A$9/10000)/2)^(AZ19-1),0)</f>
        <v/>
      </c>
      <c r="BP19" s="51">
        <f>IF(AY19=1,$AS19/(1+($AR$111+시나리오!$A$10/10000)/2)^(AZ19-1),0)</f>
        <v/>
      </c>
      <c r="BQ19" s="51">
        <f>IF(AY19=1,$AS19/(1+($AR$111+시나리오!$A$11/10000)/2)^(AZ19-1),0)</f>
        <v/>
      </c>
      <c r="BR19" s="51">
        <f>IF(AY19=1,$AS19/(1+($AR$111+시나리오!$A$12/10000)/2)^(AZ19-1),0)</f>
        <v/>
      </c>
      <c r="BS19" s="51">
        <f>IF(AY19=1,$AS19/(1+($AR$111+시나리오!$A$13/10000)/2)^(AZ19-1),0)</f>
        <v/>
      </c>
      <c r="BT19" s="51">
        <f>IF(AY19=1,$AS19/(1+($AR$111+시나리오!$A$14/10000)/2)^(AZ19-1),0)</f>
        <v/>
      </c>
      <c r="BU19" s="51">
        <f>IF(AY19=1,$AS19/(1+($AR$111+시나리오!$A$15/10000)/2)^(AZ19-1),0)</f>
        <v/>
      </c>
      <c r="BV19" s="51">
        <f>IF(AY19=1,$AS19/(1+($AR$111+시나리오!$A$16/10000)/2)^(AZ19-1),0)</f>
        <v/>
      </c>
      <c r="BW19" s="51">
        <f>IF(AY19=1,$AS19/(1+($AR$111+시나리오!$A$17/10000)/2)^(AZ19-1),0)</f>
        <v/>
      </c>
      <c r="BX19" s="51">
        <f>IF(AY19=1,$AS19/(1+($AR$111+시나리오!$A$18/10000)/2)^(AZ19-1),0)</f>
        <v/>
      </c>
      <c r="BY19" s="51">
        <f>IF(AY19=1,$AS19/(1+($AR$111+시나리오!$A$19/10000)/2)^(AZ19-1),0)</f>
        <v/>
      </c>
      <c r="BZ19" s="51">
        <f>IF(AY19=1,$AS19/(1+($AR$111+시나리오!$A$20/10000)/2)^(AZ19-1),0)</f>
        <v/>
      </c>
      <c r="CA19" s="51">
        <f>IF(AY19=1,$AS19/(1+($AR$111+시나리오!$A$21/10000)/2)^(AZ19-1),0)</f>
        <v/>
      </c>
      <c r="CB19" s="51">
        <f>IF(AY19=1,$AS19/(1+($AR$111+시나리오!$A$22/10000)/2)^(AZ19-1),0)</f>
        <v/>
      </c>
      <c r="CC19" s="51">
        <f>IF(AY19=1,$AS19/(1+($AR$111+시나리오!$A$23/10000)/2)^(AZ19-1),0)</f>
        <v/>
      </c>
      <c r="CD19" s="51">
        <f>IF(AY19=1,$AS19/(1+($AR$111+시나리오!$A$24/10000)/2)^(AZ19-1),0)</f>
        <v/>
      </c>
      <c r="CG19" s="49" t="n">
        <v>5</v>
      </c>
      <c r="CH19" s="50">
        <f>EDATE($CH$2,-6*(62-$CG19))</f>
        <v/>
      </c>
      <c r="CI19" s="51">
        <f>IF(AND(CH19&gt;$CH$3,CH19&lt;=$CH$2),IF(CH19=$CH$2,$CH$5+100,$CH$5),0)</f>
        <v/>
      </c>
      <c r="CJ19" s="49">
        <f>IF(AND($CI19&gt;0,CH19&gt;$CH$6),1,0)</f>
        <v/>
      </c>
      <c r="CK19" s="49">
        <f>IF(CJ19=1,SUM($CJ$15:CJ19),"")</f>
        <v/>
      </c>
      <c r="CL19" s="51">
        <f>IF(CJ19=1,$CI19/(1+$CH$8/2)^(CK19-1),0)</f>
        <v/>
      </c>
      <c r="CM19" s="51">
        <f>IF(CJ19=1,$CI19/(1+($CH$8+0.0001)/2)^(CK19-1),0)</f>
        <v/>
      </c>
      <c r="CN19" s="51">
        <f>IF(CJ19=1,$CI19/(1+($CH$8-0.0001)/2)^(CK19-1),0)</f>
        <v/>
      </c>
      <c r="CO19" s="49">
        <f>IF(AND($CI19&gt;0,CH19&gt;$CH$7),1,0)</f>
        <v/>
      </c>
      <c r="CP19" s="49">
        <f>IF(CO19=1,SUM($CO$15:CO19),"")</f>
        <v/>
      </c>
      <c r="CQ19" s="51">
        <f>IF(CO19=1,$CI19/(1+$CH$104/2)^(CP19-1),0)</f>
        <v/>
      </c>
      <c r="CR19" s="51">
        <f>IF(CO19=1,$CI19/(1+($CH$104+0.0001)/2)^(CP19-1),0)</f>
        <v/>
      </c>
      <c r="CS19" s="51">
        <f>IF(CO19=1,$CI19/(1+($CH$104-0.0001)/2)^(CP19-1),0)</f>
        <v/>
      </c>
      <c r="CT19" s="51">
        <f>IF(CO19=1,$CI19/(1+$CH$109/2)^(CP19-1),0)</f>
        <v/>
      </c>
      <c r="CU19" s="51">
        <f>IF(CO19=1,$CI19/(1+$CH$111/2)^(CP19-1),0)</f>
        <v/>
      </c>
      <c r="CV19" s="51">
        <f>IF(CO19=1,$CI19/(1+($CH$111+0.0001)/2)^(CP19-1),0)</f>
        <v/>
      </c>
      <c r="CW19" s="51">
        <f>IF(CO19=1,$CI19/(1+($CH$111-0.0001)/2)^(CP19-1),0)</f>
        <v/>
      </c>
      <c r="CX19" s="51">
        <f>IF(AND($CI19&gt;0,CH19&gt;$CH$6,CH19&lt;=$CH$7),$CI19*(1+$CH$10*($CH$7-CH19)/365),0)</f>
        <v/>
      </c>
      <c r="CY19" s="51">
        <f>IF(CO19=1,$CI19/(1+($CH$111+손익!$B$24/10000)/2)^(CP19-1),0)</f>
        <v/>
      </c>
      <c r="CZ19" s="51">
        <f>IF(CO19=1,$CI19/(1+($CH$111+시나리오!$A$4/10000)/2)^(CP19-1),0)</f>
        <v/>
      </c>
      <c r="DA19" s="51">
        <f>IF(CO19=1,$CI19/(1+($CH$111+시나리오!$A$5/10000)/2)^(CP19-1),0)</f>
        <v/>
      </c>
      <c r="DB19" s="51">
        <f>IF(CO19=1,$CI19/(1+($CH$111+시나리오!$A$6/10000)/2)^(CP19-1),0)</f>
        <v/>
      </c>
      <c r="DC19" s="51">
        <f>IF(CO19=1,$CI19/(1+($CH$111+시나리오!$A$7/10000)/2)^(CP19-1),0)</f>
        <v/>
      </c>
      <c r="DD19" s="51">
        <f>IF(CO19=1,$CI19/(1+($CH$111+시나리오!$A$8/10000)/2)^(CP19-1),0)</f>
        <v/>
      </c>
      <c r="DE19" s="51">
        <f>IF(CO19=1,$CI19/(1+($CH$111+시나리오!$A$9/10000)/2)^(CP19-1),0)</f>
        <v/>
      </c>
      <c r="DF19" s="51">
        <f>IF(CO19=1,$CI19/(1+($CH$111+시나리오!$A$10/10000)/2)^(CP19-1),0)</f>
        <v/>
      </c>
      <c r="DG19" s="51">
        <f>IF(CO19=1,$CI19/(1+($CH$111+시나리오!$A$11/10000)/2)^(CP19-1),0)</f>
        <v/>
      </c>
      <c r="DH19" s="51">
        <f>IF(CO19=1,$CI19/(1+($CH$111+시나리오!$A$12/10000)/2)^(CP19-1),0)</f>
        <v/>
      </c>
      <c r="DI19" s="51">
        <f>IF(CO19=1,$CI19/(1+($CH$111+시나리오!$A$13/10000)/2)^(CP19-1),0)</f>
        <v/>
      </c>
      <c r="DJ19" s="51">
        <f>IF(CO19=1,$CI19/(1+($CH$111+시나리오!$A$14/10000)/2)^(CP19-1),0)</f>
        <v/>
      </c>
      <c r="DK19" s="51">
        <f>IF(CO19=1,$CI19/(1+($CH$111+시나리오!$A$15/10000)/2)^(CP19-1),0)</f>
        <v/>
      </c>
      <c r="DL19" s="51">
        <f>IF(CO19=1,$CI19/(1+($CH$111+시나리오!$A$16/10000)/2)^(CP19-1),0)</f>
        <v/>
      </c>
      <c r="DM19" s="51">
        <f>IF(CO19=1,$CI19/(1+($CH$111+시나리오!$A$17/10000)/2)^(CP19-1),0)</f>
        <v/>
      </c>
      <c r="DN19" s="51">
        <f>IF(CO19=1,$CI19/(1+($CH$111+시나리오!$A$18/10000)/2)^(CP19-1),0)</f>
        <v/>
      </c>
      <c r="DO19" s="51">
        <f>IF(CO19=1,$CI19/(1+($CH$111+시나리오!$A$19/10000)/2)^(CP19-1),0)</f>
        <v/>
      </c>
      <c r="DP19" s="51">
        <f>IF(CO19=1,$CI19/(1+($CH$111+시나리오!$A$20/10000)/2)^(CP19-1),0)</f>
        <v/>
      </c>
      <c r="DQ19" s="51">
        <f>IF(CO19=1,$CI19/(1+($CH$111+시나리오!$A$21/10000)/2)^(CP19-1),0)</f>
        <v/>
      </c>
      <c r="DR19" s="51">
        <f>IF(CO19=1,$CI19/(1+($CH$111+시나리오!$A$22/10000)/2)^(CP19-1),0)</f>
        <v/>
      </c>
      <c r="DS19" s="51">
        <f>IF(CO19=1,$CI19/(1+($CH$111+시나리오!$A$23/10000)/2)^(CP19-1),0)</f>
        <v/>
      </c>
      <c r="DT19" s="51">
        <f>IF(CO19=1,$CI19/(1+($CH$111+시나리오!$A$24/10000)/2)^(CP19-1),0)</f>
        <v/>
      </c>
    </row>
    <row r="20">
      <c r="A20" s="49" t="n">
        <v>6</v>
      </c>
      <c r="B20" s="50">
        <f>EDATE($B$2,-6*(62-$A20))</f>
        <v/>
      </c>
      <c r="C20" s="51">
        <f>IF(AND(B20&gt;$B$3,B20&lt;=$B$2),IF(B20=$B$2,$B$5+100,$B$5),0)</f>
        <v/>
      </c>
      <c r="D20" s="49">
        <f>IF(AND($C20&gt;0,B20&gt;$B$6),1,0)</f>
        <v/>
      </c>
      <c r="E20" s="49">
        <f>IF(D20=1,SUM($D$15:D20),"")</f>
        <v/>
      </c>
      <c r="F20" s="51">
        <f>IF(D20=1,$C20/(1+$B$8/2)^(E20-1),0)</f>
        <v/>
      </c>
      <c r="G20" s="51">
        <f>IF(D20=1,$C20/(1+($B$8+0.0001)/2)^(E20-1),0)</f>
        <v/>
      </c>
      <c r="H20" s="51">
        <f>IF(D20=1,$C20/(1+($B$8-0.0001)/2)^(E20-1),0)</f>
        <v/>
      </c>
      <c r="I20" s="49">
        <f>IF(AND($C20&gt;0,B20&gt;$B$7),1,0)</f>
        <v/>
      </c>
      <c r="J20" s="49">
        <f>IF(I20=1,SUM($I$15:I20),"")</f>
        <v/>
      </c>
      <c r="K20" s="51">
        <f>IF(I20=1,$C20/(1+$B$104/2)^(J20-1),0)</f>
        <v/>
      </c>
      <c r="L20" s="51">
        <f>IF(I20=1,$C20/(1+($B$104+0.0001)/2)^(J20-1),0)</f>
        <v/>
      </c>
      <c r="M20" s="51">
        <f>IF(I20=1,$C20/(1+($B$104-0.0001)/2)^(J20-1),0)</f>
        <v/>
      </c>
      <c r="N20" s="51">
        <f>IF(I20=1,$C20/(1+$B$109/2)^(J20-1),0)</f>
        <v/>
      </c>
      <c r="O20" s="51">
        <f>IF(I20=1,$C20/(1+$B$111/2)^(J20-1),0)</f>
        <v/>
      </c>
      <c r="P20" s="51">
        <f>IF(I20=1,$C20/(1+($B$111+0.0001)/2)^(J20-1),0)</f>
        <v/>
      </c>
      <c r="Q20" s="51">
        <f>IF(I20=1,$C20/(1+($B$111-0.0001)/2)^(J20-1),0)</f>
        <v/>
      </c>
      <c r="R20" s="51">
        <f>IF(AND($C20&gt;0,B20&gt;$B$6,B20&lt;=$B$7),$C20*(1+$B$10*($B$7-B20)/365),0)</f>
        <v/>
      </c>
      <c r="S20" s="51">
        <f>IF(I20=1,$C20/(1+($B$111+손익!$B$24/10000)/2)^(J20-1),0)</f>
        <v/>
      </c>
      <c r="T20" s="51">
        <f>IF(I20=1,$C20/(1+($B$111+시나리오!$A$4/10000)/2)^(J20-1),0)</f>
        <v/>
      </c>
      <c r="U20" s="51">
        <f>IF(I20=1,$C20/(1+($B$111+시나리오!$A$5/10000)/2)^(J20-1),0)</f>
        <v/>
      </c>
      <c r="V20" s="51">
        <f>IF(I20=1,$C20/(1+($B$111+시나리오!$A$6/10000)/2)^(J20-1),0)</f>
        <v/>
      </c>
      <c r="W20" s="51">
        <f>IF(I20=1,$C20/(1+($B$111+시나리오!$A$7/10000)/2)^(J20-1),0)</f>
        <v/>
      </c>
      <c r="X20" s="51">
        <f>IF(I20=1,$C20/(1+($B$111+시나리오!$A$8/10000)/2)^(J20-1),0)</f>
        <v/>
      </c>
      <c r="Y20" s="51">
        <f>IF(I20=1,$C20/(1+($B$111+시나리오!$A$9/10000)/2)^(J20-1),0)</f>
        <v/>
      </c>
      <c r="Z20" s="51">
        <f>IF(I20=1,$C20/(1+($B$111+시나리오!$A$10/10000)/2)^(J20-1),0)</f>
        <v/>
      </c>
      <c r="AA20" s="51">
        <f>IF(I20=1,$C20/(1+($B$111+시나리오!$A$11/10000)/2)^(J20-1),0)</f>
        <v/>
      </c>
      <c r="AB20" s="51">
        <f>IF(I20=1,$C20/(1+($B$111+시나리오!$A$12/10000)/2)^(J20-1),0)</f>
        <v/>
      </c>
      <c r="AC20" s="51">
        <f>IF(I20=1,$C20/(1+($B$111+시나리오!$A$13/10000)/2)^(J20-1),0)</f>
        <v/>
      </c>
      <c r="AD20" s="51">
        <f>IF(I20=1,$C20/(1+($B$111+시나리오!$A$14/10000)/2)^(J20-1),0)</f>
        <v/>
      </c>
      <c r="AE20" s="51">
        <f>IF(I20=1,$C20/(1+($B$111+시나리오!$A$15/10000)/2)^(J20-1),0)</f>
        <v/>
      </c>
      <c r="AF20" s="51">
        <f>IF(I20=1,$C20/(1+($B$111+시나리오!$A$16/10000)/2)^(J20-1),0)</f>
        <v/>
      </c>
      <c r="AG20" s="51">
        <f>IF(I20=1,$C20/(1+($B$111+시나리오!$A$17/10000)/2)^(J20-1),0)</f>
        <v/>
      </c>
      <c r="AH20" s="51">
        <f>IF(I20=1,$C20/(1+($B$111+시나리오!$A$18/10000)/2)^(J20-1),0)</f>
        <v/>
      </c>
      <c r="AI20" s="51">
        <f>IF(I20=1,$C20/(1+($B$111+시나리오!$A$19/10000)/2)^(J20-1),0)</f>
        <v/>
      </c>
      <c r="AJ20" s="51">
        <f>IF(I20=1,$C20/(1+($B$111+시나리오!$A$20/10000)/2)^(J20-1),0)</f>
        <v/>
      </c>
      <c r="AK20" s="51">
        <f>IF(I20=1,$C20/(1+($B$111+시나리오!$A$21/10000)/2)^(J20-1),0)</f>
        <v/>
      </c>
      <c r="AL20" s="51">
        <f>IF(I20=1,$C20/(1+($B$111+시나리오!$A$22/10000)/2)^(J20-1),0)</f>
        <v/>
      </c>
      <c r="AM20" s="51">
        <f>IF(I20=1,$C20/(1+($B$111+시나리오!$A$23/10000)/2)^(J20-1),0)</f>
        <v/>
      </c>
      <c r="AN20" s="51">
        <f>IF(I20=1,$C20/(1+($B$111+시나리오!$A$24/10000)/2)^(J20-1),0)</f>
        <v/>
      </c>
      <c r="AQ20" s="49" t="n">
        <v>6</v>
      </c>
      <c r="AR20" s="50">
        <f>EDATE($AR$2,-6*(62-$AQ20))</f>
        <v/>
      </c>
      <c r="AS20" s="51">
        <f>IF(AND(AR20&gt;$AR$3,AR20&lt;=$AR$2),IF(AR20=$AR$2,$AR$5+100,$AR$5),0)</f>
        <v/>
      </c>
      <c r="AT20" s="49">
        <f>IF(AND($AS20&gt;0,AR20&gt;$AR$6),1,0)</f>
        <v/>
      </c>
      <c r="AU20" s="49">
        <f>IF(AT20=1,SUM($AT$15:AT20),"")</f>
        <v/>
      </c>
      <c r="AV20" s="51">
        <f>IF(AT20=1,$AS20/(1+$AR$8/2)^(AU20-1),0)</f>
        <v/>
      </c>
      <c r="AW20" s="51">
        <f>IF(AT20=1,$AS20/(1+($AR$8+0.0001)/2)^(AU20-1),0)</f>
        <v/>
      </c>
      <c r="AX20" s="51">
        <f>IF(AT20=1,$AS20/(1+($AR$8-0.0001)/2)^(AU20-1),0)</f>
        <v/>
      </c>
      <c r="AY20" s="49">
        <f>IF(AND($AS20&gt;0,AR20&gt;$AR$7),1,0)</f>
        <v/>
      </c>
      <c r="AZ20" s="49">
        <f>IF(AY20=1,SUM($AY$15:AY20),"")</f>
        <v/>
      </c>
      <c r="BA20" s="51">
        <f>IF(AY20=1,$AS20/(1+$AR$104/2)^(AZ20-1),0)</f>
        <v/>
      </c>
      <c r="BB20" s="51">
        <f>IF(AY20=1,$AS20/(1+($AR$104+0.0001)/2)^(AZ20-1),0)</f>
        <v/>
      </c>
      <c r="BC20" s="51">
        <f>IF(AY20=1,$AS20/(1+($AR$104-0.0001)/2)^(AZ20-1),0)</f>
        <v/>
      </c>
      <c r="BD20" s="51">
        <f>IF(AY20=1,$AS20/(1+$AR$109/2)^(AZ20-1),0)</f>
        <v/>
      </c>
      <c r="BE20" s="51">
        <f>IF(AY20=1,$AS20/(1+$AR$111/2)^(AZ20-1),0)</f>
        <v/>
      </c>
      <c r="BF20" s="51">
        <f>IF(AY20=1,$AS20/(1+($AR$111+0.0001)/2)^(AZ20-1),0)</f>
        <v/>
      </c>
      <c r="BG20" s="51">
        <f>IF(AY20=1,$AS20/(1+($AR$111-0.0001)/2)^(AZ20-1),0)</f>
        <v/>
      </c>
      <c r="BH20" s="51">
        <f>IF(AND($AS20&gt;0,AR20&gt;$AR$6,AR20&lt;=$AR$7),$AS20*(1+$AR$10*($AR$7-AR20)/365),0)</f>
        <v/>
      </c>
      <c r="BI20" s="51">
        <f>IF(AY20=1,$AS20/(1+($AR$111+손익!$B$24/10000)/2)^(AZ20-1),0)</f>
        <v/>
      </c>
      <c r="BJ20" s="51">
        <f>IF(AY20=1,$AS20/(1+($AR$111+시나리오!$A$4/10000)/2)^(AZ20-1),0)</f>
        <v/>
      </c>
      <c r="BK20" s="51">
        <f>IF(AY20=1,$AS20/(1+($AR$111+시나리오!$A$5/10000)/2)^(AZ20-1),0)</f>
        <v/>
      </c>
      <c r="BL20" s="51">
        <f>IF(AY20=1,$AS20/(1+($AR$111+시나리오!$A$6/10000)/2)^(AZ20-1),0)</f>
        <v/>
      </c>
      <c r="BM20" s="51">
        <f>IF(AY20=1,$AS20/(1+($AR$111+시나리오!$A$7/10000)/2)^(AZ20-1),0)</f>
        <v/>
      </c>
      <c r="BN20" s="51">
        <f>IF(AY20=1,$AS20/(1+($AR$111+시나리오!$A$8/10000)/2)^(AZ20-1),0)</f>
        <v/>
      </c>
      <c r="BO20" s="51">
        <f>IF(AY20=1,$AS20/(1+($AR$111+시나리오!$A$9/10000)/2)^(AZ20-1),0)</f>
        <v/>
      </c>
      <c r="BP20" s="51">
        <f>IF(AY20=1,$AS20/(1+($AR$111+시나리오!$A$10/10000)/2)^(AZ20-1),0)</f>
        <v/>
      </c>
      <c r="BQ20" s="51">
        <f>IF(AY20=1,$AS20/(1+($AR$111+시나리오!$A$11/10000)/2)^(AZ20-1),0)</f>
        <v/>
      </c>
      <c r="BR20" s="51">
        <f>IF(AY20=1,$AS20/(1+($AR$111+시나리오!$A$12/10000)/2)^(AZ20-1),0)</f>
        <v/>
      </c>
      <c r="BS20" s="51">
        <f>IF(AY20=1,$AS20/(1+($AR$111+시나리오!$A$13/10000)/2)^(AZ20-1),0)</f>
        <v/>
      </c>
      <c r="BT20" s="51">
        <f>IF(AY20=1,$AS20/(1+($AR$111+시나리오!$A$14/10000)/2)^(AZ20-1),0)</f>
        <v/>
      </c>
      <c r="BU20" s="51">
        <f>IF(AY20=1,$AS20/(1+($AR$111+시나리오!$A$15/10000)/2)^(AZ20-1),0)</f>
        <v/>
      </c>
      <c r="BV20" s="51">
        <f>IF(AY20=1,$AS20/(1+($AR$111+시나리오!$A$16/10000)/2)^(AZ20-1),0)</f>
        <v/>
      </c>
      <c r="BW20" s="51">
        <f>IF(AY20=1,$AS20/(1+($AR$111+시나리오!$A$17/10000)/2)^(AZ20-1),0)</f>
        <v/>
      </c>
      <c r="BX20" s="51">
        <f>IF(AY20=1,$AS20/(1+($AR$111+시나리오!$A$18/10000)/2)^(AZ20-1),0)</f>
        <v/>
      </c>
      <c r="BY20" s="51">
        <f>IF(AY20=1,$AS20/(1+($AR$111+시나리오!$A$19/10000)/2)^(AZ20-1),0)</f>
        <v/>
      </c>
      <c r="BZ20" s="51">
        <f>IF(AY20=1,$AS20/(1+($AR$111+시나리오!$A$20/10000)/2)^(AZ20-1),0)</f>
        <v/>
      </c>
      <c r="CA20" s="51">
        <f>IF(AY20=1,$AS20/(1+($AR$111+시나리오!$A$21/10000)/2)^(AZ20-1),0)</f>
        <v/>
      </c>
      <c r="CB20" s="51">
        <f>IF(AY20=1,$AS20/(1+($AR$111+시나리오!$A$22/10000)/2)^(AZ20-1),0)</f>
        <v/>
      </c>
      <c r="CC20" s="51">
        <f>IF(AY20=1,$AS20/(1+($AR$111+시나리오!$A$23/10000)/2)^(AZ20-1),0)</f>
        <v/>
      </c>
      <c r="CD20" s="51">
        <f>IF(AY20=1,$AS20/(1+($AR$111+시나리오!$A$24/10000)/2)^(AZ20-1),0)</f>
        <v/>
      </c>
      <c r="CG20" s="49" t="n">
        <v>6</v>
      </c>
      <c r="CH20" s="50">
        <f>EDATE($CH$2,-6*(62-$CG20))</f>
        <v/>
      </c>
      <c r="CI20" s="51">
        <f>IF(AND(CH20&gt;$CH$3,CH20&lt;=$CH$2),IF(CH20=$CH$2,$CH$5+100,$CH$5),0)</f>
        <v/>
      </c>
      <c r="CJ20" s="49">
        <f>IF(AND($CI20&gt;0,CH20&gt;$CH$6),1,0)</f>
        <v/>
      </c>
      <c r="CK20" s="49">
        <f>IF(CJ20=1,SUM($CJ$15:CJ20),"")</f>
        <v/>
      </c>
      <c r="CL20" s="51">
        <f>IF(CJ20=1,$CI20/(1+$CH$8/2)^(CK20-1),0)</f>
        <v/>
      </c>
      <c r="CM20" s="51">
        <f>IF(CJ20=1,$CI20/(1+($CH$8+0.0001)/2)^(CK20-1),0)</f>
        <v/>
      </c>
      <c r="CN20" s="51">
        <f>IF(CJ20=1,$CI20/(1+($CH$8-0.0001)/2)^(CK20-1),0)</f>
        <v/>
      </c>
      <c r="CO20" s="49">
        <f>IF(AND($CI20&gt;0,CH20&gt;$CH$7),1,0)</f>
        <v/>
      </c>
      <c r="CP20" s="49">
        <f>IF(CO20=1,SUM($CO$15:CO20),"")</f>
        <v/>
      </c>
      <c r="CQ20" s="51">
        <f>IF(CO20=1,$CI20/(1+$CH$104/2)^(CP20-1),0)</f>
        <v/>
      </c>
      <c r="CR20" s="51">
        <f>IF(CO20=1,$CI20/(1+($CH$104+0.0001)/2)^(CP20-1),0)</f>
        <v/>
      </c>
      <c r="CS20" s="51">
        <f>IF(CO20=1,$CI20/(1+($CH$104-0.0001)/2)^(CP20-1),0)</f>
        <v/>
      </c>
      <c r="CT20" s="51">
        <f>IF(CO20=1,$CI20/(1+$CH$109/2)^(CP20-1),0)</f>
        <v/>
      </c>
      <c r="CU20" s="51">
        <f>IF(CO20=1,$CI20/(1+$CH$111/2)^(CP20-1),0)</f>
        <v/>
      </c>
      <c r="CV20" s="51">
        <f>IF(CO20=1,$CI20/(1+($CH$111+0.0001)/2)^(CP20-1),0)</f>
        <v/>
      </c>
      <c r="CW20" s="51">
        <f>IF(CO20=1,$CI20/(1+($CH$111-0.0001)/2)^(CP20-1),0)</f>
        <v/>
      </c>
      <c r="CX20" s="51">
        <f>IF(AND($CI20&gt;0,CH20&gt;$CH$6,CH20&lt;=$CH$7),$CI20*(1+$CH$10*($CH$7-CH20)/365),0)</f>
        <v/>
      </c>
      <c r="CY20" s="51">
        <f>IF(CO20=1,$CI20/(1+($CH$111+손익!$B$24/10000)/2)^(CP20-1),0)</f>
        <v/>
      </c>
      <c r="CZ20" s="51">
        <f>IF(CO20=1,$CI20/(1+($CH$111+시나리오!$A$4/10000)/2)^(CP20-1),0)</f>
        <v/>
      </c>
      <c r="DA20" s="51">
        <f>IF(CO20=1,$CI20/(1+($CH$111+시나리오!$A$5/10000)/2)^(CP20-1),0)</f>
        <v/>
      </c>
      <c r="DB20" s="51">
        <f>IF(CO20=1,$CI20/(1+($CH$111+시나리오!$A$6/10000)/2)^(CP20-1),0)</f>
        <v/>
      </c>
      <c r="DC20" s="51">
        <f>IF(CO20=1,$CI20/(1+($CH$111+시나리오!$A$7/10000)/2)^(CP20-1),0)</f>
        <v/>
      </c>
      <c r="DD20" s="51">
        <f>IF(CO20=1,$CI20/(1+($CH$111+시나리오!$A$8/10000)/2)^(CP20-1),0)</f>
        <v/>
      </c>
      <c r="DE20" s="51">
        <f>IF(CO20=1,$CI20/(1+($CH$111+시나리오!$A$9/10000)/2)^(CP20-1),0)</f>
        <v/>
      </c>
      <c r="DF20" s="51">
        <f>IF(CO20=1,$CI20/(1+($CH$111+시나리오!$A$10/10000)/2)^(CP20-1),0)</f>
        <v/>
      </c>
      <c r="DG20" s="51">
        <f>IF(CO20=1,$CI20/(1+($CH$111+시나리오!$A$11/10000)/2)^(CP20-1),0)</f>
        <v/>
      </c>
      <c r="DH20" s="51">
        <f>IF(CO20=1,$CI20/(1+($CH$111+시나리오!$A$12/10000)/2)^(CP20-1),0)</f>
        <v/>
      </c>
      <c r="DI20" s="51">
        <f>IF(CO20=1,$CI20/(1+($CH$111+시나리오!$A$13/10000)/2)^(CP20-1),0)</f>
        <v/>
      </c>
      <c r="DJ20" s="51">
        <f>IF(CO20=1,$CI20/(1+($CH$111+시나리오!$A$14/10000)/2)^(CP20-1),0)</f>
        <v/>
      </c>
      <c r="DK20" s="51">
        <f>IF(CO20=1,$CI20/(1+($CH$111+시나리오!$A$15/10000)/2)^(CP20-1),0)</f>
        <v/>
      </c>
      <c r="DL20" s="51">
        <f>IF(CO20=1,$CI20/(1+($CH$111+시나리오!$A$16/10000)/2)^(CP20-1),0)</f>
        <v/>
      </c>
      <c r="DM20" s="51">
        <f>IF(CO20=1,$CI20/(1+($CH$111+시나리오!$A$17/10000)/2)^(CP20-1),0)</f>
        <v/>
      </c>
      <c r="DN20" s="51">
        <f>IF(CO20=1,$CI20/(1+($CH$111+시나리오!$A$18/10000)/2)^(CP20-1),0)</f>
        <v/>
      </c>
      <c r="DO20" s="51">
        <f>IF(CO20=1,$CI20/(1+($CH$111+시나리오!$A$19/10000)/2)^(CP20-1),0)</f>
        <v/>
      </c>
      <c r="DP20" s="51">
        <f>IF(CO20=1,$CI20/(1+($CH$111+시나리오!$A$20/10000)/2)^(CP20-1),0)</f>
        <v/>
      </c>
      <c r="DQ20" s="51">
        <f>IF(CO20=1,$CI20/(1+($CH$111+시나리오!$A$21/10000)/2)^(CP20-1),0)</f>
        <v/>
      </c>
      <c r="DR20" s="51">
        <f>IF(CO20=1,$CI20/(1+($CH$111+시나리오!$A$22/10000)/2)^(CP20-1),0)</f>
        <v/>
      </c>
      <c r="DS20" s="51">
        <f>IF(CO20=1,$CI20/(1+($CH$111+시나리오!$A$23/10000)/2)^(CP20-1),0)</f>
        <v/>
      </c>
      <c r="DT20" s="51">
        <f>IF(CO20=1,$CI20/(1+($CH$111+시나리오!$A$24/10000)/2)^(CP20-1),0)</f>
        <v/>
      </c>
    </row>
    <row r="21">
      <c r="A21" s="49" t="n">
        <v>7</v>
      </c>
      <c r="B21" s="50">
        <f>EDATE($B$2,-6*(62-$A21))</f>
        <v/>
      </c>
      <c r="C21" s="51">
        <f>IF(AND(B21&gt;$B$3,B21&lt;=$B$2),IF(B21=$B$2,$B$5+100,$B$5),0)</f>
        <v/>
      </c>
      <c r="D21" s="49">
        <f>IF(AND($C21&gt;0,B21&gt;$B$6),1,0)</f>
        <v/>
      </c>
      <c r="E21" s="49">
        <f>IF(D21=1,SUM($D$15:D21),"")</f>
        <v/>
      </c>
      <c r="F21" s="51">
        <f>IF(D21=1,$C21/(1+$B$8/2)^(E21-1),0)</f>
        <v/>
      </c>
      <c r="G21" s="51">
        <f>IF(D21=1,$C21/(1+($B$8+0.0001)/2)^(E21-1),0)</f>
        <v/>
      </c>
      <c r="H21" s="51">
        <f>IF(D21=1,$C21/(1+($B$8-0.0001)/2)^(E21-1),0)</f>
        <v/>
      </c>
      <c r="I21" s="49">
        <f>IF(AND($C21&gt;0,B21&gt;$B$7),1,0)</f>
        <v/>
      </c>
      <c r="J21" s="49">
        <f>IF(I21=1,SUM($I$15:I21),"")</f>
        <v/>
      </c>
      <c r="K21" s="51">
        <f>IF(I21=1,$C21/(1+$B$104/2)^(J21-1),0)</f>
        <v/>
      </c>
      <c r="L21" s="51">
        <f>IF(I21=1,$C21/(1+($B$104+0.0001)/2)^(J21-1),0)</f>
        <v/>
      </c>
      <c r="M21" s="51">
        <f>IF(I21=1,$C21/(1+($B$104-0.0001)/2)^(J21-1),0)</f>
        <v/>
      </c>
      <c r="N21" s="51">
        <f>IF(I21=1,$C21/(1+$B$109/2)^(J21-1),0)</f>
        <v/>
      </c>
      <c r="O21" s="51">
        <f>IF(I21=1,$C21/(1+$B$111/2)^(J21-1),0)</f>
        <v/>
      </c>
      <c r="P21" s="51">
        <f>IF(I21=1,$C21/(1+($B$111+0.0001)/2)^(J21-1),0)</f>
        <v/>
      </c>
      <c r="Q21" s="51">
        <f>IF(I21=1,$C21/(1+($B$111-0.0001)/2)^(J21-1),0)</f>
        <v/>
      </c>
      <c r="R21" s="51">
        <f>IF(AND($C21&gt;0,B21&gt;$B$6,B21&lt;=$B$7),$C21*(1+$B$10*($B$7-B21)/365),0)</f>
        <v/>
      </c>
      <c r="S21" s="51">
        <f>IF(I21=1,$C21/(1+($B$111+손익!$B$24/10000)/2)^(J21-1),0)</f>
        <v/>
      </c>
      <c r="T21" s="51">
        <f>IF(I21=1,$C21/(1+($B$111+시나리오!$A$4/10000)/2)^(J21-1),0)</f>
        <v/>
      </c>
      <c r="U21" s="51">
        <f>IF(I21=1,$C21/(1+($B$111+시나리오!$A$5/10000)/2)^(J21-1),0)</f>
        <v/>
      </c>
      <c r="V21" s="51">
        <f>IF(I21=1,$C21/(1+($B$111+시나리오!$A$6/10000)/2)^(J21-1),0)</f>
        <v/>
      </c>
      <c r="W21" s="51">
        <f>IF(I21=1,$C21/(1+($B$111+시나리오!$A$7/10000)/2)^(J21-1),0)</f>
        <v/>
      </c>
      <c r="X21" s="51">
        <f>IF(I21=1,$C21/(1+($B$111+시나리오!$A$8/10000)/2)^(J21-1),0)</f>
        <v/>
      </c>
      <c r="Y21" s="51">
        <f>IF(I21=1,$C21/(1+($B$111+시나리오!$A$9/10000)/2)^(J21-1),0)</f>
        <v/>
      </c>
      <c r="Z21" s="51">
        <f>IF(I21=1,$C21/(1+($B$111+시나리오!$A$10/10000)/2)^(J21-1),0)</f>
        <v/>
      </c>
      <c r="AA21" s="51">
        <f>IF(I21=1,$C21/(1+($B$111+시나리오!$A$11/10000)/2)^(J21-1),0)</f>
        <v/>
      </c>
      <c r="AB21" s="51">
        <f>IF(I21=1,$C21/(1+($B$111+시나리오!$A$12/10000)/2)^(J21-1),0)</f>
        <v/>
      </c>
      <c r="AC21" s="51">
        <f>IF(I21=1,$C21/(1+($B$111+시나리오!$A$13/10000)/2)^(J21-1),0)</f>
        <v/>
      </c>
      <c r="AD21" s="51">
        <f>IF(I21=1,$C21/(1+($B$111+시나리오!$A$14/10000)/2)^(J21-1),0)</f>
        <v/>
      </c>
      <c r="AE21" s="51">
        <f>IF(I21=1,$C21/(1+($B$111+시나리오!$A$15/10000)/2)^(J21-1),0)</f>
        <v/>
      </c>
      <c r="AF21" s="51">
        <f>IF(I21=1,$C21/(1+($B$111+시나리오!$A$16/10000)/2)^(J21-1),0)</f>
        <v/>
      </c>
      <c r="AG21" s="51">
        <f>IF(I21=1,$C21/(1+($B$111+시나리오!$A$17/10000)/2)^(J21-1),0)</f>
        <v/>
      </c>
      <c r="AH21" s="51">
        <f>IF(I21=1,$C21/(1+($B$111+시나리오!$A$18/10000)/2)^(J21-1),0)</f>
        <v/>
      </c>
      <c r="AI21" s="51">
        <f>IF(I21=1,$C21/(1+($B$111+시나리오!$A$19/10000)/2)^(J21-1),0)</f>
        <v/>
      </c>
      <c r="AJ21" s="51">
        <f>IF(I21=1,$C21/(1+($B$111+시나리오!$A$20/10000)/2)^(J21-1),0)</f>
        <v/>
      </c>
      <c r="AK21" s="51">
        <f>IF(I21=1,$C21/(1+($B$111+시나리오!$A$21/10000)/2)^(J21-1),0)</f>
        <v/>
      </c>
      <c r="AL21" s="51">
        <f>IF(I21=1,$C21/(1+($B$111+시나리오!$A$22/10000)/2)^(J21-1),0)</f>
        <v/>
      </c>
      <c r="AM21" s="51">
        <f>IF(I21=1,$C21/(1+($B$111+시나리오!$A$23/10000)/2)^(J21-1),0)</f>
        <v/>
      </c>
      <c r="AN21" s="51">
        <f>IF(I21=1,$C21/(1+($B$111+시나리오!$A$24/10000)/2)^(J21-1),0)</f>
        <v/>
      </c>
      <c r="AQ21" s="49" t="n">
        <v>7</v>
      </c>
      <c r="AR21" s="50">
        <f>EDATE($AR$2,-6*(62-$AQ21))</f>
        <v/>
      </c>
      <c r="AS21" s="51">
        <f>IF(AND(AR21&gt;$AR$3,AR21&lt;=$AR$2),IF(AR21=$AR$2,$AR$5+100,$AR$5),0)</f>
        <v/>
      </c>
      <c r="AT21" s="49">
        <f>IF(AND($AS21&gt;0,AR21&gt;$AR$6),1,0)</f>
        <v/>
      </c>
      <c r="AU21" s="49">
        <f>IF(AT21=1,SUM($AT$15:AT21),"")</f>
        <v/>
      </c>
      <c r="AV21" s="51">
        <f>IF(AT21=1,$AS21/(1+$AR$8/2)^(AU21-1),0)</f>
        <v/>
      </c>
      <c r="AW21" s="51">
        <f>IF(AT21=1,$AS21/(1+($AR$8+0.0001)/2)^(AU21-1),0)</f>
        <v/>
      </c>
      <c r="AX21" s="51">
        <f>IF(AT21=1,$AS21/(1+($AR$8-0.0001)/2)^(AU21-1),0)</f>
        <v/>
      </c>
      <c r="AY21" s="49">
        <f>IF(AND($AS21&gt;0,AR21&gt;$AR$7),1,0)</f>
        <v/>
      </c>
      <c r="AZ21" s="49">
        <f>IF(AY21=1,SUM($AY$15:AY21),"")</f>
        <v/>
      </c>
      <c r="BA21" s="51">
        <f>IF(AY21=1,$AS21/(1+$AR$104/2)^(AZ21-1),0)</f>
        <v/>
      </c>
      <c r="BB21" s="51">
        <f>IF(AY21=1,$AS21/(1+($AR$104+0.0001)/2)^(AZ21-1),0)</f>
        <v/>
      </c>
      <c r="BC21" s="51">
        <f>IF(AY21=1,$AS21/(1+($AR$104-0.0001)/2)^(AZ21-1),0)</f>
        <v/>
      </c>
      <c r="BD21" s="51">
        <f>IF(AY21=1,$AS21/(1+$AR$109/2)^(AZ21-1),0)</f>
        <v/>
      </c>
      <c r="BE21" s="51">
        <f>IF(AY21=1,$AS21/(1+$AR$111/2)^(AZ21-1),0)</f>
        <v/>
      </c>
      <c r="BF21" s="51">
        <f>IF(AY21=1,$AS21/(1+($AR$111+0.0001)/2)^(AZ21-1),0)</f>
        <v/>
      </c>
      <c r="BG21" s="51">
        <f>IF(AY21=1,$AS21/(1+($AR$111-0.0001)/2)^(AZ21-1),0)</f>
        <v/>
      </c>
      <c r="BH21" s="51">
        <f>IF(AND($AS21&gt;0,AR21&gt;$AR$6,AR21&lt;=$AR$7),$AS21*(1+$AR$10*($AR$7-AR21)/365),0)</f>
        <v/>
      </c>
      <c r="BI21" s="51">
        <f>IF(AY21=1,$AS21/(1+($AR$111+손익!$B$24/10000)/2)^(AZ21-1),0)</f>
        <v/>
      </c>
      <c r="BJ21" s="51">
        <f>IF(AY21=1,$AS21/(1+($AR$111+시나리오!$A$4/10000)/2)^(AZ21-1),0)</f>
        <v/>
      </c>
      <c r="BK21" s="51">
        <f>IF(AY21=1,$AS21/(1+($AR$111+시나리오!$A$5/10000)/2)^(AZ21-1),0)</f>
        <v/>
      </c>
      <c r="BL21" s="51">
        <f>IF(AY21=1,$AS21/(1+($AR$111+시나리오!$A$6/10000)/2)^(AZ21-1),0)</f>
        <v/>
      </c>
      <c r="BM21" s="51">
        <f>IF(AY21=1,$AS21/(1+($AR$111+시나리오!$A$7/10000)/2)^(AZ21-1),0)</f>
        <v/>
      </c>
      <c r="BN21" s="51">
        <f>IF(AY21=1,$AS21/(1+($AR$111+시나리오!$A$8/10000)/2)^(AZ21-1),0)</f>
        <v/>
      </c>
      <c r="BO21" s="51">
        <f>IF(AY21=1,$AS21/(1+($AR$111+시나리오!$A$9/10000)/2)^(AZ21-1),0)</f>
        <v/>
      </c>
      <c r="BP21" s="51">
        <f>IF(AY21=1,$AS21/(1+($AR$111+시나리오!$A$10/10000)/2)^(AZ21-1),0)</f>
        <v/>
      </c>
      <c r="BQ21" s="51">
        <f>IF(AY21=1,$AS21/(1+($AR$111+시나리오!$A$11/10000)/2)^(AZ21-1),0)</f>
        <v/>
      </c>
      <c r="BR21" s="51">
        <f>IF(AY21=1,$AS21/(1+($AR$111+시나리오!$A$12/10000)/2)^(AZ21-1),0)</f>
        <v/>
      </c>
      <c r="BS21" s="51">
        <f>IF(AY21=1,$AS21/(1+($AR$111+시나리오!$A$13/10000)/2)^(AZ21-1),0)</f>
        <v/>
      </c>
      <c r="BT21" s="51">
        <f>IF(AY21=1,$AS21/(1+($AR$111+시나리오!$A$14/10000)/2)^(AZ21-1),0)</f>
        <v/>
      </c>
      <c r="BU21" s="51">
        <f>IF(AY21=1,$AS21/(1+($AR$111+시나리오!$A$15/10000)/2)^(AZ21-1),0)</f>
        <v/>
      </c>
      <c r="BV21" s="51">
        <f>IF(AY21=1,$AS21/(1+($AR$111+시나리오!$A$16/10000)/2)^(AZ21-1),0)</f>
        <v/>
      </c>
      <c r="BW21" s="51">
        <f>IF(AY21=1,$AS21/(1+($AR$111+시나리오!$A$17/10000)/2)^(AZ21-1),0)</f>
        <v/>
      </c>
      <c r="BX21" s="51">
        <f>IF(AY21=1,$AS21/(1+($AR$111+시나리오!$A$18/10000)/2)^(AZ21-1),0)</f>
        <v/>
      </c>
      <c r="BY21" s="51">
        <f>IF(AY21=1,$AS21/(1+($AR$111+시나리오!$A$19/10000)/2)^(AZ21-1),0)</f>
        <v/>
      </c>
      <c r="BZ21" s="51">
        <f>IF(AY21=1,$AS21/(1+($AR$111+시나리오!$A$20/10000)/2)^(AZ21-1),0)</f>
        <v/>
      </c>
      <c r="CA21" s="51">
        <f>IF(AY21=1,$AS21/(1+($AR$111+시나리오!$A$21/10000)/2)^(AZ21-1),0)</f>
        <v/>
      </c>
      <c r="CB21" s="51">
        <f>IF(AY21=1,$AS21/(1+($AR$111+시나리오!$A$22/10000)/2)^(AZ21-1),0)</f>
        <v/>
      </c>
      <c r="CC21" s="51">
        <f>IF(AY21=1,$AS21/(1+($AR$111+시나리오!$A$23/10000)/2)^(AZ21-1),0)</f>
        <v/>
      </c>
      <c r="CD21" s="51">
        <f>IF(AY21=1,$AS21/(1+($AR$111+시나리오!$A$24/10000)/2)^(AZ21-1),0)</f>
        <v/>
      </c>
      <c r="CG21" s="49" t="n">
        <v>7</v>
      </c>
      <c r="CH21" s="50">
        <f>EDATE($CH$2,-6*(62-$CG21))</f>
        <v/>
      </c>
      <c r="CI21" s="51">
        <f>IF(AND(CH21&gt;$CH$3,CH21&lt;=$CH$2),IF(CH21=$CH$2,$CH$5+100,$CH$5),0)</f>
        <v/>
      </c>
      <c r="CJ21" s="49">
        <f>IF(AND($CI21&gt;0,CH21&gt;$CH$6),1,0)</f>
        <v/>
      </c>
      <c r="CK21" s="49">
        <f>IF(CJ21=1,SUM($CJ$15:CJ21),"")</f>
        <v/>
      </c>
      <c r="CL21" s="51">
        <f>IF(CJ21=1,$CI21/(1+$CH$8/2)^(CK21-1),0)</f>
        <v/>
      </c>
      <c r="CM21" s="51">
        <f>IF(CJ21=1,$CI21/(1+($CH$8+0.0001)/2)^(CK21-1),0)</f>
        <v/>
      </c>
      <c r="CN21" s="51">
        <f>IF(CJ21=1,$CI21/(1+($CH$8-0.0001)/2)^(CK21-1),0)</f>
        <v/>
      </c>
      <c r="CO21" s="49">
        <f>IF(AND($CI21&gt;0,CH21&gt;$CH$7),1,0)</f>
        <v/>
      </c>
      <c r="CP21" s="49">
        <f>IF(CO21=1,SUM($CO$15:CO21),"")</f>
        <v/>
      </c>
      <c r="CQ21" s="51">
        <f>IF(CO21=1,$CI21/(1+$CH$104/2)^(CP21-1),0)</f>
        <v/>
      </c>
      <c r="CR21" s="51">
        <f>IF(CO21=1,$CI21/(1+($CH$104+0.0001)/2)^(CP21-1),0)</f>
        <v/>
      </c>
      <c r="CS21" s="51">
        <f>IF(CO21=1,$CI21/(1+($CH$104-0.0001)/2)^(CP21-1),0)</f>
        <v/>
      </c>
      <c r="CT21" s="51">
        <f>IF(CO21=1,$CI21/(1+$CH$109/2)^(CP21-1),0)</f>
        <v/>
      </c>
      <c r="CU21" s="51">
        <f>IF(CO21=1,$CI21/(1+$CH$111/2)^(CP21-1),0)</f>
        <v/>
      </c>
      <c r="CV21" s="51">
        <f>IF(CO21=1,$CI21/(1+($CH$111+0.0001)/2)^(CP21-1),0)</f>
        <v/>
      </c>
      <c r="CW21" s="51">
        <f>IF(CO21=1,$CI21/(1+($CH$111-0.0001)/2)^(CP21-1),0)</f>
        <v/>
      </c>
      <c r="CX21" s="51">
        <f>IF(AND($CI21&gt;0,CH21&gt;$CH$6,CH21&lt;=$CH$7),$CI21*(1+$CH$10*($CH$7-CH21)/365),0)</f>
        <v/>
      </c>
      <c r="CY21" s="51">
        <f>IF(CO21=1,$CI21/(1+($CH$111+손익!$B$24/10000)/2)^(CP21-1),0)</f>
        <v/>
      </c>
      <c r="CZ21" s="51">
        <f>IF(CO21=1,$CI21/(1+($CH$111+시나리오!$A$4/10000)/2)^(CP21-1),0)</f>
        <v/>
      </c>
      <c r="DA21" s="51">
        <f>IF(CO21=1,$CI21/(1+($CH$111+시나리오!$A$5/10000)/2)^(CP21-1),0)</f>
        <v/>
      </c>
      <c r="DB21" s="51">
        <f>IF(CO21=1,$CI21/(1+($CH$111+시나리오!$A$6/10000)/2)^(CP21-1),0)</f>
        <v/>
      </c>
      <c r="DC21" s="51">
        <f>IF(CO21=1,$CI21/(1+($CH$111+시나리오!$A$7/10000)/2)^(CP21-1),0)</f>
        <v/>
      </c>
      <c r="DD21" s="51">
        <f>IF(CO21=1,$CI21/(1+($CH$111+시나리오!$A$8/10000)/2)^(CP21-1),0)</f>
        <v/>
      </c>
      <c r="DE21" s="51">
        <f>IF(CO21=1,$CI21/(1+($CH$111+시나리오!$A$9/10000)/2)^(CP21-1),0)</f>
        <v/>
      </c>
      <c r="DF21" s="51">
        <f>IF(CO21=1,$CI21/(1+($CH$111+시나리오!$A$10/10000)/2)^(CP21-1),0)</f>
        <v/>
      </c>
      <c r="DG21" s="51">
        <f>IF(CO21=1,$CI21/(1+($CH$111+시나리오!$A$11/10000)/2)^(CP21-1),0)</f>
        <v/>
      </c>
      <c r="DH21" s="51">
        <f>IF(CO21=1,$CI21/(1+($CH$111+시나리오!$A$12/10000)/2)^(CP21-1),0)</f>
        <v/>
      </c>
      <c r="DI21" s="51">
        <f>IF(CO21=1,$CI21/(1+($CH$111+시나리오!$A$13/10000)/2)^(CP21-1),0)</f>
        <v/>
      </c>
      <c r="DJ21" s="51">
        <f>IF(CO21=1,$CI21/(1+($CH$111+시나리오!$A$14/10000)/2)^(CP21-1),0)</f>
        <v/>
      </c>
      <c r="DK21" s="51">
        <f>IF(CO21=1,$CI21/(1+($CH$111+시나리오!$A$15/10000)/2)^(CP21-1),0)</f>
        <v/>
      </c>
      <c r="DL21" s="51">
        <f>IF(CO21=1,$CI21/(1+($CH$111+시나리오!$A$16/10000)/2)^(CP21-1),0)</f>
        <v/>
      </c>
      <c r="DM21" s="51">
        <f>IF(CO21=1,$CI21/(1+($CH$111+시나리오!$A$17/10000)/2)^(CP21-1),0)</f>
        <v/>
      </c>
      <c r="DN21" s="51">
        <f>IF(CO21=1,$CI21/(1+($CH$111+시나리오!$A$18/10000)/2)^(CP21-1),0)</f>
        <v/>
      </c>
      <c r="DO21" s="51">
        <f>IF(CO21=1,$CI21/(1+($CH$111+시나리오!$A$19/10000)/2)^(CP21-1),0)</f>
        <v/>
      </c>
      <c r="DP21" s="51">
        <f>IF(CO21=1,$CI21/(1+($CH$111+시나리오!$A$20/10000)/2)^(CP21-1),0)</f>
        <v/>
      </c>
      <c r="DQ21" s="51">
        <f>IF(CO21=1,$CI21/(1+($CH$111+시나리오!$A$21/10000)/2)^(CP21-1),0)</f>
        <v/>
      </c>
      <c r="DR21" s="51">
        <f>IF(CO21=1,$CI21/(1+($CH$111+시나리오!$A$22/10000)/2)^(CP21-1),0)</f>
        <v/>
      </c>
      <c r="DS21" s="51">
        <f>IF(CO21=1,$CI21/(1+($CH$111+시나리오!$A$23/10000)/2)^(CP21-1),0)</f>
        <v/>
      </c>
      <c r="DT21" s="51">
        <f>IF(CO21=1,$CI21/(1+($CH$111+시나리오!$A$24/10000)/2)^(CP21-1),0)</f>
        <v/>
      </c>
    </row>
    <row r="22">
      <c r="A22" s="49" t="n">
        <v>8</v>
      </c>
      <c r="B22" s="50">
        <f>EDATE($B$2,-6*(62-$A22))</f>
        <v/>
      </c>
      <c r="C22" s="51">
        <f>IF(AND(B22&gt;$B$3,B22&lt;=$B$2),IF(B22=$B$2,$B$5+100,$B$5),0)</f>
        <v/>
      </c>
      <c r="D22" s="49">
        <f>IF(AND($C22&gt;0,B22&gt;$B$6),1,0)</f>
        <v/>
      </c>
      <c r="E22" s="49">
        <f>IF(D22=1,SUM($D$15:D22),"")</f>
        <v/>
      </c>
      <c r="F22" s="51">
        <f>IF(D22=1,$C22/(1+$B$8/2)^(E22-1),0)</f>
        <v/>
      </c>
      <c r="G22" s="51">
        <f>IF(D22=1,$C22/(1+($B$8+0.0001)/2)^(E22-1),0)</f>
        <v/>
      </c>
      <c r="H22" s="51">
        <f>IF(D22=1,$C22/(1+($B$8-0.0001)/2)^(E22-1),0)</f>
        <v/>
      </c>
      <c r="I22" s="49">
        <f>IF(AND($C22&gt;0,B22&gt;$B$7),1,0)</f>
        <v/>
      </c>
      <c r="J22" s="49">
        <f>IF(I22=1,SUM($I$15:I22),"")</f>
        <v/>
      </c>
      <c r="K22" s="51">
        <f>IF(I22=1,$C22/(1+$B$104/2)^(J22-1),0)</f>
        <v/>
      </c>
      <c r="L22" s="51">
        <f>IF(I22=1,$C22/(1+($B$104+0.0001)/2)^(J22-1),0)</f>
        <v/>
      </c>
      <c r="M22" s="51">
        <f>IF(I22=1,$C22/(1+($B$104-0.0001)/2)^(J22-1),0)</f>
        <v/>
      </c>
      <c r="N22" s="51">
        <f>IF(I22=1,$C22/(1+$B$109/2)^(J22-1),0)</f>
        <v/>
      </c>
      <c r="O22" s="51">
        <f>IF(I22=1,$C22/(1+$B$111/2)^(J22-1),0)</f>
        <v/>
      </c>
      <c r="P22" s="51">
        <f>IF(I22=1,$C22/(1+($B$111+0.0001)/2)^(J22-1),0)</f>
        <v/>
      </c>
      <c r="Q22" s="51">
        <f>IF(I22=1,$C22/(1+($B$111-0.0001)/2)^(J22-1),0)</f>
        <v/>
      </c>
      <c r="R22" s="51">
        <f>IF(AND($C22&gt;0,B22&gt;$B$6,B22&lt;=$B$7),$C22*(1+$B$10*($B$7-B22)/365),0)</f>
        <v/>
      </c>
      <c r="S22" s="51">
        <f>IF(I22=1,$C22/(1+($B$111+손익!$B$24/10000)/2)^(J22-1),0)</f>
        <v/>
      </c>
      <c r="T22" s="51">
        <f>IF(I22=1,$C22/(1+($B$111+시나리오!$A$4/10000)/2)^(J22-1),0)</f>
        <v/>
      </c>
      <c r="U22" s="51">
        <f>IF(I22=1,$C22/(1+($B$111+시나리오!$A$5/10000)/2)^(J22-1),0)</f>
        <v/>
      </c>
      <c r="V22" s="51">
        <f>IF(I22=1,$C22/(1+($B$111+시나리오!$A$6/10000)/2)^(J22-1),0)</f>
        <v/>
      </c>
      <c r="W22" s="51">
        <f>IF(I22=1,$C22/(1+($B$111+시나리오!$A$7/10000)/2)^(J22-1),0)</f>
        <v/>
      </c>
      <c r="X22" s="51">
        <f>IF(I22=1,$C22/(1+($B$111+시나리오!$A$8/10000)/2)^(J22-1),0)</f>
        <v/>
      </c>
      <c r="Y22" s="51">
        <f>IF(I22=1,$C22/(1+($B$111+시나리오!$A$9/10000)/2)^(J22-1),0)</f>
        <v/>
      </c>
      <c r="Z22" s="51">
        <f>IF(I22=1,$C22/(1+($B$111+시나리오!$A$10/10000)/2)^(J22-1),0)</f>
        <v/>
      </c>
      <c r="AA22" s="51">
        <f>IF(I22=1,$C22/(1+($B$111+시나리오!$A$11/10000)/2)^(J22-1),0)</f>
        <v/>
      </c>
      <c r="AB22" s="51">
        <f>IF(I22=1,$C22/(1+($B$111+시나리오!$A$12/10000)/2)^(J22-1),0)</f>
        <v/>
      </c>
      <c r="AC22" s="51">
        <f>IF(I22=1,$C22/(1+($B$111+시나리오!$A$13/10000)/2)^(J22-1),0)</f>
        <v/>
      </c>
      <c r="AD22" s="51">
        <f>IF(I22=1,$C22/(1+($B$111+시나리오!$A$14/10000)/2)^(J22-1),0)</f>
        <v/>
      </c>
      <c r="AE22" s="51">
        <f>IF(I22=1,$C22/(1+($B$111+시나리오!$A$15/10000)/2)^(J22-1),0)</f>
        <v/>
      </c>
      <c r="AF22" s="51">
        <f>IF(I22=1,$C22/(1+($B$111+시나리오!$A$16/10000)/2)^(J22-1),0)</f>
        <v/>
      </c>
      <c r="AG22" s="51">
        <f>IF(I22=1,$C22/(1+($B$111+시나리오!$A$17/10000)/2)^(J22-1),0)</f>
        <v/>
      </c>
      <c r="AH22" s="51">
        <f>IF(I22=1,$C22/(1+($B$111+시나리오!$A$18/10000)/2)^(J22-1),0)</f>
        <v/>
      </c>
      <c r="AI22" s="51">
        <f>IF(I22=1,$C22/(1+($B$111+시나리오!$A$19/10000)/2)^(J22-1),0)</f>
        <v/>
      </c>
      <c r="AJ22" s="51">
        <f>IF(I22=1,$C22/(1+($B$111+시나리오!$A$20/10000)/2)^(J22-1),0)</f>
        <v/>
      </c>
      <c r="AK22" s="51">
        <f>IF(I22=1,$C22/(1+($B$111+시나리오!$A$21/10000)/2)^(J22-1),0)</f>
        <v/>
      </c>
      <c r="AL22" s="51">
        <f>IF(I22=1,$C22/(1+($B$111+시나리오!$A$22/10000)/2)^(J22-1),0)</f>
        <v/>
      </c>
      <c r="AM22" s="51">
        <f>IF(I22=1,$C22/(1+($B$111+시나리오!$A$23/10000)/2)^(J22-1),0)</f>
        <v/>
      </c>
      <c r="AN22" s="51">
        <f>IF(I22=1,$C22/(1+($B$111+시나리오!$A$24/10000)/2)^(J22-1),0)</f>
        <v/>
      </c>
      <c r="AQ22" s="49" t="n">
        <v>8</v>
      </c>
      <c r="AR22" s="50">
        <f>EDATE($AR$2,-6*(62-$AQ22))</f>
        <v/>
      </c>
      <c r="AS22" s="51">
        <f>IF(AND(AR22&gt;$AR$3,AR22&lt;=$AR$2),IF(AR22=$AR$2,$AR$5+100,$AR$5),0)</f>
        <v/>
      </c>
      <c r="AT22" s="49">
        <f>IF(AND($AS22&gt;0,AR22&gt;$AR$6),1,0)</f>
        <v/>
      </c>
      <c r="AU22" s="49">
        <f>IF(AT22=1,SUM($AT$15:AT22),"")</f>
        <v/>
      </c>
      <c r="AV22" s="51">
        <f>IF(AT22=1,$AS22/(1+$AR$8/2)^(AU22-1),0)</f>
        <v/>
      </c>
      <c r="AW22" s="51">
        <f>IF(AT22=1,$AS22/(1+($AR$8+0.0001)/2)^(AU22-1),0)</f>
        <v/>
      </c>
      <c r="AX22" s="51">
        <f>IF(AT22=1,$AS22/(1+($AR$8-0.0001)/2)^(AU22-1),0)</f>
        <v/>
      </c>
      <c r="AY22" s="49">
        <f>IF(AND($AS22&gt;0,AR22&gt;$AR$7),1,0)</f>
        <v/>
      </c>
      <c r="AZ22" s="49">
        <f>IF(AY22=1,SUM($AY$15:AY22),"")</f>
        <v/>
      </c>
      <c r="BA22" s="51">
        <f>IF(AY22=1,$AS22/(1+$AR$104/2)^(AZ22-1),0)</f>
        <v/>
      </c>
      <c r="BB22" s="51">
        <f>IF(AY22=1,$AS22/(1+($AR$104+0.0001)/2)^(AZ22-1),0)</f>
        <v/>
      </c>
      <c r="BC22" s="51">
        <f>IF(AY22=1,$AS22/(1+($AR$104-0.0001)/2)^(AZ22-1),0)</f>
        <v/>
      </c>
      <c r="BD22" s="51">
        <f>IF(AY22=1,$AS22/(1+$AR$109/2)^(AZ22-1),0)</f>
        <v/>
      </c>
      <c r="BE22" s="51">
        <f>IF(AY22=1,$AS22/(1+$AR$111/2)^(AZ22-1),0)</f>
        <v/>
      </c>
      <c r="BF22" s="51">
        <f>IF(AY22=1,$AS22/(1+($AR$111+0.0001)/2)^(AZ22-1),0)</f>
        <v/>
      </c>
      <c r="BG22" s="51">
        <f>IF(AY22=1,$AS22/(1+($AR$111-0.0001)/2)^(AZ22-1),0)</f>
        <v/>
      </c>
      <c r="BH22" s="51">
        <f>IF(AND($AS22&gt;0,AR22&gt;$AR$6,AR22&lt;=$AR$7),$AS22*(1+$AR$10*($AR$7-AR22)/365),0)</f>
        <v/>
      </c>
      <c r="BI22" s="51">
        <f>IF(AY22=1,$AS22/(1+($AR$111+손익!$B$24/10000)/2)^(AZ22-1),0)</f>
        <v/>
      </c>
      <c r="BJ22" s="51">
        <f>IF(AY22=1,$AS22/(1+($AR$111+시나리오!$A$4/10000)/2)^(AZ22-1),0)</f>
        <v/>
      </c>
      <c r="BK22" s="51">
        <f>IF(AY22=1,$AS22/(1+($AR$111+시나리오!$A$5/10000)/2)^(AZ22-1),0)</f>
        <v/>
      </c>
      <c r="BL22" s="51">
        <f>IF(AY22=1,$AS22/(1+($AR$111+시나리오!$A$6/10000)/2)^(AZ22-1),0)</f>
        <v/>
      </c>
      <c r="BM22" s="51">
        <f>IF(AY22=1,$AS22/(1+($AR$111+시나리오!$A$7/10000)/2)^(AZ22-1),0)</f>
        <v/>
      </c>
      <c r="BN22" s="51">
        <f>IF(AY22=1,$AS22/(1+($AR$111+시나리오!$A$8/10000)/2)^(AZ22-1),0)</f>
        <v/>
      </c>
      <c r="BO22" s="51">
        <f>IF(AY22=1,$AS22/(1+($AR$111+시나리오!$A$9/10000)/2)^(AZ22-1),0)</f>
        <v/>
      </c>
      <c r="BP22" s="51">
        <f>IF(AY22=1,$AS22/(1+($AR$111+시나리오!$A$10/10000)/2)^(AZ22-1),0)</f>
        <v/>
      </c>
      <c r="BQ22" s="51">
        <f>IF(AY22=1,$AS22/(1+($AR$111+시나리오!$A$11/10000)/2)^(AZ22-1),0)</f>
        <v/>
      </c>
      <c r="BR22" s="51">
        <f>IF(AY22=1,$AS22/(1+($AR$111+시나리오!$A$12/10000)/2)^(AZ22-1),0)</f>
        <v/>
      </c>
      <c r="BS22" s="51">
        <f>IF(AY22=1,$AS22/(1+($AR$111+시나리오!$A$13/10000)/2)^(AZ22-1),0)</f>
        <v/>
      </c>
      <c r="BT22" s="51">
        <f>IF(AY22=1,$AS22/(1+($AR$111+시나리오!$A$14/10000)/2)^(AZ22-1),0)</f>
        <v/>
      </c>
      <c r="BU22" s="51">
        <f>IF(AY22=1,$AS22/(1+($AR$111+시나리오!$A$15/10000)/2)^(AZ22-1),0)</f>
        <v/>
      </c>
      <c r="BV22" s="51">
        <f>IF(AY22=1,$AS22/(1+($AR$111+시나리오!$A$16/10000)/2)^(AZ22-1),0)</f>
        <v/>
      </c>
      <c r="BW22" s="51">
        <f>IF(AY22=1,$AS22/(1+($AR$111+시나리오!$A$17/10000)/2)^(AZ22-1),0)</f>
        <v/>
      </c>
      <c r="BX22" s="51">
        <f>IF(AY22=1,$AS22/(1+($AR$111+시나리오!$A$18/10000)/2)^(AZ22-1),0)</f>
        <v/>
      </c>
      <c r="BY22" s="51">
        <f>IF(AY22=1,$AS22/(1+($AR$111+시나리오!$A$19/10000)/2)^(AZ22-1),0)</f>
        <v/>
      </c>
      <c r="BZ22" s="51">
        <f>IF(AY22=1,$AS22/(1+($AR$111+시나리오!$A$20/10000)/2)^(AZ22-1),0)</f>
        <v/>
      </c>
      <c r="CA22" s="51">
        <f>IF(AY22=1,$AS22/(1+($AR$111+시나리오!$A$21/10000)/2)^(AZ22-1),0)</f>
        <v/>
      </c>
      <c r="CB22" s="51">
        <f>IF(AY22=1,$AS22/(1+($AR$111+시나리오!$A$22/10000)/2)^(AZ22-1),0)</f>
        <v/>
      </c>
      <c r="CC22" s="51">
        <f>IF(AY22=1,$AS22/(1+($AR$111+시나리오!$A$23/10000)/2)^(AZ22-1),0)</f>
        <v/>
      </c>
      <c r="CD22" s="51">
        <f>IF(AY22=1,$AS22/(1+($AR$111+시나리오!$A$24/10000)/2)^(AZ22-1),0)</f>
        <v/>
      </c>
      <c r="CG22" s="49" t="n">
        <v>8</v>
      </c>
      <c r="CH22" s="50">
        <f>EDATE($CH$2,-6*(62-$CG22))</f>
        <v/>
      </c>
      <c r="CI22" s="51">
        <f>IF(AND(CH22&gt;$CH$3,CH22&lt;=$CH$2),IF(CH22=$CH$2,$CH$5+100,$CH$5),0)</f>
        <v/>
      </c>
      <c r="CJ22" s="49">
        <f>IF(AND($CI22&gt;0,CH22&gt;$CH$6),1,0)</f>
        <v/>
      </c>
      <c r="CK22" s="49">
        <f>IF(CJ22=1,SUM($CJ$15:CJ22),"")</f>
        <v/>
      </c>
      <c r="CL22" s="51">
        <f>IF(CJ22=1,$CI22/(1+$CH$8/2)^(CK22-1),0)</f>
        <v/>
      </c>
      <c r="CM22" s="51">
        <f>IF(CJ22=1,$CI22/(1+($CH$8+0.0001)/2)^(CK22-1),0)</f>
        <v/>
      </c>
      <c r="CN22" s="51">
        <f>IF(CJ22=1,$CI22/(1+($CH$8-0.0001)/2)^(CK22-1),0)</f>
        <v/>
      </c>
      <c r="CO22" s="49">
        <f>IF(AND($CI22&gt;0,CH22&gt;$CH$7),1,0)</f>
        <v/>
      </c>
      <c r="CP22" s="49">
        <f>IF(CO22=1,SUM($CO$15:CO22),"")</f>
        <v/>
      </c>
      <c r="CQ22" s="51">
        <f>IF(CO22=1,$CI22/(1+$CH$104/2)^(CP22-1),0)</f>
        <v/>
      </c>
      <c r="CR22" s="51">
        <f>IF(CO22=1,$CI22/(1+($CH$104+0.0001)/2)^(CP22-1),0)</f>
        <v/>
      </c>
      <c r="CS22" s="51">
        <f>IF(CO22=1,$CI22/(1+($CH$104-0.0001)/2)^(CP22-1),0)</f>
        <v/>
      </c>
      <c r="CT22" s="51">
        <f>IF(CO22=1,$CI22/(1+$CH$109/2)^(CP22-1),0)</f>
        <v/>
      </c>
      <c r="CU22" s="51">
        <f>IF(CO22=1,$CI22/(1+$CH$111/2)^(CP22-1),0)</f>
        <v/>
      </c>
      <c r="CV22" s="51">
        <f>IF(CO22=1,$CI22/(1+($CH$111+0.0001)/2)^(CP22-1),0)</f>
        <v/>
      </c>
      <c r="CW22" s="51">
        <f>IF(CO22=1,$CI22/(1+($CH$111-0.0001)/2)^(CP22-1),0)</f>
        <v/>
      </c>
      <c r="CX22" s="51">
        <f>IF(AND($CI22&gt;0,CH22&gt;$CH$6,CH22&lt;=$CH$7),$CI22*(1+$CH$10*($CH$7-CH22)/365),0)</f>
        <v/>
      </c>
      <c r="CY22" s="51">
        <f>IF(CO22=1,$CI22/(1+($CH$111+손익!$B$24/10000)/2)^(CP22-1),0)</f>
        <v/>
      </c>
      <c r="CZ22" s="51">
        <f>IF(CO22=1,$CI22/(1+($CH$111+시나리오!$A$4/10000)/2)^(CP22-1),0)</f>
        <v/>
      </c>
      <c r="DA22" s="51">
        <f>IF(CO22=1,$CI22/(1+($CH$111+시나리오!$A$5/10000)/2)^(CP22-1),0)</f>
        <v/>
      </c>
      <c r="DB22" s="51">
        <f>IF(CO22=1,$CI22/(1+($CH$111+시나리오!$A$6/10000)/2)^(CP22-1),0)</f>
        <v/>
      </c>
      <c r="DC22" s="51">
        <f>IF(CO22=1,$CI22/(1+($CH$111+시나리오!$A$7/10000)/2)^(CP22-1),0)</f>
        <v/>
      </c>
      <c r="DD22" s="51">
        <f>IF(CO22=1,$CI22/(1+($CH$111+시나리오!$A$8/10000)/2)^(CP22-1),0)</f>
        <v/>
      </c>
      <c r="DE22" s="51">
        <f>IF(CO22=1,$CI22/(1+($CH$111+시나리오!$A$9/10000)/2)^(CP22-1),0)</f>
        <v/>
      </c>
      <c r="DF22" s="51">
        <f>IF(CO22=1,$CI22/(1+($CH$111+시나리오!$A$10/10000)/2)^(CP22-1),0)</f>
        <v/>
      </c>
      <c r="DG22" s="51">
        <f>IF(CO22=1,$CI22/(1+($CH$111+시나리오!$A$11/10000)/2)^(CP22-1),0)</f>
        <v/>
      </c>
      <c r="DH22" s="51">
        <f>IF(CO22=1,$CI22/(1+($CH$111+시나리오!$A$12/10000)/2)^(CP22-1),0)</f>
        <v/>
      </c>
      <c r="DI22" s="51">
        <f>IF(CO22=1,$CI22/(1+($CH$111+시나리오!$A$13/10000)/2)^(CP22-1),0)</f>
        <v/>
      </c>
      <c r="DJ22" s="51">
        <f>IF(CO22=1,$CI22/(1+($CH$111+시나리오!$A$14/10000)/2)^(CP22-1),0)</f>
        <v/>
      </c>
      <c r="DK22" s="51">
        <f>IF(CO22=1,$CI22/(1+($CH$111+시나리오!$A$15/10000)/2)^(CP22-1),0)</f>
        <v/>
      </c>
      <c r="DL22" s="51">
        <f>IF(CO22=1,$CI22/(1+($CH$111+시나리오!$A$16/10000)/2)^(CP22-1),0)</f>
        <v/>
      </c>
      <c r="DM22" s="51">
        <f>IF(CO22=1,$CI22/(1+($CH$111+시나리오!$A$17/10000)/2)^(CP22-1),0)</f>
        <v/>
      </c>
      <c r="DN22" s="51">
        <f>IF(CO22=1,$CI22/(1+($CH$111+시나리오!$A$18/10000)/2)^(CP22-1),0)</f>
        <v/>
      </c>
      <c r="DO22" s="51">
        <f>IF(CO22=1,$CI22/(1+($CH$111+시나리오!$A$19/10000)/2)^(CP22-1),0)</f>
        <v/>
      </c>
      <c r="DP22" s="51">
        <f>IF(CO22=1,$CI22/(1+($CH$111+시나리오!$A$20/10000)/2)^(CP22-1),0)</f>
        <v/>
      </c>
      <c r="DQ22" s="51">
        <f>IF(CO22=1,$CI22/(1+($CH$111+시나리오!$A$21/10000)/2)^(CP22-1),0)</f>
        <v/>
      </c>
      <c r="DR22" s="51">
        <f>IF(CO22=1,$CI22/(1+($CH$111+시나리오!$A$22/10000)/2)^(CP22-1),0)</f>
        <v/>
      </c>
      <c r="DS22" s="51">
        <f>IF(CO22=1,$CI22/(1+($CH$111+시나리오!$A$23/10000)/2)^(CP22-1),0)</f>
        <v/>
      </c>
      <c r="DT22" s="51">
        <f>IF(CO22=1,$CI22/(1+($CH$111+시나리오!$A$24/10000)/2)^(CP22-1),0)</f>
        <v/>
      </c>
    </row>
    <row r="23">
      <c r="A23" s="49" t="n">
        <v>9</v>
      </c>
      <c r="B23" s="50">
        <f>EDATE($B$2,-6*(62-$A23))</f>
        <v/>
      </c>
      <c r="C23" s="51">
        <f>IF(AND(B23&gt;$B$3,B23&lt;=$B$2),IF(B23=$B$2,$B$5+100,$B$5),0)</f>
        <v/>
      </c>
      <c r="D23" s="49">
        <f>IF(AND($C23&gt;0,B23&gt;$B$6),1,0)</f>
        <v/>
      </c>
      <c r="E23" s="49">
        <f>IF(D23=1,SUM($D$15:D23),"")</f>
        <v/>
      </c>
      <c r="F23" s="51">
        <f>IF(D23=1,$C23/(1+$B$8/2)^(E23-1),0)</f>
        <v/>
      </c>
      <c r="G23" s="51">
        <f>IF(D23=1,$C23/(1+($B$8+0.0001)/2)^(E23-1),0)</f>
        <v/>
      </c>
      <c r="H23" s="51">
        <f>IF(D23=1,$C23/(1+($B$8-0.0001)/2)^(E23-1),0)</f>
        <v/>
      </c>
      <c r="I23" s="49">
        <f>IF(AND($C23&gt;0,B23&gt;$B$7),1,0)</f>
        <v/>
      </c>
      <c r="J23" s="49">
        <f>IF(I23=1,SUM($I$15:I23),"")</f>
        <v/>
      </c>
      <c r="K23" s="51">
        <f>IF(I23=1,$C23/(1+$B$104/2)^(J23-1),0)</f>
        <v/>
      </c>
      <c r="L23" s="51">
        <f>IF(I23=1,$C23/(1+($B$104+0.0001)/2)^(J23-1),0)</f>
        <v/>
      </c>
      <c r="M23" s="51">
        <f>IF(I23=1,$C23/(1+($B$104-0.0001)/2)^(J23-1),0)</f>
        <v/>
      </c>
      <c r="N23" s="51">
        <f>IF(I23=1,$C23/(1+$B$109/2)^(J23-1),0)</f>
        <v/>
      </c>
      <c r="O23" s="51">
        <f>IF(I23=1,$C23/(1+$B$111/2)^(J23-1),0)</f>
        <v/>
      </c>
      <c r="P23" s="51">
        <f>IF(I23=1,$C23/(1+($B$111+0.0001)/2)^(J23-1),0)</f>
        <v/>
      </c>
      <c r="Q23" s="51">
        <f>IF(I23=1,$C23/(1+($B$111-0.0001)/2)^(J23-1),0)</f>
        <v/>
      </c>
      <c r="R23" s="51">
        <f>IF(AND($C23&gt;0,B23&gt;$B$6,B23&lt;=$B$7),$C23*(1+$B$10*($B$7-B23)/365),0)</f>
        <v/>
      </c>
      <c r="S23" s="51">
        <f>IF(I23=1,$C23/(1+($B$111+손익!$B$24/10000)/2)^(J23-1),0)</f>
        <v/>
      </c>
      <c r="T23" s="51">
        <f>IF(I23=1,$C23/(1+($B$111+시나리오!$A$4/10000)/2)^(J23-1),0)</f>
        <v/>
      </c>
      <c r="U23" s="51">
        <f>IF(I23=1,$C23/(1+($B$111+시나리오!$A$5/10000)/2)^(J23-1),0)</f>
        <v/>
      </c>
      <c r="V23" s="51">
        <f>IF(I23=1,$C23/(1+($B$111+시나리오!$A$6/10000)/2)^(J23-1),0)</f>
        <v/>
      </c>
      <c r="W23" s="51">
        <f>IF(I23=1,$C23/(1+($B$111+시나리오!$A$7/10000)/2)^(J23-1),0)</f>
        <v/>
      </c>
      <c r="X23" s="51">
        <f>IF(I23=1,$C23/(1+($B$111+시나리오!$A$8/10000)/2)^(J23-1),0)</f>
        <v/>
      </c>
      <c r="Y23" s="51">
        <f>IF(I23=1,$C23/(1+($B$111+시나리오!$A$9/10000)/2)^(J23-1),0)</f>
        <v/>
      </c>
      <c r="Z23" s="51">
        <f>IF(I23=1,$C23/(1+($B$111+시나리오!$A$10/10000)/2)^(J23-1),0)</f>
        <v/>
      </c>
      <c r="AA23" s="51">
        <f>IF(I23=1,$C23/(1+($B$111+시나리오!$A$11/10000)/2)^(J23-1),0)</f>
        <v/>
      </c>
      <c r="AB23" s="51">
        <f>IF(I23=1,$C23/(1+($B$111+시나리오!$A$12/10000)/2)^(J23-1),0)</f>
        <v/>
      </c>
      <c r="AC23" s="51">
        <f>IF(I23=1,$C23/(1+($B$111+시나리오!$A$13/10000)/2)^(J23-1),0)</f>
        <v/>
      </c>
      <c r="AD23" s="51">
        <f>IF(I23=1,$C23/(1+($B$111+시나리오!$A$14/10000)/2)^(J23-1),0)</f>
        <v/>
      </c>
      <c r="AE23" s="51">
        <f>IF(I23=1,$C23/(1+($B$111+시나리오!$A$15/10000)/2)^(J23-1),0)</f>
        <v/>
      </c>
      <c r="AF23" s="51">
        <f>IF(I23=1,$C23/(1+($B$111+시나리오!$A$16/10000)/2)^(J23-1),0)</f>
        <v/>
      </c>
      <c r="AG23" s="51">
        <f>IF(I23=1,$C23/(1+($B$111+시나리오!$A$17/10000)/2)^(J23-1),0)</f>
        <v/>
      </c>
      <c r="AH23" s="51">
        <f>IF(I23=1,$C23/(1+($B$111+시나리오!$A$18/10000)/2)^(J23-1),0)</f>
        <v/>
      </c>
      <c r="AI23" s="51">
        <f>IF(I23=1,$C23/(1+($B$111+시나리오!$A$19/10000)/2)^(J23-1),0)</f>
        <v/>
      </c>
      <c r="AJ23" s="51">
        <f>IF(I23=1,$C23/(1+($B$111+시나리오!$A$20/10000)/2)^(J23-1),0)</f>
        <v/>
      </c>
      <c r="AK23" s="51">
        <f>IF(I23=1,$C23/(1+($B$111+시나리오!$A$21/10000)/2)^(J23-1),0)</f>
        <v/>
      </c>
      <c r="AL23" s="51">
        <f>IF(I23=1,$C23/(1+($B$111+시나리오!$A$22/10000)/2)^(J23-1),0)</f>
        <v/>
      </c>
      <c r="AM23" s="51">
        <f>IF(I23=1,$C23/(1+($B$111+시나리오!$A$23/10000)/2)^(J23-1),0)</f>
        <v/>
      </c>
      <c r="AN23" s="51">
        <f>IF(I23=1,$C23/(1+($B$111+시나리오!$A$24/10000)/2)^(J23-1),0)</f>
        <v/>
      </c>
      <c r="AQ23" s="49" t="n">
        <v>9</v>
      </c>
      <c r="AR23" s="50">
        <f>EDATE($AR$2,-6*(62-$AQ23))</f>
        <v/>
      </c>
      <c r="AS23" s="51">
        <f>IF(AND(AR23&gt;$AR$3,AR23&lt;=$AR$2),IF(AR23=$AR$2,$AR$5+100,$AR$5),0)</f>
        <v/>
      </c>
      <c r="AT23" s="49">
        <f>IF(AND($AS23&gt;0,AR23&gt;$AR$6),1,0)</f>
        <v/>
      </c>
      <c r="AU23" s="49">
        <f>IF(AT23=1,SUM($AT$15:AT23),"")</f>
        <v/>
      </c>
      <c r="AV23" s="51">
        <f>IF(AT23=1,$AS23/(1+$AR$8/2)^(AU23-1),0)</f>
        <v/>
      </c>
      <c r="AW23" s="51">
        <f>IF(AT23=1,$AS23/(1+($AR$8+0.0001)/2)^(AU23-1),0)</f>
        <v/>
      </c>
      <c r="AX23" s="51">
        <f>IF(AT23=1,$AS23/(1+($AR$8-0.0001)/2)^(AU23-1),0)</f>
        <v/>
      </c>
      <c r="AY23" s="49">
        <f>IF(AND($AS23&gt;0,AR23&gt;$AR$7),1,0)</f>
        <v/>
      </c>
      <c r="AZ23" s="49">
        <f>IF(AY23=1,SUM($AY$15:AY23),"")</f>
        <v/>
      </c>
      <c r="BA23" s="51">
        <f>IF(AY23=1,$AS23/(1+$AR$104/2)^(AZ23-1),0)</f>
        <v/>
      </c>
      <c r="BB23" s="51">
        <f>IF(AY23=1,$AS23/(1+($AR$104+0.0001)/2)^(AZ23-1),0)</f>
        <v/>
      </c>
      <c r="BC23" s="51">
        <f>IF(AY23=1,$AS23/(1+($AR$104-0.0001)/2)^(AZ23-1),0)</f>
        <v/>
      </c>
      <c r="BD23" s="51">
        <f>IF(AY23=1,$AS23/(1+$AR$109/2)^(AZ23-1),0)</f>
        <v/>
      </c>
      <c r="BE23" s="51">
        <f>IF(AY23=1,$AS23/(1+$AR$111/2)^(AZ23-1),0)</f>
        <v/>
      </c>
      <c r="BF23" s="51">
        <f>IF(AY23=1,$AS23/(1+($AR$111+0.0001)/2)^(AZ23-1),0)</f>
        <v/>
      </c>
      <c r="BG23" s="51">
        <f>IF(AY23=1,$AS23/(1+($AR$111-0.0001)/2)^(AZ23-1),0)</f>
        <v/>
      </c>
      <c r="BH23" s="51">
        <f>IF(AND($AS23&gt;0,AR23&gt;$AR$6,AR23&lt;=$AR$7),$AS23*(1+$AR$10*($AR$7-AR23)/365),0)</f>
        <v/>
      </c>
      <c r="BI23" s="51">
        <f>IF(AY23=1,$AS23/(1+($AR$111+손익!$B$24/10000)/2)^(AZ23-1),0)</f>
        <v/>
      </c>
      <c r="BJ23" s="51">
        <f>IF(AY23=1,$AS23/(1+($AR$111+시나리오!$A$4/10000)/2)^(AZ23-1),0)</f>
        <v/>
      </c>
      <c r="BK23" s="51">
        <f>IF(AY23=1,$AS23/(1+($AR$111+시나리오!$A$5/10000)/2)^(AZ23-1),0)</f>
        <v/>
      </c>
      <c r="BL23" s="51">
        <f>IF(AY23=1,$AS23/(1+($AR$111+시나리오!$A$6/10000)/2)^(AZ23-1),0)</f>
        <v/>
      </c>
      <c r="BM23" s="51">
        <f>IF(AY23=1,$AS23/(1+($AR$111+시나리오!$A$7/10000)/2)^(AZ23-1),0)</f>
        <v/>
      </c>
      <c r="BN23" s="51">
        <f>IF(AY23=1,$AS23/(1+($AR$111+시나리오!$A$8/10000)/2)^(AZ23-1),0)</f>
        <v/>
      </c>
      <c r="BO23" s="51">
        <f>IF(AY23=1,$AS23/(1+($AR$111+시나리오!$A$9/10000)/2)^(AZ23-1),0)</f>
        <v/>
      </c>
      <c r="BP23" s="51">
        <f>IF(AY23=1,$AS23/(1+($AR$111+시나리오!$A$10/10000)/2)^(AZ23-1),0)</f>
        <v/>
      </c>
      <c r="BQ23" s="51">
        <f>IF(AY23=1,$AS23/(1+($AR$111+시나리오!$A$11/10000)/2)^(AZ23-1),0)</f>
        <v/>
      </c>
      <c r="BR23" s="51">
        <f>IF(AY23=1,$AS23/(1+($AR$111+시나리오!$A$12/10000)/2)^(AZ23-1),0)</f>
        <v/>
      </c>
      <c r="BS23" s="51">
        <f>IF(AY23=1,$AS23/(1+($AR$111+시나리오!$A$13/10000)/2)^(AZ23-1),0)</f>
        <v/>
      </c>
      <c r="BT23" s="51">
        <f>IF(AY23=1,$AS23/(1+($AR$111+시나리오!$A$14/10000)/2)^(AZ23-1),0)</f>
        <v/>
      </c>
      <c r="BU23" s="51">
        <f>IF(AY23=1,$AS23/(1+($AR$111+시나리오!$A$15/10000)/2)^(AZ23-1),0)</f>
        <v/>
      </c>
      <c r="BV23" s="51">
        <f>IF(AY23=1,$AS23/(1+($AR$111+시나리오!$A$16/10000)/2)^(AZ23-1),0)</f>
        <v/>
      </c>
      <c r="BW23" s="51">
        <f>IF(AY23=1,$AS23/(1+($AR$111+시나리오!$A$17/10000)/2)^(AZ23-1),0)</f>
        <v/>
      </c>
      <c r="BX23" s="51">
        <f>IF(AY23=1,$AS23/(1+($AR$111+시나리오!$A$18/10000)/2)^(AZ23-1),0)</f>
        <v/>
      </c>
      <c r="BY23" s="51">
        <f>IF(AY23=1,$AS23/(1+($AR$111+시나리오!$A$19/10000)/2)^(AZ23-1),0)</f>
        <v/>
      </c>
      <c r="BZ23" s="51">
        <f>IF(AY23=1,$AS23/(1+($AR$111+시나리오!$A$20/10000)/2)^(AZ23-1),0)</f>
        <v/>
      </c>
      <c r="CA23" s="51">
        <f>IF(AY23=1,$AS23/(1+($AR$111+시나리오!$A$21/10000)/2)^(AZ23-1),0)</f>
        <v/>
      </c>
      <c r="CB23" s="51">
        <f>IF(AY23=1,$AS23/(1+($AR$111+시나리오!$A$22/10000)/2)^(AZ23-1),0)</f>
        <v/>
      </c>
      <c r="CC23" s="51">
        <f>IF(AY23=1,$AS23/(1+($AR$111+시나리오!$A$23/10000)/2)^(AZ23-1),0)</f>
        <v/>
      </c>
      <c r="CD23" s="51">
        <f>IF(AY23=1,$AS23/(1+($AR$111+시나리오!$A$24/10000)/2)^(AZ23-1),0)</f>
        <v/>
      </c>
      <c r="CG23" s="49" t="n">
        <v>9</v>
      </c>
      <c r="CH23" s="50">
        <f>EDATE($CH$2,-6*(62-$CG23))</f>
        <v/>
      </c>
      <c r="CI23" s="51">
        <f>IF(AND(CH23&gt;$CH$3,CH23&lt;=$CH$2),IF(CH23=$CH$2,$CH$5+100,$CH$5),0)</f>
        <v/>
      </c>
      <c r="CJ23" s="49">
        <f>IF(AND($CI23&gt;0,CH23&gt;$CH$6),1,0)</f>
        <v/>
      </c>
      <c r="CK23" s="49">
        <f>IF(CJ23=1,SUM($CJ$15:CJ23),"")</f>
        <v/>
      </c>
      <c r="CL23" s="51">
        <f>IF(CJ23=1,$CI23/(1+$CH$8/2)^(CK23-1),0)</f>
        <v/>
      </c>
      <c r="CM23" s="51">
        <f>IF(CJ23=1,$CI23/(1+($CH$8+0.0001)/2)^(CK23-1),0)</f>
        <v/>
      </c>
      <c r="CN23" s="51">
        <f>IF(CJ23=1,$CI23/(1+($CH$8-0.0001)/2)^(CK23-1),0)</f>
        <v/>
      </c>
      <c r="CO23" s="49">
        <f>IF(AND($CI23&gt;0,CH23&gt;$CH$7),1,0)</f>
        <v/>
      </c>
      <c r="CP23" s="49">
        <f>IF(CO23=1,SUM($CO$15:CO23),"")</f>
        <v/>
      </c>
      <c r="CQ23" s="51">
        <f>IF(CO23=1,$CI23/(1+$CH$104/2)^(CP23-1),0)</f>
        <v/>
      </c>
      <c r="CR23" s="51">
        <f>IF(CO23=1,$CI23/(1+($CH$104+0.0001)/2)^(CP23-1),0)</f>
        <v/>
      </c>
      <c r="CS23" s="51">
        <f>IF(CO23=1,$CI23/(1+($CH$104-0.0001)/2)^(CP23-1),0)</f>
        <v/>
      </c>
      <c r="CT23" s="51">
        <f>IF(CO23=1,$CI23/(1+$CH$109/2)^(CP23-1),0)</f>
        <v/>
      </c>
      <c r="CU23" s="51">
        <f>IF(CO23=1,$CI23/(1+$CH$111/2)^(CP23-1),0)</f>
        <v/>
      </c>
      <c r="CV23" s="51">
        <f>IF(CO23=1,$CI23/(1+($CH$111+0.0001)/2)^(CP23-1),0)</f>
        <v/>
      </c>
      <c r="CW23" s="51">
        <f>IF(CO23=1,$CI23/(1+($CH$111-0.0001)/2)^(CP23-1),0)</f>
        <v/>
      </c>
      <c r="CX23" s="51">
        <f>IF(AND($CI23&gt;0,CH23&gt;$CH$6,CH23&lt;=$CH$7),$CI23*(1+$CH$10*($CH$7-CH23)/365),0)</f>
        <v/>
      </c>
      <c r="CY23" s="51">
        <f>IF(CO23=1,$CI23/(1+($CH$111+손익!$B$24/10000)/2)^(CP23-1),0)</f>
        <v/>
      </c>
      <c r="CZ23" s="51">
        <f>IF(CO23=1,$CI23/(1+($CH$111+시나리오!$A$4/10000)/2)^(CP23-1),0)</f>
        <v/>
      </c>
      <c r="DA23" s="51">
        <f>IF(CO23=1,$CI23/(1+($CH$111+시나리오!$A$5/10000)/2)^(CP23-1),0)</f>
        <v/>
      </c>
      <c r="DB23" s="51">
        <f>IF(CO23=1,$CI23/(1+($CH$111+시나리오!$A$6/10000)/2)^(CP23-1),0)</f>
        <v/>
      </c>
      <c r="DC23" s="51">
        <f>IF(CO23=1,$CI23/(1+($CH$111+시나리오!$A$7/10000)/2)^(CP23-1),0)</f>
        <v/>
      </c>
      <c r="DD23" s="51">
        <f>IF(CO23=1,$CI23/(1+($CH$111+시나리오!$A$8/10000)/2)^(CP23-1),0)</f>
        <v/>
      </c>
      <c r="DE23" s="51">
        <f>IF(CO23=1,$CI23/(1+($CH$111+시나리오!$A$9/10000)/2)^(CP23-1),0)</f>
        <v/>
      </c>
      <c r="DF23" s="51">
        <f>IF(CO23=1,$CI23/(1+($CH$111+시나리오!$A$10/10000)/2)^(CP23-1),0)</f>
        <v/>
      </c>
      <c r="DG23" s="51">
        <f>IF(CO23=1,$CI23/(1+($CH$111+시나리오!$A$11/10000)/2)^(CP23-1),0)</f>
        <v/>
      </c>
      <c r="DH23" s="51">
        <f>IF(CO23=1,$CI23/(1+($CH$111+시나리오!$A$12/10000)/2)^(CP23-1),0)</f>
        <v/>
      </c>
      <c r="DI23" s="51">
        <f>IF(CO23=1,$CI23/(1+($CH$111+시나리오!$A$13/10000)/2)^(CP23-1),0)</f>
        <v/>
      </c>
      <c r="DJ23" s="51">
        <f>IF(CO23=1,$CI23/(1+($CH$111+시나리오!$A$14/10000)/2)^(CP23-1),0)</f>
        <v/>
      </c>
      <c r="DK23" s="51">
        <f>IF(CO23=1,$CI23/(1+($CH$111+시나리오!$A$15/10000)/2)^(CP23-1),0)</f>
        <v/>
      </c>
      <c r="DL23" s="51">
        <f>IF(CO23=1,$CI23/(1+($CH$111+시나리오!$A$16/10000)/2)^(CP23-1),0)</f>
        <v/>
      </c>
      <c r="DM23" s="51">
        <f>IF(CO23=1,$CI23/(1+($CH$111+시나리오!$A$17/10000)/2)^(CP23-1),0)</f>
        <v/>
      </c>
      <c r="DN23" s="51">
        <f>IF(CO23=1,$CI23/(1+($CH$111+시나리오!$A$18/10000)/2)^(CP23-1),0)</f>
        <v/>
      </c>
      <c r="DO23" s="51">
        <f>IF(CO23=1,$CI23/(1+($CH$111+시나리오!$A$19/10000)/2)^(CP23-1),0)</f>
        <v/>
      </c>
      <c r="DP23" s="51">
        <f>IF(CO23=1,$CI23/(1+($CH$111+시나리오!$A$20/10000)/2)^(CP23-1),0)</f>
        <v/>
      </c>
      <c r="DQ23" s="51">
        <f>IF(CO23=1,$CI23/(1+($CH$111+시나리오!$A$21/10000)/2)^(CP23-1),0)</f>
        <v/>
      </c>
      <c r="DR23" s="51">
        <f>IF(CO23=1,$CI23/(1+($CH$111+시나리오!$A$22/10000)/2)^(CP23-1),0)</f>
        <v/>
      </c>
      <c r="DS23" s="51">
        <f>IF(CO23=1,$CI23/(1+($CH$111+시나리오!$A$23/10000)/2)^(CP23-1),0)</f>
        <v/>
      </c>
      <c r="DT23" s="51">
        <f>IF(CO23=1,$CI23/(1+($CH$111+시나리오!$A$24/10000)/2)^(CP23-1),0)</f>
        <v/>
      </c>
    </row>
    <row r="24">
      <c r="A24" s="49" t="n">
        <v>10</v>
      </c>
      <c r="B24" s="50">
        <f>EDATE($B$2,-6*(62-$A24))</f>
        <v/>
      </c>
      <c r="C24" s="51">
        <f>IF(AND(B24&gt;$B$3,B24&lt;=$B$2),IF(B24=$B$2,$B$5+100,$B$5),0)</f>
        <v/>
      </c>
      <c r="D24" s="49">
        <f>IF(AND($C24&gt;0,B24&gt;$B$6),1,0)</f>
        <v/>
      </c>
      <c r="E24" s="49">
        <f>IF(D24=1,SUM($D$15:D24),"")</f>
        <v/>
      </c>
      <c r="F24" s="51">
        <f>IF(D24=1,$C24/(1+$B$8/2)^(E24-1),0)</f>
        <v/>
      </c>
      <c r="G24" s="51">
        <f>IF(D24=1,$C24/(1+($B$8+0.0001)/2)^(E24-1),0)</f>
        <v/>
      </c>
      <c r="H24" s="51">
        <f>IF(D24=1,$C24/(1+($B$8-0.0001)/2)^(E24-1),0)</f>
        <v/>
      </c>
      <c r="I24" s="49">
        <f>IF(AND($C24&gt;0,B24&gt;$B$7),1,0)</f>
        <v/>
      </c>
      <c r="J24" s="49">
        <f>IF(I24=1,SUM($I$15:I24),"")</f>
        <v/>
      </c>
      <c r="K24" s="51">
        <f>IF(I24=1,$C24/(1+$B$104/2)^(J24-1),0)</f>
        <v/>
      </c>
      <c r="L24" s="51">
        <f>IF(I24=1,$C24/(1+($B$104+0.0001)/2)^(J24-1),0)</f>
        <v/>
      </c>
      <c r="M24" s="51">
        <f>IF(I24=1,$C24/(1+($B$104-0.0001)/2)^(J24-1),0)</f>
        <v/>
      </c>
      <c r="N24" s="51">
        <f>IF(I24=1,$C24/(1+$B$109/2)^(J24-1),0)</f>
        <v/>
      </c>
      <c r="O24" s="51">
        <f>IF(I24=1,$C24/(1+$B$111/2)^(J24-1),0)</f>
        <v/>
      </c>
      <c r="P24" s="51">
        <f>IF(I24=1,$C24/(1+($B$111+0.0001)/2)^(J24-1),0)</f>
        <v/>
      </c>
      <c r="Q24" s="51">
        <f>IF(I24=1,$C24/(1+($B$111-0.0001)/2)^(J24-1),0)</f>
        <v/>
      </c>
      <c r="R24" s="51">
        <f>IF(AND($C24&gt;0,B24&gt;$B$6,B24&lt;=$B$7),$C24*(1+$B$10*($B$7-B24)/365),0)</f>
        <v/>
      </c>
      <c r="S24" s="51">
        <f>IF(I24=1,$C24/(1+($B$111+손익!$B$24/10000)/2)^(J24-1),0)</f>
        <v/>
      </c>
      <c r="T24" s="51">
        <f>IF(I24=1,$C24/(1+($B$111+시나리오!$A$4/10000)/2)^(J24-1),0)</f>
        <v/>
      </c>
      <c r="U24" s="51">
        <f>IF(I24=1,$C24/(1+($B$111+시나리오!$A$5/10000)/2)^(J24-1),0)</f>
        <v/>
      </c>
      <c r="V24" s="51">
        <f>IF(I24=1,$C24/(1+($B$111+시나리오!$A$6/10000)/2)^(J24-1),0)</f>
        <v/>
      </c>
      <c r="W24" s="51">
        <f>IF(I24=1,$C24/(1+($B$111+시나리오!$A$7/10000)/2)^(J24-1),0)</f>
        <v/>
      </c>
      <c r="X24" s="51">
        <f>IF(I24=1,$C24/(1+($B$111+시나리오!$A$8/10000)/2)^(J24-1),0)</f>
        <v/>
      </c>
      <c r="Y24" s="51">
        <f>IF(I24=1,$C24/(1+($B$111+시나리오!$A$9/10000)/2)^(J24-1),0)</f>
        <v/>
      </c>
      <c r="Z24" s="51">
        <f>IF(I24=1,$C24/(1+($B$111+시나리오!$A$10/10000)/2)^(J24-1),0)</f>
        <v/>
      </c>
      <c r="AA24" s="51">
        <f>IF(I24=1,$C24/(1+($B$111+시나리오!$A$11/10000)/2)^(J24-1),0)</f>
        <v/>
      </c>
      <c r="AB24" s="51">
        <f>IF(I24=1,$C24/(1+($B$111+시나리오!$A$12/10000)/2)^(J24-1),0)</f>
        <v/>
      </c>
      <c r="AC24" s="51">
        <f>IF(I24=1,$C24/(1+($B$111+시나리오!$A$13/10000)/2)^(J24-1),0)</f>
        <v/>
      </c>
      <c r="AD24" s="51">
        <f>IF(I24=1,$C24/(1+($B$111+시나리오!$A$14/10000)/2)^(J24-1),0)</f>
        <v/>
      </c>
      <c r="AE24" s="51">
        <f>IF(I24=1,$C24/(1+($B$111+시나리오!$A$15/10000)/2)^(J24-1),0)</f>
        <v/>
      </c>
      <c r="AF24" s="51">
        <f>IF(I24=1,$C24/(1+($B$111+시나리오!$A$16/10000)/2)^(J24-1),0)</f>
        <v/>
      </c>
      <c r="AG24" s="51">
        <f>IF(I24=1,$C24/(1+($B$111+시나리오!$A$17/10000)/2)^(J24-1),0)</f>
        <v/>
      </c>
      <c r="AH24" s="51">
        <f>IF(I24=1,$C24/(1+($B$111+시나리오!$A$18/10000)/2)^(J24-1),0)</f>
        <v/>
      </c>
      <c r="AI24" s="51">
        <f>IF(I24=1,$C24/(1+($B$111+시나리오!$A$19/10000)/2)^(J24-1),0)</f>
        <v/>
      </c>
      <c r="AJ24" s="51">
        <f>IF(I24=1,$C24/(1+($B$111+시나리오!$A$20/10000)/2)^(J24-1),0)</f>
        <v/>
      </c>
      <c r="AK24" s="51">
        <f>IF(I24=1,$C24/(1+($B$111+시나리오!$A$21/10000)/2)^(J24-1),0)</f>
        <v/>
      </c>
      <c r="AL24" s="51">
        <f>IF(I24=1,$C24/(1+($B$111+시나리오!$A$22/10000)/2)^(J24-1),0)</f>
        <v/>
      </c>
      <c r="AM24" s="51">
        <f>IF(I24=1,$C24/(1+($B$111+시나리오!$A$23/10000)/2)^(J24-1),0)</f>
        <v/>
      </c>
      <c r="AN24" s="51">
        <f>IF(I24=1,$C24/(1+($B$111+시나리오!$A$24/10000)/2)^(J24-1),0)</f>
        <v/>
      </c>
      <c r="AQ24" s="49" t="n">
        <v>10</v>
      </c>
      <c r="AR24" s="50">
        <f>EDATE($AR$2,-6*(62-$AQ24))</f>
        <v/>
      </c>
      <c r="AS24" s="51">
        <f>IF(AND(AR24&gt;$AR$3,AR24&lt;=$AR$2),IF(AR24=$AR$2,$AR$5+100,$AR$5),0)</f>
        <v/>
      </c>
      <c r="AT24" s="49">
        <f>IF(AND($AS24&gt;0,AR24&gt;$AR$6),1,0)</f>
        <v/>
      </c>
      <c r="AU24" s="49">
        <f>IF(AT24=1,SUM($AT$15:AT24),"")</f>
        <v/>
      </c>
      <c r="AV24" s="51">
        <f>IF(AT24=1,$AS24/(1+$AR$8/2)^(AU24-1),0)</f>
        <v/>
      </c>
      <c r="AW24" s="51">
        <f>IF(AT24=1,$AS24/(1+($AR$8+0.0001)/2)^(AU24-1),0)</f>
        <v/>
      </c>
      <c r="AX24" s="51">
        <f>IF(AT24=1,$AS24/(1+($AR$8-0.0001)/2)^(AU24-1),0)</f>
        <v/>
      </c>
      <c r="AY24" s="49">
        <f>IF(AND($AS24&gt;0,AR24&gt;$AR$7),1,0)</f>
        <v/>
      </c>
      <c r="AZ24" s="49">
        <f>IF(AY24=1,SUM($AY$15:AY24),"")</f>
        <v/>
      </c>
      <c r="BA24" s="51">
        <f>IF(AY24=1,$AS24/(1+$AR$104/2)^(AZ24-1),0)</f>
        <v/>
      </c>
      <c r="BB24" s="51">
        <f>IF(AY24=1,$AS24/(1+($AR$104+0.0001)/2)^(AZ24-1),0)</f>
        <v/>
      </c>
      <c r="BC24" s="51">
        <f>IF(AY24=1,$AS24/(1+($AR$104-0.0001)/2)^(AZ24-1),0)</f>
        <v/>
      </c>
      <c r="BD24" s="51">
        <f>IF(AY24=1,$AS24/(1+$AR$109/2)^(AZ24-1),0)</f>
        <v/>
      </c>
      <c r="BE24" s="51">
        <f>IF(AY24=1,$AS24/(1+$AR$111/2)^(AZ24-1),0)</f>
        <v/>
      </c>
      <c r="BF24" s="51">
        <f>IF(AY24=1,$AS24/(1+($AR$111+0.0001)/2)^(AZ24-1),0)</f>
        <v/>
      </c>
      <c r="BG24" s="51">
        <f>IF(AY24=1,$AS24/(1+($AR$111-0.0001)/2)^(AZ24-1),0)</f>
        <v/>
      </c>
      <c r="BH24" s="51">
        <f>IF(AND($AS24&gt;0,AR24&gt;$AR$6,AR24&lt;=$AR$7),$AS24*(1+$AR$10*($AR$7-AR24)/365),0)</f>
        <v/>
      </c>
      <c r="BI24" s="51">
        <f>IF(AY24=1,$AS24/(1+($AR$111+손익!$B$24/10000)/2)^(AZ24-1),0)</f>
        <v/>
      </c>
      <c r="BJ24" s="51">
        <f>IF(AY24=1,$AS24/(1+($AR$111+시나리오!$A$4/10000)/2)^(AZ24-1),0)</f>
        <v/>
      </c>
      <c r="BK24" s="51">
        <f>IF(AY24=1,$AS24/(1+($AR$111+시나리오!$A$5/10000)/2)^(AZ24-1),0)</f>
        <v/>
      </c>
      <c r="BL24" s="51">
        <f>IF(AY24=1,$AS24/(1+($AR$111+시나리오!$A$6/10000)/2)^(AZ24-1),0)</f>
        <v/>
      </c>
      <c r="BM24" s="51">
        <f>IF(AY24=1,$AS24/(1+($AR$111+시나리오!$A$7/10000)/2)^(AZ24-1),0)</f>
        <v/>
      </c>
      <c r="BN24" s="51">
        <f>IF(AY24=1,$AS24/(1+($AR$111+시나리오!$A$8/10000)/2)^(AZ24-1),0)</f>
        <v/>
      </c>
      <c r="BO24" s="51">
        <f>IF(AY24=1,$AS24/(1+($AR$111+시나리오!$A$9/10000)/2)^(AZ24-1),0)</f>
        <v/>
      </c>
      <c r="BP24" s="51">
        <f>IF(AY24=1,$AS24/(1+($AR$111+시나리오!$A$10/10000)/2)^(AZ24-1),0)</f>
        <v/>
      </c>
      <c r="BQ24" s="51">
        <f>IF(AY24=1,$AS24/(1+($AR$111+시나리오!$A$11/10000)/2)^(AZ24-1),0)</f>
        <v/>
      </c>
      <c r="BR24" s="51">
        <f>IF(AY24=1,$AS24/(1+($AR$111+시나리오!$A$12/10000)/2)^(AZ24-1),0)</f>
        <v/>
      </c>
      <c r="BS24" s="51">
        <f>IF(AY24=1,$AS24/(1+($AR$111+시나리오!$A$13/10000)/2)^(AZ24-1),0)</f>
        <v/>
      </c>
      <c r="BT24" s="51">
        <f>IF(AY24=1,$AS24/(1+($AR$111+시나리오!$A$14/10000)/2)^(AZ24-1),0)</f>
        <v/>
      </c>
      <c r="BU24" s="51">
        <f>IF(AY24=1,$AS24/(1+($AR$111+시나리오!$A$15/10000)/2)^(AZ24-1),0)</f>
        <v/>
      </c>
      <c r="BV24" s="51">
        <f>IF(AY24=1,$AS24/(1+($AR$111+시나리오!$A$16/10000)/2)^(AZ24-1),0)</f>
        <v/>
      </c>
      <c r="BW24" s="51">
        <f>IF(AY24=1,$AS24/(1+($AR$111+시나리오!$A$17/10000)/2)^(AZ24-1),0)</f>
        <v/>
      </c>
      <c r="BX24" s="51">
        <f>IF(AY24=1,$AS24/(1+($AR$111+시나리오!$A$18/10000)/2)^(AZ24-1),0)</f>
        <v/>
      </c>
      <c r="BY24" s="51">
        <f>IF(AY24=1,$AS24/(1+($AR$111+시나리오!$A$19/10000)/2)^(AZ24-1),0)</f>
        <v/>
      </c>
      <c r="BZ24" s="51">
        <f>IF(AY24=1,$AS24/(1+($AR$111+시나리오!$A$20/10000)/2)^(AZ24-1),0)</f>
        <v/>
      </c>
      <c r="CA24" s="51">
        <f>IF(AY24=1,$AS24/(1+($AR$111+시나리오!$A$21/10000)/2)^(AZ24-1),0)</f>
        <v/>
      </c>
      <c r="CB24" s="51">
        <f>IF(AY24=1,$AS24/(1+($AR$111+시나리오!$A$22/10000)/2)^(AZ24-1),0)</f>
        <v/>
      </c>
      <c r="CC24" s="51">
        <f>IF(AY24=1,$AS24/(1+($AR$111+시나리오!$A$23/10000)/2)^(AZ24-1),0)</f>
        <v/>
      </c>
      <c r="CD24" s="51">
        <f>IF(AY24=1,$AS24/(1+($AR$111+시나리오!$A$24/10000)/2)^(AZ24-1),0)</f>
        <v/>
      </c>
      <c r="CG24" s="49" t="n">
        <v>10</v>
      </c>
      <c r="CH24" s="50">
        <f>EDATE($CH$2,-6*(62-$CG24))</f>
        <v/>
      </c>
      <c r="CI24" s="51">
        <f>IF(AND(CH24&gt;$CH$3,CH24&lt;=$CH$2),IF(CH24=$CH$2,$CH$5+100,$CH$5),0)</f>
        <v/>
      </c>
      <c r="CJ24" s="49">
        <f>IF(AND($CI24&gt;0,CH24&gt;$CH$6),1,0)</f>
        <v/>
      </c>
      <c r="CK24" s="49">
        <f>IF(CJ24=1,SUM($CJ$15:CJ24),"")</f>
        <v/>
      </c>
      <c r="CL24" s="51">
        <f>IF(CJ24=1,$CI24/(1+$CH$8/2)^(CK24-1),0)</f>
        <v/>
      </c>
      <c r="CM24" s="51">
        <f>IF(CJ24=1,$CI24/(1+($CH$8+0.0001)/2)^(CK24-1),0)</f>
        <v/>
      </c>
      <c r="CN24" s="51">
        <f>IF(CJ24=1,$CI24/(1+($CH$8-0.0001)/2)^(CK24-1),0)</f>
        <v/>
      </c>
      <c r="CO24" s="49">
        <f>IF(AND($CI24&gt;0,CH24&gt;$CH$7),1,0)</f>
        <v/>
      </c>
      <c r="CP24" s="49">
        <f>IF(CO24=1,SUM($CO$15:CO24),"")</f>
        <v/>
      </c>
      <c r="CQ24" s="51">
        <f>IF(CO24=1,$CI24/(1+$CH$104/2)^(CP24-1),0)</f>
        <v/>
      </c>
      <c r="CR24" s="51">
        <f>IF(CO24=1,$CI24/(1+($CH$104+0.0001)/2)^(CP24-1),0)</f>
        <v/>
      </c>
      <c r="CS24" s="51">
        <f>IF(CO24=1,$CI24/(1+($CH$104-0.0001)/2)^(CP24-1),0)</f>
        <v/>
      </c>
      <c r="CT24" s="51">
        <f>IF(CO24=1,$CI24/(1+$CH$109/2)^(CP24-1),0)</f>
        <v/>
      </c>
      <c r="CU24" s="51">
        <f>IF(CO24=1,$CI24/(1+$CH$111/2)^(CP24-1),0)</f>
        <v/>
      </c>
      <c r="CV24" s="51">
        <f>IF(CO24=1,$CI24/(1+($CH$111+0.0001)/2)^(CP24-1),0)</f>
        <v/>
      </c>
      <c r="CW24" s="51">
        <f>IF(CO24=1,$CI24/(1+($CH$111-0.0001)/2)^(CP24-1),0)</f>
        <v/>
      </c>
      <c r="CX24" s="51">
        <f>IF(AND($CI24&gt;0,CH24&gt;$CH$6,CH24&lt;=$CH$7),$CI24*(1+$CH$10*($CH$7-CH24)/365),0)</f>
        <v/>
      </c>
      <c r="CY24" s="51">
        <f>IF(CO24=1,$CI24/(1+($CH$111+손익!$B$24/10000)/2)^(CP24-1),0)</f>
        <v/>
      </c>
      <c r="CZ24" s="51">
        <f>IF(CO24=1,$CI24/(1+($CH$111+시나리오!$A$4/10000)/2)^(CP24-1),0)</f>
        <v/>
      </c>
      <c r="DA24" s="51">
        <f>IF(CO24=1,$CI24/(1+($CH$111+시나리오!$A$5/10000)/2)^(CP24-1),0)</f>
        <v/>
      </c>
      <c r="DB24" s="51">
        <f>IF(CO24=1,$CI24/(1+($CH$111+시나리오!$A$6/10000)/2)^(CP24-1),0)</f>
        <v/>
      </c>
      <c r="DC24" s="51">
        <f>IF(CO24=1,$CI24/(1+($CH$111+시나리오!$A$7/10000)/2)^(CP24-1),0)</f>
        <v/>
      </c>
      <c r="DD24" s="51">
        <f>IF(CO24=1,$CI24/(1+($CH$111+시나리오!$A$8/10000)/2)^(CP24-1),0)</f>
        <v/>
      </c>
      <c r="DE24" s="51">
        <f>IF(CO24=1,$CI24/(1+($CH$111+시나리오!$A$9/10000)/2)^(CP24-1),0)</f>
        <v/>
      </c>
      <c r="DF24" s="51">
        <f>IF(CO24=1,$CI24/(1+($CH$111+시나리오!$A$10/10000)/2)^(CP24-1),0)</f>
        <v/>
      </c>
      <c r="DG24" s="51">
        <f>IF(CO24=1,$CI24/(1+($CH$111+시나리오!$A$11/10000)/2)^(CP24-1),0)</f>
        <v/>
      </c>
      <c r="DH24" s="51">
        <f>IF(CO24=1,$CI24/(1+($CH$111+시나리오!$A$12/10000)/2)^(CP24-1),0)</f>
        <v/>
      </c>
      <c r="DI24" s="51">
        <f>IF(CO24=1,$CI24/(1+($CH$111+시나리오!$A$13/10000)/2)^(CP24-1),0)</f>
        <v/>
      </c>
      <c r="DJ24" s="51">
        <f>IF(CO24=1,$CI24/(1+($CH$111+시나리오!$A$14/10000)/2)^(CP24-1),0)</f>
        <v/>
      </c>
      <c r="DK24" s="51">
        <f>IF(CO24=1,$CI24/(1+($CH$111+시나리오!$A$15/10000)/2)^(CP24-1),0)</f>
        <v/>
      </c>
      <c r="DL24" s="51">
        <f>IF(CO24=1,$CI24/(1+($CH$111+시나리오!$A$16/10000)/2)^(CP24-1),0)</f>
        <v/>
      </c>
      <c r="DM24" s="51">
        <f>IF(CO24=1,$CI24/(1+($CH$111+시나리오!$A$17/10000)/2)^(CP24-1),0)</f>
        <v/>
      </c>
      <c r="DN24" s="51">
        <f>IF(CO24=1,$CI24/(1+($CH$111+시나리오!$A$18/10000)/2)^(CP24-1),0)</f>
        <v/>
      </c>
      <c r="DO24" s="51">
        <f>IF(CO24=1,$CI24/(1+($CH$111+시나리오!$A$19/10000)/2)^(CP24-1),0)</f>
        <v/>
      </c>
      <c r="DP24" s="51">
        <f>IF(CO24=1,$CI24/(1+($CH$111+시나리오!$A$20/10000)/2)^(CP24-1),0)</f>
        <v/>
      </c>
      <c r="DQ24" s="51">
        <f>IF(CO24=1,$CI24/(1+($CH$111+시나리오!$A$21/10000)/2)^(CP24-1),0)</f>
        <v/>
      </c>
      <c r="DR24" s="51">
        <f>IF(CO24=1,$CI24/(1+($CH$111+시나리오!$A$22/10000)/2)^(CP24-1),0)</f>
        <v/>
      </c>
      <c r="DS24" s="51">
        <f>IF(CO24=1,$CI24/(1+($CH$111+시나리오!$A$23/10000)/2)^(CP24-1),0)</f>
        <v/>
      </c>
      <c r="DT24" s="51">
        <f>IF(CO24=1,$CI24/(1+($CH$111+시나리오!$A$24/10000)/2)^(CP24-1),0)</f>
        <v/>
      </c>
    </row>
    <row r="25">
      <c r="A25" s="49" t="n">
        <v>11</v>
      </c>
      <c r="B25" s="50">
        <f>EDATE($B$2,-6*(62-$A25))</f>
        <v/>
      </c>
      <c r="C25" s="51">
        <f>IF(AND(B25&gt;$B$3,B25&lt;=$B$2),IF(B25=$B$2,$B$5+100,$B$5),0)</f>
        <v/>
      </c>
      <c r="D25" s="49">
        <f>IF(AND($C25&gt;0,B25&gt;$B$6),1,0)</f>
        <v/>
      </c>
      <c r="E25" s="49">
        <f>IF(D25=1,SUM($D$15:D25),"")</f>
        <v/>
      </c>
      <c r="F25" s="51">
        <f>IF(D25=1,$C25/(1+$B$8/2)^(E25-1),0)</f>
        <v/>
      </c>
      <c r="G25" s="51">
        <f>IF(D25=1,$C25/(1+($B$8+0.0001)/2)^(E25-1),0)</f>
        <v/>
      </c>
      <c r="H25" s="51">
        <f>IF(D25=1,$C25/(1+($B$8-0.0001)/2)^(E25-1),0)</f>
        <v/>
      </c>
      <c r="I25" s="49">
        <f>IF(AND($C25&gt;0,B25&gt;$B$7),1,0)</f>
        <v/>
      </c>
      <c r="J25" s="49">
        <f>IF(I25=1,SUM($I$15:I25),"")</f>
        <v/>
      </c>
      <c r="K25" s="51">
        <f>IF(I25=1,$C25/(1+$B$104/2)^(J25-1),0)</f>
        <v/>
      </c>
      <c r="L25" s="51">
        <f>IF(I25=1,$C25/(1+($B$104+0.0001)/2)^(J25-1),0)</f>
        <v/>
      </c>
      <c r="M25" s="51">
        <f>IF(I25=1,$C25/(1+($B$104-0.0001)/2)^(J25-1),0)</f>
        <v/>
      </c>
      <c r="N25" s="51">
        <f>IF(I25=1,$C25/(1+$B$109/2)^(J25-1),0)</f>
        <v/>
      </c>
      <c r="O25" s="51">
        <f>IF(I25=1,$C25/(1+$B$111/2)^(J25-1),0)</f>
        <v/>
      </c>
      <c r="P25" s="51">
        <f>IF(I25=1,$C25/(1+($B$111+0.0001)/2)^(J25-1),0)</f>
        <v/>
      </c>
      <c r="Q25" s="51">
        <f>IF(I25=1,$C25/(1+($B$111-0.0001)/2)^(J25-1),0)</f>
        <v/>
      </c>
      <c r="R25" s="51">
        <f>IF(AND($C25&gt;0,B25&gt;$B$6,B25&lt;=$B$7),$C25*(1+$B$10*($B$7-B25)/365),0)</f>
        <v/>
      </c>
      <c r="S25" s="51">
        <f>IF(I25=1,$C25/(1+($B$111+손익!$B$24/10000)/2)^(J25-1),0)</f>
        <v/>
      </c>
      <c r="T25" s="51">
        <f>IF(I25=1,$C25/(1+($B$111+시나리오!$A$4/10000)/2)^(J25-1),0)</f>
        <v/>
      </c>
      <c r="U25" s="51">
        <f>IF(I25=1,$C25/(1+($B$111+시나리오!$A$5/10000)/2)^(J25-1),0)</f>
        <v/>
      </c>
      <c r="V25" s="51">
        <f>IF(I25=1,$C25/(1+($B$111+시나리오!$A$6/10000)/2)^(J25-1),0)</f>
        <v/>
      </c>
      <c r="W25" s="51">
        <f>IF(I25=1,$C25/(1+($B$111+시나리오!$A$7/10000)/2)^(J25-1),0)</f>
        <v/>
      </c>
      <c r="X25" s="51">
        <f>IF(I25=1,$C25/(1+($B$111+시나리오!$A$8/10000)/2)^(J25-1),0)</f>
        <v/>
      </c>
      <c r="Y25" s="51">
        <f>IF(I25=1,$C25/(1+($B$111+시나리오!$A$9/10000)/2)^(J25-1),0)</f>
        <v/>
      </c>
      <c r="Z25" s="51">
        <f>IF(I25=1,$C25/(1+($B$111+시나리오!$A$10/10000)/2)^(J25-1),0)</f>
        <v/>
      </c>
      <c r="AA25" s="51">
        <f>IF(I25=1,$C25/(1+($B$111+시나리오!$A$11/10000)/2)^(J25-1),0)</f>
        <v/>
      </c>
      <c r="AB25" s="51">
        <f>IF(I25=1,$C25/(1+($B$111+시나리오!$A$12/10000)/2)^(J25-1),0)</f>
        <v/>
      </c>
      <c r="AC25" s="51">
        <f>IF(I25=1,$C25/(1+($B$111+시나리오!$A$13/10000)/2)^(J25-1),0)</f>
        <v/>
      </c>
      <c r="AD25" s="51">
        <f>IF(I25=1,$C25/(1+($B$111+시나리오!$A$14/10000)/2)^(J25-1),0)</f>
        <v/>
      </c>
      <c r="AE25" s="51">
        <f>IF(I25=1,$C25/(1+($B$111+시나리오!$A$15/10000)/2)^(J25-1),0)</f>
        <v/>
      </c>
      <c r="AF25" s="51">
        <f>IF(I25=1,$C25/(1+($B$111+시나리오!$A$16/10000)/2)^(J25-1),0)</f>
        <v/>
      </c>
      <c r="AG25" s="51">
        <f>IF(I25=1,$C25/(1+($B$111+시나리오!$A$17/10000)/2)^(J25-1),0)</f>
        <v/>
      </c>
      <c r="AH25" s="51">
        <f>IF(I25=1,$C25/(1+($B$111+시나리오!$A$18/10000)/2)^(J25-1),0)</f>
        <v/>
      </c>
      <c r="AI25" s="51">
        <f>IF(I25=1,$C25/(1+($B$111+시나리오!$A$19/10000)/2)^(J25-1),0)</f>
        <v/>
      </c>
      <c r="AJ25" s="51">
        <f>IF(I25=1,$C25/(1+($B$111+시나리오!$A$20/10000)/2)^(J25-1),0)</f>
        <v/>
      </c>
      <c r="AK25" s="51">
        <f>IF(I25=1,$C25/(1+($B$111+시나리오!$A$21/10000)/2)^(J25-1),0)</f>
        <v/>
      </c>
      <c r="AL25" s="51">
        <f>IF(I25=1,$C25/(1+($B$111+시나리오!$A$22/10000)/2)^(J25-1),0)</f>
        <v/>
      </c>
      <c r="AM25" s="51">
        <f>IF(I25=1,$C25/(1+($B$111+시나리오!$A$23/10000)/2)^(J25-1),0)</f>
        <v/>
      </c>
      <c r="AN25" s="51">
        <f>IF(I25=1,$C25/(1+($B$111+시나리오!$A$24/10000)/2)^(J25-1),0)</f>
        <v/>
      </c>
      <c r="AQ25" s="49" t="n">
        <v>11</v>
      </c>
      <c r="AR25" s="50">
        <f>EDATE($AR$2,-6*(62-$AQ25))</f>
        <v/>
      </c>
      <c r="AS25" s="51">
        <f>IF(AND(AR25&gt;$AR$3,AR25&lt;=$AR$2),IF(AR25=$AR$2,$AR$5+100,$AR$5),0)</f>
        <v/>
      </c>
      <c r="AT25" s="49">
        <f>IF(AND($AS25&gt;0,AR25&gt;$AR$6),1,0)</f>
        <v/>
      </c>
      <c r="AU25" s="49">
        <f>IF(AT25=1,SUM($AT$15:AT25),"")</f>
        <v/>
      </c>
      <c r="AV25" s="51">
        <f>IF(AT25=1,$AS25/(1+$AR$8/2)^(AU25-1),0)</f>
        <v/>
      </c>
      <c r="AW25" s="51">
        <f>IF(AT25=1,$AS25/(1+($AR$8+0.0001)/2)^(AU25-1),0)</f>
        <v/>
      </c>
      <c r="AX25" s="51">
        <f>IF(AT25=1,$AS25/(1+($AR$8-0.0001)/2)^(AU25-1),0)</f>
        <v/>
      </c>
      <c r="AY25" s="49">
        <f>IF(AND($AS25&gt;0,AR25&gt;$AR$7),1,0)</f>
        <v/>
      </c>
      <c r="AZ25" s="49">
        <f>IF(AY25=1,SUM($AY$15:AY25),"")</f>
        <v/>
      </c>
      <c r="BA25" s="51">
        <f>IF(AY25=1,$AS25/(1+$AR$104/2)^(AZ25-1),0)</f>
        <v/>
      </c>
      <c r="BB25" s="51">
        <f>IF(AY25=1,$AS25/(1+($AR$104+0.0001)/2)^(AZ25-1),0)</f>
        <v/>
      </c>
      <c r="BC25" s="51">
        <f>IF(AY25=1,$AS25/(1+($AR$104-0.0001)/2)^(AZ25-1),0)</f>
        <v/>
      </c>
      <c r="BD25" s="51">
        <f>IF(AY25=1,$AS25/(1+$AR$109/2)^(AZ25-1),0)</f>
        <v/>
      </c>
      <c r="BE25" s="51">
        <f>IF(AY25=1,$AS25/(1+$AR$111/2)^(AZ25-1),0)</f>
        <v/>
      </c>
      <c r="BF25" s="51">
        <f>IF(AY25=1,$AS25/(1+($AR$111+0.0001)/2)^(AZ25-1),0)</f>
        <v/>
      </c>
      <c r="BG25" s="51">
        <f>IF(AY25=1,$AS25/(1+($AR$111-0.0001)/2)^(AZ25-1),0)</f>
        <v/>
      </c>
      <c r="BH25" s="51">
        <f>IF(AND($AS25&gt;0,AR25&gt;$AR$6,AR25&lt;=$AR$7),$AS25*(1+$AR$10*($AR$7-AR25)/365),0)</f>
        <v/>
      </c>
      <c r="BI25" s="51">
        <f>IF(AY25=1,$AS25/(1+($AR$111+손익!$B$24/10000)/2)^(AZ25-1),0)</f>
        <v/>
      </c>
      <c r="BJ25" s="51">
        <f>IF(AY25=1,$AS25/(1+($AR$111+시나리오!$A$4/10000)/2)^(AZ25-1),0)</f>
        <v/>
      </c>
      <c r="BK25" s="51">
        <f>IF(AY25=1,$AS25/(1+($AR$111+시나리오!$A$5/10000)/2)^(AZ25-1),0)</f>
        <v/>
      </c>
      <c r="BL25" s="51">
        <f>IF(AY25=1,$AS25/(1+($AR$111+시나리오!$A$6/10000)/2)^(AZ25-1),0)</f>
        <v/>
      </c>
      <c r="BM25" s="51">
        <f>IF(AY25=1,$AS25/(1+($AR$111+시나리오!$A$7/10000)/2)^(AZ25-1),0)</f>
        <v/>
      </c>
      <c r="BN25" s="51">
        <f>IF(AY25=1,$AS25/(1+($AR$111+시나리오!$A$8/10000)/2)^(AZ25-1),0)</f>
        <v/>
      </c>
      <c r="BO25" s="51">
        <f>IF(AY25=1,$AS25/(1+($AR$111+시나리오!$A$9/10000)/2)^(AZ25-1),0)</f>
        <v/>
      </c>
      <c r="BP25" s="51">
        <f>IF(AY25=1,$AS25/(1+($AR$111+시나리오!$A$10/10000)/2)^(AZ25-1),0)</f>
        <v/>
      </c>
      <c r="BQ25" s="51">
        <f>IF(AY25=1,$AS25/(1+($AR$111+시나리오!$A$11/10000)/2)^(AZ25-1),0)</f>
        <v/>
      </c>
      <c r="BR25" s="51">
        <f>IF(AY25=1,$AS25/(1+($AR$111+시나리오!$A$12/10000)/2)^(AZ25-1),0)</f>
        <v/>
      </c>
      <c r="BS25" s="51">
        <f>IF(AY25=1,$AS25/(1+($AR$111+시나리오!$A$13/10000)/2)^(AZ25-1),0)</f>
        <v/>
      </c>
      <c r="BT25" s="51">
        <f>IF(AY25=1,$AS25/(1+($AR$111+시나리오!$A$14/10000)/2)^(AZ25-1),0)</f>
        <v/>
      </c>
      <c r="BU25" s="51">
        <f>IF(AY25=1,$AS25/(1+($AR$111+시나리오!$A$15/10000)/2)^(AZ25-1),0)</f>
        <v/>
      </c>
      <c r="BV25" s="51">
        <f>IF(AY25=1,$AS25/(1+($AR$111+시나리오!$A$16/10000)/2)^(AZ25-1),0)</f>
        <v/>
      </c>
      <c r="BW25" s="51">
        <f>IF(AY25=1,$AS25/(1+($AR$111+시나리오!$A$17/10000)/2)^(AZ25-1),0)</f>
        <v/>
      </c>
      <c r="BX25" s="51">
        <f>IF(AY25=1,$AS25/(1+($AR$111+시나리오!$A$18/10000)/2)^(AZ25-1),0)</f>
        <v/>
      </c>
      <c r="BY25" s="51">
        <f>IF(AY25=1,$AS25/(1+($AR$111+시나리오!$A$19/10000)/2)^(AZ25-1),0)</f>
        <v/>
      </c>
      <c r="BZ25" s="51">
        <f>IF(AY25=1,$AS25/(1+($AR$111+시나리오!$A$20/10000)/2)^(AZ25-1),0)</f>
        <v/>
      </c>
      <c r="CA25" s="51">
        <f>IF(AY25=1,$AS25/(1+($AR$111+시나리오!$A$21/10000)/2)^(AZ25-1),0)</f>
        <v/>
      </c>
      <c r="CB25" s="51">
        <f>IF(AY25=1,$AS25/(1+($AR$111+시나리오!$A$22/10000)/2)^(AZ25-1),0)</f>
        <v/>
      </c>
      <c r="CC25" s="51">
        <f>IF(AY25=1,$AS25/(1+($AR$111+시나리오!$A$23/10000)/2)^(AZ25-1),0)</f>
        <v/>
      </c>
      <c r="CD25" s="51">
        <f>IF(AY25=1,$AS25/(1+($AR$111+시나리오!$A$24/10000)/2)^(AZ25-1),0)</f>
        <v/>
      </c>
      <c r="CG25" s="49" t="n">
        <v>11</v>
      </c>
      <c r="CH25" s="50">
        <f>EDATE($CH$2,-6*(62-$CG25))</f>
        <v/>
      </c>
      <c r="CI25" s="51">
        <f>IF(AND(CH25&gt;$CH$3,CH25&lt;=$CH$2),IF(CH25=$CH$2,$CH$5+100,$CH$5),0)</f>
        <v/>
      </c>
      <c r="CJ25" s="49">
        <f>IF(AND($CI25&gt;0,CH25&gt;$CH$6),1,0)</f>
        <v/>
      </c>
      <c r="CK25" s="49">
        <f>IF(CJ25=1,SUM($CJ$15:CJ25),"")</f>
        <v/>
      </c>
      <c r="CL25" s="51">
        <f>IF(CJ25=1,$CI25/(1+$CH$8/2)^(CK25-1),0)</f>
        <v/>
      </c>
      <c r="CM25" s="51">
        <f>IF(CJ25=1,$CI25/(1+($CH$8+0.0001)/2)^(CK25-1),0)</f>
        <v/>
      </c>
      <c r="CN25" s="51">
        <f>IF(CJ25=1,$CI25/(1+($CH$8-0.0001)/2)^(CK25-1),0)</f>
        <v/>
      </c>
      <c r="CO25" s="49">
        <f>IF(AND($CI25&gt;0,CH25&gt;$CH$7),1,0)</f>
        <v/>
      </c>
      <c r="CP25" s="49">
        <f>IF(CO25=1,SUM($CO$15:CO25),"")</f>
        <v/>
      </c>
      <c r="CQ25" s="51">
        <f>IF(CO25=1,$CI25/(1+$CH$104/2)^(CP25-1),0)</f>
        <v/>
      </c>
      <c r="CR25" s="51">
        <f>IF(CO25=1,$CI25/(1+($CH$104+0.0001)/2)^(CP25-1),0)</f>
        <v/>
      </c>
      <c r="CS25" s="51">
        <f>IF(CO25=1,$CI25/(1+($CH$104-0.0001)/2)^(CP25-1),0)</f>
        <v/>
      </c>
      <c r="CT25" s="51">
        <f>IF(CO25=1,$CI25/(1+$CH$109/2)^(CP25-1),0)</f>
        <v/>
      </c>
      <c r="CU25" s="51">
        <f>IF(CO25=1,$CI25/(1+$CH$111/2)^(CP25-1),0)</f>
        <v/>
      </c>
      <c r="CV25" s="51">
        <f>IF(CO25=1,$CI25/(1+($CH$111+0.0001)/2)^(CP25-1),0)</f>
        <v/>
      </c>
      <c r="CW25" s="51">
        <f>IF(CO25=1,$CI25/(1+($CH$111-0.0001)/2)^(CP25-1),0)</f>
        <v/>
      </c>
      <c r="CX25" s="51">
        <f>IF(AND($CI25&gt;0,CH25&gt;$CH$6,CH25&lt;=$CH$7),$CI25*(1+$CH$10*($CH$7-CH25)/365),0)</f>
        <v/>
      </c>
      <c r="CY25" s="51">
        <f>IF(CO25=1,$CI25/(1+($CH$111+손익!$B$24/10000)/2)^(CP25-1),0)</f>
        <v/>
      </c>
      <c r="CZ25" s="51">
        <f>IF(CO25=1,$CI25/(1+($CH$111+시나리오!$A$4/10000)/2)^(CP25-1),0)</f>
        <v/>
      </c>
      <c r="DA25" s="51">
        <f>IF(CO25=1,$CI25/(1+($CH$111+시나리오!$A$5/10000)/2)^(CP25-1),0)</f>
        <v/>
      </c>
      <c r="DB25" s="51">
        <f>IF(CO25=1,$CI25/(1+($CH$111+시나리오!$A$6/10000)/2)^(CP25-1),0)</f>
        <v/>
      </c>
      <c r="DC25" s="51">
        <f>IF(CO25=1,$CI25/(1+($CH$111+시나리오!$A$7/10000)/2)^(CP25-1),0)</f>
        <v/>
      </c>
      <c r="DD25" s="51">
        <f>IF(CO25=1,$CI25/(1+($CH$111+시나리오!$A$8/10000)/2)^(CP25-1),0)</f>
        <v/>
      </c>
      <c r="DE25" s="51">
        <f>IF(CO25=1,$CI25/(1+($CH$111+시나리오!$A$9/10000)/2)^(CP25-1),0)</f>
        <v/>
      </c>
      <c r="DF25" s="51">
        <f>IF(CO25=1,$CI25/(1+($CH$111+시나리오!$A$10/10000)/2)^(CP25-1),0)</f>
        <v/>
      </c>
      <c r="DG25" s="51">
        <f>IF(CO25=1,$CI25/(1+($CH$111+시나리오!$A$11/10000)/2)^(CP25-1),0)</f>
        <v/>
      </c>
      <c r="DH25" s="51">
        <f>IF(CO25=1,$CI25/(1+($CH$111+시나리오!$A$12/10000)/2)^(CP25-1),0)</f>
        <v/>
      </c>
      <c r="DI25" s="51">
        <f>IF(CO25=1,$CI25/(1+($CH$111+시나리오!$A$13/10000)/2)^(CP25-1),0)</f>
        <v/>
      </c>
      <c r="DJ25" s="51">
        <f>IF(CO25=1,$CI25/(1+($CH$111+시나리오!$A$14/10000)/2)^(CP25-1),0)</f>
        <v/>
      </c>
      <c r="DK25" s="51">
        <f>IF(CO25=1,$CI25/(1+($CH$111+시나리오!$A$15/10000)/2)^(CP25-1),0)</f>
        <v/>
      </c>
      <c r="DL25" s="51">
        <f>IF(CO25=1,$CI25/(1+($CH$111+시나리오!$A$16/10000)/2)^(CP25-1),0)</f>
        <v/>
      </c>
      <c r="DM25" s="51">
        <f>IF(CO25=1,$CI25/(1+($CH$111+시나리오!$A$17/10000)/2)^(CP25-1),0)</f>
        <v/>
      </c>
      <c r="DN25" s="51">
        <f>IF(CO25=1,$CI25/(1+($CH$111+시나리오!$A$18/10000)/2)^(CP25-1),0)</f>
        <v/>
      </c>
      <c r="DO25" s="51">
        <f>IF(CO25=1,$CI25/(1+($CH$111+시나리오!$A$19/10000)/2)^(CP25-1),0)</f>
        <v/>
      </c>
      <c r="DP25" s="51">
        <f>IF(CO25=1,$CI25/(1+($CH$111+시나리오!$A$20/10000)/2)^(CP25-1),0)</f>
        <v/>
      </c>
      <c r="DQ25" s="51">
        <f>IF(CO25=1,$CI25/(1+($CH$111+시나리오!$A$21/10000)/2)^(CP25-1),0)</f>
        <v/>
      </c>
      <c r="DR25" s="51">
        <f>IF(CO25=1,$CI25/(1+($CH$111+시나리오!$A$22/10000)/2)^(CP25-1),0)</f>
        <v/>
      </c>
      <c r="DS25" s="51">
        <f>IF(CO25=1,$CI25/(1+($CH$111+시나리오!$A$23/10000)/2)^(CP25-1),0)</f>
        <v/>
      </c>
      <c r="DT25" s="51">
        <f>IF(CO25=1,$CI25/(1+($CH$111+시나리오!$A$24/10000)/2)^(CP25-1),0)</f>
        <v/>
      </c>
    </row>
    <row r="26">
      <c r="A26" s="49" t="n">
        <v>12</v>
      </c>
      <c r="B26" s="50">
        <f>EDATE($B$2,-6*(62-$A26))</f>
        <v/>
      </c>
      <c r="C26" s="51">
        <f>IF(AND(B26&gt;$B$3,B26&lt;=$B$2),IF(B26=$B$2,$B$5+100,$B$5),0)</f>
        <v/>
      </c>
      <c r="D26" s="49">
        <f>IF(AND($C26&gt;0,B26&gt;$B$6),1,0)</f>
        <v/>
      </c>
      <c r="E26" s="49">
        <f>IF(D26=1,SUM($D$15:D26),"")</f>
        <v/>
      </c>
      <c r="F26" s="51">
        <f>IF(D26=1,$C26/(1+$B$8/2)^(E26-1),0)</f>
        <v/>
      </c>
      <c r="G26" s="51">
        <f>IF(D26=1,$C26/(1+($B$8+0.0001)/2)^(E26-1),0)</f>
        <v/>
      </c>
      <c r="H26" s="51">
        <f>IF(D26=1,$C26/(1+($B$8-0.0001)/2)^(E26-1),0)</f>
        <v/>
      </c>
      <c r="I26" s="49">
        <f>IF(AND($C26&gt;0,B26&gt;$B$7),1,0)</f>
        <v/>
      </c>
      <c r="J26" s="49">
        <f>IF(I26=1,SUM($I$15:I26),"")</f>
        <v/>
      </c>
      <c r="K26" s="51">
        <f>IF(I26=1,$C26/(1+$B$104/2)^(J26-1),0)</f>
        <v/>
      </c>
      <c r="L26" s="51">
        <f>IF(I26=1,$C26/(1+($B$104+0.0001)/2)^(J26-1),0)</f>
        <v/>
      </c>
      <c r="M26" s="51">
        <f>IF(I26=1,$C26/(1+($B$104-0.0001)/2)^(J26-1),0)</f>
        <v/>
      </c>
      <c r="N26" s="51">
        <f>IF(I26=1,$C26/(1+$B$109/2)^(J26-1),0)</f>
        <v/>
      </c>
      <c r="O26" s="51">
        <f>IF(I26=1,$C26/(1+$B$111/2)^(J26-1),0)</f>
        <v/>
      </c>
      <c r="P26" s="51">
        <f>IF(I26=1,$C26/(1+($B$111+0.0001)/2)^(J26-1),0)</f>
        <v/>
      </c>
      <c r="Q26" s="51">
        <f>IF(I26=1,$C26/(1+($B$111-0.0001)/2)^(J26-1),0)</f>
        <v/>
      </c>
      <c r="R26" s="51">
        <f>IF(AND($C26&gt;0,B26&gt;$B$6,B26&lt;=$B$7),$C26*(1+$B$10*($B$7-B26)/365),0)</f>
        <v/>
      </c>
      <c r="S26" s="51">
        <f>IF(I26=1,$C26/(1+($B$111+손익!$B$24/10000)/2)^(J26-1),0)</f>
        <v/>
      </c>
      <c r="T26" s="51">
        <f>IF(I26=1,$C26/(1+($B$111+시나리오!$A$4/10000)/2)^(J26-1),0)</f>
        <v/>
      </c>
      <c r="U26" s="51">
        <f>IF(I26=1,$C26/(1+($B$111+시나리오!$A$5/10000)/2)^(J26-1),0)</f>
        <v/>
      </c>
      <c r="V26" s="51">
        <f>IF(I26=1,$C26/(1+($B$111+시나리오!$A$6/10000)/2)^(J26-1),0)</f>
        <v/>
      </c>
      <c r="W26" s="51">
        <f>IF(I26=1,$C26/(1+($B$111+시나리오!$A$7/10000)/2)^(J26-1),0)</f>
        <v/>
      </c>
      <c r="X26" s="51">
        <f>IF(I26=1,$C26/(1+($B$111+시나리오!$A$8/10000)/2)^(J26-1),0)</f>
        <v/>
      </c>
      <c r="Y26" s="51">
        <f>IF(I26=1,$C26/(1+($B$111+시나리오!$A$9/10000)/2)^(J26-1),0)</f>
        <v/>
      </c>
      <c r="Z26" s="51">
        <f>IF(I26=1,$C26/(1+($B$111+시나리오!$A$10/10000)/2)^(J26-1),0)</f>
        <v/>
      </c>
      <c r="AA26" s="51">
        <f>IF(I26=1,$C26/(1+($B$111+시나리오!$A$11/10000)/2)^(J26-1),0)</f>
        <v/>
      </c>
      <c r="AB26" s="51">
        <f>IF(I26=1,$C26/(1+($B$111+시나리오!$A$12/10000)/2)^(J26-1),0)</f>
        <v/>
      </c>
      <c r="AC26" s="51">
        <f>IF(I26=1,$C26/(1+($B$111+시나리오!$A$13/10000)/2)^(J26-1),0)</f>
        <v/>
      </c>
      <c r="AD26" s="51">
        <f>IF(I26=1,$C26/(1+($B$111+시나리오!$A$14/10000)/2)^(J26-1),0)</f>
        <v/>
      </c>
      <c r="AE26" s="51">
        <f>IF(I26=1,$C26/(1+($B$111+시나리오!$A$15/10000)/2)^(J26-1),0)</f>
        <v/>
      </c>
      <c r="AF26" s="51">
        <f>IF(I26=1,$C26/(1+($B$111+시나리오!$A$16/10000)/2)^(J26-1),0)</f>
        <v/>
      </c>
      <c r="AG26" s="51">
        <f>IF(I26=1,$C26/(1+($B$111+시나리오!$A$17/10000)/2)^(J26-1),0)</f>
        <v/>
      </c>
      <c r="AH26" s="51">
        <f>IF(I26=1,$C26/(1+($B$111+시나리오!$A$18/10000)/2)^(J26-1),0)</f>
        <v/>
      </c>
      <c r="AI26" s="51">
        <f>IF(I26=1,$C26/(1+($B$111+시나리오!$A$19/10000)/2)^(J26-1),0)</f>
        <v/>
      </c>
      <c r="AJ26" s="51">
        <f>IF(I26=1,$C26/(1+($B$111+시나리오!$A$20/10000)/2)^(J26-1),0)</f>
        <v/>
      </c>
      <c r="AK26" s="51">
        <f>IF(I26=1,$C26/(1+($B$111+시나리오!$A$21/10000)/2)^(J26-1),0)</f>
        <v/>
      </c>
      <c r="AL26" s="51">
        <f>IF(I26=1,$C26/(1+($B$111+시나리오!$A$22/10000)/2)^(J26-1),0)</f>
        <v/>
      </c>
      <c r="AM26" s="51">
        <f>IF(I26=1,$C26/(1+($B$111+시나리오!$A$23/10000)/2)^(J26-1),0)</f>
        <v/>
      </c>
      <c r="AN26" s="51">
        <f>IF(I26=1,$C26/(1+($B$111+시나리오!$A$24/10000)/2)^(J26-1),0)</f>
        <v/>
      </c>
      <c r="AQ26" s="49" t="n">
        <v>12</v>
      </c>
      <c r="AR26" s="50">
        <f>EDATE($AR$2,-6*(62-$AQ26))</f>
        <v/>
      </c>
      <c r="AS26" s="51">
        <f>IF(AND(AR26&gt;$AR$3,AR26&lt;=$AR$2),IF(AR26=$AR$2,$AR$5+100,$AR$5),0)</f>
        <v/>
      </c>
      <c r="AT26" s="49">
        <f>IF(AND($AS26&gt;0,AR26&gt;$AR$6),1,0)</f>
        <v/>
      </c>
      <c r="AU26" s="49">
        <f>IF(AT26=1,SUM($AT$15:AT26),"")</f>
        <v/>
      </c>
      <c r="AV26" s="51">
        <f>IF(AT26=1,$AS26/(1+$AR$8/2)^(AU26-1),0)</f>
        <v/>
      </c>
      <c r="AW26" s="51">
        <f>IF(AT26=1,$AS26/(1+($AR$8+0.0001)/2)^(AU26-1),0)</f>
        <v/>
      </c>
      <c r="AX26" s="51">
        <f>IF(AT26=1,$AS26/(1+($AR$8-0.0001)/2)^(AU26-1),0)</f>
        <v/>
      </c>
      <c r="AY26" s="49">
        <f>IF(AND($AS26&gt;0,AR26&gt;$AR$7),1,0)</f>
        <v/>
      </c>
      <c r="AZ26" s="49">
        <f>IF(AY26=1,SUM($AY$15:AY26),"")</f>
        <v/>
      </c>
      <c r="BA26" s="51">
        <f>IF(AY26=1,$AS26/(1+$AR$104/2)^(AZ26-1),0)</f>
        <v/>
      </c>
      <c r="BB26" s="51">
        <f>IF(AY26=1,$AS26/(1+($AR$104+0.0001)/2)^(AZ26-1),0)</f>
        <v/>
      </c>
      <c r="BC26" s="51">
        <f>IF(AY26=1,$AS26/(1+($AR$104-0.0001)/2)^(AZ26-1),0)</f>
        <v/>
      </c>
      <c r="BD26" s="51">
        <f>IF(AY26=1,$AS26/(1+$AR$109/2)^(AZ26-1),0)</f>
        <v/>
      </c>
      <c r="BE26" s="51">
        <f>IF(AY26=1,$AS26/(1+$AR$111/2)^(AZ26-1),0)</f>
        <v/>
      </c>
      <c r="BF26" s="51">
        <f>IF(AY26=1,$AS26/(1+($AR$111+0.0001)/2)^(AZ26-1),0)</f>
        <v/>
      </c>
      <c r="BG26" s="51">
        <f>IF(AY26=1,$AS26/(1+($AR$111-0.0001)/2)^(AZ26-1),0)</f>
        <v/>
      </c>
      <c r="BH26" s="51">
        <f>IF(AND($AS26&gt;0,AR26&gt;$AR$6,AR26&lt;=$AR$7),$AS26*(1+$AR$10*($AR$7-AR26)/365),0)</f>
        <v/>
      </c>
      <c r="BI26" s="51">
        <f>IF(AY26=1,$AS26/(1+($AR$111+손익!$B$24/10000)/2)^(AZ26-1),0)</f>
        <v/>
      </c>
      <c r="BJ26" s="51">
        <f>IF(AY26=1,$AS26/(1+($AR$111+시나리오!$A$4/10000)/2)^(AZ26-1),0)</f>
        <v/>
      </c>
      <c r="BK26" s="51">
        <f>IF(AY26=1,$AS26/(1+($AR$111+시나리오!$A$5/10000)/2)^(AZ26-1),0)</f>
        <v/>
      </c>
      <c r="BL26" s="51">
        <f>IF(AY26=1,$AS26/(1+($AR$111+시나리오!$A$6/10000)/2)^(AZ26-1),0)</f>
        <v/>
      </c>
      <c r="BM26" s="51">
        <f>IF(AY26=1,$AS26/(1+($AR$111+시나리오!$A$7/10000)/2)^(AZ26-1),0)</f>
        <v/>
      </c>
      <c r="BN26" s="51">
        <f>IF(AY26=1,$AS26/(1+($AR$111+시나리오!$A$8/10000)/2)^(AZ26-1),0)</f>
        <v/>
      </c>
      <c r="BO26" s="51">
        <f>IF(AY26=1,$AS26/(1+($AR$111+시나리오!$A$9/10000)/2)^(AZ26-1),0)</f>
        <v/>
      </c>
      <c r="BP26" s="51">
        <f>IF(AY26=1,$AS26/(1+($AR$111+시나리오!$A$10/10000)/2)^(AZ26-1),0)</f>
        <v/>
      </c>
      <c r="BQ26" s="51">
        <f>IF(AY26=1,$AS26/(1+($AR$111+시나리오!$A$11/10000)/2)^(AZ26-1),0)</f>
        <v/>
      </c>
      <c r="BR26" s="51">
        <f>IF(AY26=1,$AS26/(1+($AR$111+시나리오!$A$12/10000)/2)^(AZ26-1),0)</f>
        <v/>
      </c>
      <c r="BS26" s="51">
        <f>IF(AY26=1,$AS26/(1+($AR$111+시나리오!$A$13/10000)/2)^(AZ26-1),0)</f>
        <v/>
      </c>
      <c r="BT26" s="51">
        <f>IF(AY26=1,$AS26/(1+($AR$111+시나리오!$A$14/10000)/2)^(AZ26-1),0)</f>
        <v/>
      </c>
      <c r="BU26" s="51">
        <f>IF(AY26=1,$AS26/(1+($AR$111+시나리오!$A$15/10000)/2)^(AZ26-1),0)</f>
        <v/>
      </c>
      <c r="BV26" s="51">
        <f>IF(AY26=1,$AS26/(1+($AR$111+시나리오!$A$16/10000)/2)^(AZ26-1),0)</f>
        <v/>
      </c>
      <c r="BW26" s="51">
        <f>IF(AY26=1,$AS26/(1+($AR$111+시나리오!$A$17/10000)/2)^(AZ26-1),0)</f>
        <v/>
      </c>
      <c r="BX26" s="51">
        <f>IF(AY26=1,$AS26/(1+($AR$111+시나리오!$A$18/10000)/2)^(AZ26-1),0)</f>
        <v/>
      </c>
      <c r="BY26" s="51">
        <f>IF(AY26=1,$AS26/(1+($AR$111+시나리오!$A$19/10000)/2)^(AZ26-1),0)</f>
        <v/>
      </c>
      <c r="BZ26" s="51">
        <f>IF(AY26=1,$AS26/(1+($AR$111+시나리오!$A$20/10000)/2)^(AZ26-1),0)</f>
        <v/>
      </c>
      <c r="CA26" s="51">
        <f>IF(AY26=1,$AS26/(1+($AR$111+시나리오!$A$21/10000)/2)^(AZ26-1),0)</f>
        <v/>
      </c>
      <c r="CB26" s="51">
        <f>IF(AY26=1,$AS26/(1+($AR$111+시나리오!$A$22/10000)/2)^(AZ26-1),0)</f>
        <v/>
      </c>
      <c r="CC26" s="51">
        <f>IF(AY26=1,$AS26/(1+($AR$111+시나리오!$A$23/10000)/2)^(AZ26-1),0)</f>
        <v/>
      </c>
      <c r="CD26" s="51">
        <f>IF(AY26=1,$AS26/(1+($AR$111+시나리오!$A$24/10000)/2)^(AZ26-1),0)</f>
        <v/>
      </c>
      <c r="CG26" s="49" t="n">
        <v>12</v>
      </c>
      <c r="CH26" s="50">
        <f>EDATE($CH$2,-6*(62-$CG26))</f>
        <v/>
      </c>
      <c r="CI26" s="51">
        <f>IF(AND(CH26&gt;$CH$3,CH26&lt;=$CH$2),IF(CH26=$CH$2,$CH$5+100,$CH$5),0)</f>
        <v/>
      </c>
      <c r="CJ26" s="49">
        <f>IF(AND($CI26&gt;0,CH26&gt;$CH$6),1,0)</f>
        <v/>
      </c>
      <c r="CK26" s="49">
        <f>IF(CJ26=1,SUM($CJ$15:CJ26),"")</f>
        <v/>
      </c>
      <c r="CL26" s="51">
        <f>IF(CJ26=1,$CI26/(1+$CH$8/2)^(CK26-1),0)</f>
        <v/>
      </c>
      <c r="CM26" s="51">
        <f>IF(CJ26=1,$CI26/(1+($CH$8+0.0001)/2)^(CK26-1),0)</f>
        <v/>
      </c>
      <c r="CN26" s="51">
        <f>IF(CJ26=1,$CI26/(1+($CH$8-0.0001)/2)^(CK26-1),0)</f>
        <v/>
      </c>
      <c r="CO26" s="49">
        <f>IF(AND($CI26&gt;0,CH26&gt;$CH$7),1,0)</f>
        <v/>
      </c>
      <c r="CP26" s="49">
        <f>IF(CO26=1,SUM($CO$15:CO26),"")</f>
        <v/>
      </c>
      <c r="CQ26" s="51">
        <f>IF(CO26=1,$CI26/(1+$CH$104/2)^(CP26-1),0)</f>
        <v/>
      </c>
      <c r="CR26" s="51">
        <f>IF(CO26=1,$CI26/(1+($CH$104+0.0001)/2)^(CP26-1),0)</f>
        <v/>
      </c>
      <c r="CS26" s="51">
        <f>IF(CO26=1,$CI26/(1+($CH$104-0.0001)/2)^(CP26-1),0)</f>
        <v/>
      </c>
      <c r="CT26" s="51">
        <f>IF(CO26=1,$CI26/(1+$CH$109/2)^(CP26-1),0)</f>
        <v/>
      </c>
      <c r="CU26" s="51">
        <f>IF(CO26=1,$CI26/(1+$CH$111/2)^(CP26-1),0)</f>
        <v/>
      </c>
      <c r="CV26" s="51">
        <f>IF(CO26=1,$CI26/(1+($CH$111+0.0001)/2)^(CP26-1),0)</f>
        <v/>
      </c>
      <c r="CW26" s="51">
        <f>IF(CO26=1,$CI26/(1+($CH$111-0.0001)/2)^(CP26-1),0)</f>
        <v/>
      </c>
      <c r="CX26" s="51">
        <f>IF(AND($CI26&gt;0,CH26&gt;$CH$6,CH26&lt;=$CH$7),$CI26*(1+$CH$10*($CH$7-CH26)/365),0)</f>
        <v/>
      </c>
      <c r="CY26" s="51">
        <f>IF(CO26=1,$CI26/(1+($CH$111+손익!$B$24/10000)/2)^(CP26-1),0)</f>
        <v/>
      </c>
      <c r="CZ26" s="51">
        <f>IF(CO26=1,$CI26/(1+($CH$111+시나리오!$A$4/10000)/2)^(CP26-1),0)</f>
        <v/>
      </c>
      <c r="DA26" s="51">
        <f>IF(CO26=1,$CI26/(1+($CH$111+시나리오!$A$5/10000)/2)^(CP26-1),0)</f>
        <v/>
      </c>
      <c r="DB26" s="51">
        <f>IF(CO26=1,$CI26/(1+($CH$111+시나리오!$A$6/10000)/2)^(CP26-1),0)</f>
        <v/>
      </c>
      <c r="DC26" s="51">
        <f>IF(CO26=1,$CI26/(1+($CH$111+시나리오!$A$7/10000)/2)^(CP26-1),0)</f>
        <v/>
      </c>
      <c r="DD26" s="51">
        <f>IF(CO26=1,$CI26/(1+($CH$111+시나리오!$A$8/10000)/2)^(CP26-1),0)</f>
        <v/>
      </c>
      <c r="DE26" s="51">
        <f>IF(CO26=1,$CI26/(1+($CH$111+시나리오!$A$9/10000)/2)^(CP26-1),0)</f>
        <v/>
      </c>
      <c r="DF26" s="51">
        <f>IF(CO26=1,$CI26/(1+($CH$111+시나리오!$A$10/10000)/2)^(CP26-1),0)</f>
        <v/>
      </c>
      <c r="DG26" s="51">
        <f>IF(CO26=1,$CI26/(1+($CH$111+시나리오!$A$11/10000)/2)^(CP26-1),0)</f>
        <v/>
      </c>
      <c r="DH26" s="51">
        <f>IF(CO26=1,$CI26/(1+($CH$111+시나리오!$A$12/10000)/2)^(CP26-1),0)</f>
        <v/>
      </c>
      <c r="DI26" s="51">
        <f>IF(CO26=1,$CI26/(1+($CH$111+시나리오!$A$13/10000)/2)^(CP26-1),0)</f>
        <v/>
      </c>
      <c r="DJ26" s="51">
        <f>IF(CO26=1,$CI26/(1+($CH$111+시나리오!$A$14/10000)/2)^(CP26-1),0)</f>
        <v/>
      </c>
      <c r="DK26" s="51">
        <f>IF(CO26=1,$CI26/(1+($CH$111+시나리오!$A$15/10000)/2)^(CP26-1),0)</f>
        <v/>
      </c>
      <c r="DL26" s="51">
        <f>IF(CO26=1,$CI26/(1+($CH$111+시나리오!$A$16/10000)/2)^(CP26-1),0)</f>
        <v/>
      </c>
      <c r="DM26" s="51">
        <f>IF(CO26=1,$CI26/(1+($CH$111+시나리오!$A$17/10000)/2)^(CP26-1),0)</f>
        <v/>
      </c>
      <c r="DN26" s="51">
        <f>IF(CO26=1,$CI26/(1+($CH$111+시나리오!$A$18/10000)/2)^(CP26-1),0)</f>
        <v/>
      </c>
      <c r="DO26" s="51">
        <f>IF(CO26=1,$CI26/(1+($CH$111+시나리오!$A$19/10000)/2)^(CP26-1),0)</f>
        <v/>
      </c>
      <c r="DP26" s="51">
        <f>IF(CO26=1,$CI26/(1+($CH$111+시나리오!$A$20/10000)/2)^(CP26-1),0)</f>
        <v/>
      </c>
      <c r="DQ26" s="51">
        <f>IF(CO26=1,$CI26/(1+($CH$111+시나리오!$A$21/10000)/2)^(CP26-1),0)</f>
        <v/>
      </c>
      <c r="DR26" s="51">
        <f>IF(CO26=1,$CI26/(1+($CH$111+시나리오!$A$22/10000)/2)^(CP26-1),0)</f>
        <v/>
      </c>
      <c r="DS26" s="51">
        <f>IF(CO26=1,$CI26/(1+($CH$111+시나리오!$A$23/10000)/2)^(CP26-1),0)</f>
        <v/>
      </c>
      <c r="DT26" s="51">
        <f>IF(CO26=1,$CI26/(1+($CH$111+시나리오!$A$24/10000)/2)^(CP26-1),0)</f>
        <v/>
      </c>
    </row>
    <row r="27">
      <c r="A27" s="49" t="n">
        <v>13</v>
      </c>
      <c r="B27" s="50">
        <f>EDATE($B$2,-6*(62-$A27))</f>
        <v/>
      </c>
      <c r="C27" s="51">
        <f>IF(AND(B27&gt;$B$3,B27&lt;=$B$2),IF(B27=$B$2,$B$5+100,$B$5),0)</f>
        <v/>
      </c>
      <c r="D27" s="49">
        <f>IF(AND($C27&gt;0,B27&gt;$B$6),1,0)</f>
        <v/>
      </c>
      <c r="E27" s="49">
        <f>IF(D27=1,SUM($D$15:D27),"")</f>
        <v/>
      </c>
      <c r="F27" s="51">
        <f>IF(D27=1,$C27/(1+$B$8/2)^(E27-1),0)</f>
        <v/>
      </c>
      <c r="G27" s="51">
        <f>IF(D27=1,$C27/(1+($B$8+0.0001)/2)^(E27-1),0)</f>
        <v/>
      </c>
      <c r="H27" s="51">
        <f>IF(D27=1,$C27/(1+($B$8-0.0001)/2)^(E27-1),0)</f>
        <v/>
      </c>
      <c r="I27" s="49">
        <f>IF(AND($C27&gt;0,B27&gt;$B$7),1,0)</f>
        <v/>
      </c>
      <c r="J27" s="49">
        <f>IF(I27=1,SUM($I$15:I27),"")</f>
        <v/>
      </c>
      <c r="K27" s="51">
        <f>IF(I27=1,$C27/(1+$B$104/2)^(J27-1),0)</f>
        <v/>
      </c>
      <c r="L27" s="51">
        <f>IF(I27=1,$C27/(1+($B$104+0.0001)/2)^(J27-1),0)</f>
        <v/>
      </c>
      <c r="M27" s="51">
        <f>IF(I27=1,$C27/(1+($B$104-0.0001)/2)^(J27-1),0)</f>
        <v/>
      </c>
      <c r="N27" s="51">
        <f>IF(I27=1,$C27/(1+$B$109/2)^(J27-1),0)</f>
        <v/>
      </c>
      <c r="O27" s="51">
        <f>IF(I27=1,$C27/(1+$B$111/2)^(J27-1),0)</f>
        <v/>
      </c>
      <c r="P27" s="51">
        <f>IF(I27=1,$C27/(1+($B$111+0.0001)/2)^(J27-1),0)</f>
        <v/>
      </c>
      <c r="Q27" s="51">
        <f>IF(I27=1,$C27/(1+($B$111-0.0001)/2)^(J27-1),0)</f>
        <v/>
      </c>
      <c r="R27" s="51">
        <f>IF(AND($C27&gt;0,B27&gt;$B$6,B27&lt;=$B$7),$C27*(1+$B$10*($B$7-B27)/365),0)</f>
        <v/>
      </c>
      <c r="S27" s="51">
        <f>IF(I27=1,$C27/(1+($B$111+손익!$B$24/10000)/2)^(J27-1),0)</f>
        <v/>
      </c>
      <c r="T27" s="51">
        <f>IF(I27=1,$C27/(1+($B$111+시나리오!$A$4/10000)/2)^(J27-1),0)</f>
        <v/>
      </c>
      <c r="U27" s="51">
        <f>IF(I27=1,$C27/(1+($B$111+시나리오!$A$5/10000)/2)^(J27-1),0)</f>
        <v/>
      </c>
      <c r="V27" s="51">
        <f>IF(I27=1,$C27/(1+($B$111+시나리오!$A$6/10000)/2)^(J27-1),0)</f>
        <v/>
      </c>
      <c r="W27" s="51">
        <f>IF(I27=1,$C27/(1+($B$111+시나리오!$A$7/10000)/2)^(J27-1),0)</f>
        <v/>
      </c>
      <c r="X27" s="51">
        <f>IF(I27=1,$C27/(1+($B$111+시나리오!$A$8/10000)/2)^(J27-1),0)</f>
        <v/>
      </c>
      <c r="Y27" s="51">
        <f>IF(I27=1,$C27/(1+($B$111+시나리오!$A$9/10000)/2)^(J27-1),0)</f>
        <v/>
      </c>
      <c r="Z27" s="51">
        <f>IF(I27=1,$C27/(1+($B$111+시나리오!$A$10/10000)/2)^(J27-1),0)</f>
        <v/>
      </c>
      <c r="AA27" s="51">
        <f>IF(I27=1,$C27/(1+($B$111+시나리오!$A$11/10000)/2)^(J27-1),0)</f>
        <v/>
      </c>
      <c r="AB27" s="51">
        <f>IF(I27=1,$C27/(1+($B$111+시나리오!$A$12/10000)/2)^(J27-1),0)</f>
        <v/>
      </c>
      <c r="AC27" s="51">
        <f>IF(I27=1,$C27/(1+($B$111+시나리오!$A$13/10000)/2)^(J27-1),0)</f>
        <v/>
      </c>
      <c r="AD27" s="51">
        <f>IF(I27=1,$C27/(1+($B$111+시나리오!$A$14/10000)/2)^(J27-1),0)</f>
        <v/>
      </c>
      <c r="AE27" s="51">
        <f>IF(I27=1,$C27/(1+($B$111+시나리오!$A$15/10000)/2)^(J27-1),0)</f>
        <v/>
      </c>
      <c r="AF27" s="51">
        <f>IF(I27=1,$C27/(1+($B$111+시나리오!$A$16/10000)/2)^(J27-1),0)</f>
        <v/>
      </c>
      <c r="AG27" s="51">
        <f>IF(I27=1,$C27/(1+($B$111+시나리오!$A$17/10000)/2)^(J27-1),0)</f>
        <v/>
      </c>
      <c r="AH27" s="51">
        <f>IF(I27=1,$C27/(1+($B$111+시나리오!$A$18/10000)/2)^(J27-1),0)</f>
        <v/>
      </c>
      <c r="AI27" s="51">
        <f>IF(I27=1,$C27/(1+($B$111+시나리오!$A$19/10000)/2)^(J27-1),0)</f>
        <v/>
      </c>
      <c r="AJ27" s="51">
        <f>IF(I27=1,$C27/(1+($B$111+시나리오!$A$20/10000)/2)^(J27-1),0)</f>
        <v/>
      </c>
      <c r="AK27" s="51">
        <f>IF(I27=1,$C27/(1+($B$111+시나리오!$A$21/10000)/2)^(J27-1),0)</f>
        <v/>
      </c>
      <c r="AL27" s="51">
        <f>IF(I27=1,$C27/(1+($B$111+시나리오!$A$22/10000)/2)^(J27-1),0)</f>
        <v/>
      </c>
      <c r="AM27" s="51">
        <f>IF(I27=1,$C27/(1+($B$111+시나리오!$A$23/10000)/2)^(J27-1),0)</f>
        <v/>
      </c>
      <c r="AN27" s="51">
        <f>IF(I27=1,$C27/(1+($B$111+시나리오!$A$24/10000)/2)^(J27-1),0)</f>
        <v/>
      </c>
      <c r="AQ27" s="49" t="n">
        <v>13</v>
      </c>
      <c r="AR27" s="50">
        <f>EDATE($AR$2,-6*(62-$AQ27))</f>
        <v/>
      </c>
      <c r="AS27" s="51">
        <f>IF(AND(AR27&gt;$AR$3,AR27&lt;=$AR$2),IF(AR27=$AR$2,$AR$5+100,$AR$5),0)</f>
        <v/>
      </c>
      <c r="AT27" s="49">
        <f>IF(AND($AS27&gt;0,AR27&gt;$AR$6),1,0)</f>
        <v/>
      </c>
      <c r="AU27" s="49">
        <f>IF(AT27=1,SUM($AT$15:AT27),"")</f>
        <v/>
      </c>
      <c r="AV27" s="51">
        <f>IF(AT27=1,$AS27/(1+$AR$8/2)^(AU27-1),0)</f>
        <v/>
      </c>
      <c r="AW27" s="51">
        <f>IF(AT27=1,$AS27/(1+($AR$8+0.0001)/2)^(AU27-1),0)</f>
        <v/>
      </c>
      <c r="AX27" s="51">
        <f>IF(AT27=1,$AS27/(1+($AR$8-0.0001)/2)^(AU27-1),0)</f>
        <v/>
      </c>
      <c r="AY27" s="49">
        <f>IF(AND($AS27&gt;0,AR27&gt;$AR$7),1,0)</f>
        <v/>
      </c>
      <c r="AZ27" s="49">
        <f>IF(AY27=1,SUM($AY$15:AY27),"")</f>
        <v/>
      </c>
      <c r="BA27" s="51">
        <f>IF(AY27=1,$AS27/(1+$AR$104/2)^(AZ27-1),0)</f>
        <v/>
      </c>
      <c r="BB27" s="51">
        <f>IF(AY27=1,$AS27/(1+($AR$104+0.0001)/2)^(AZ27-1),0)</f>
        <v/>
      </c>
      <c r="BC27" s="51">
        <f>IF(AY27=1,$AS27/(1+($AR$104-0.0001)/2)^(AZ27-1),0)</f>
        <v/>
      </c>
      <c r="BD27" s="51">
        <f>IF(AY27=1,$AS27/(1+$AR$109/2)^(AZ27-1),0)</f>
        <v/>
      </c>
      <c r="BE27" s="51">
        <f>IF(AY27=1,$AS27/(1+$AR$111/2)^(AZ27-1),0)</f>
        <v/>
      </c>
      <c r="BF27" s="51">
        <f>IF(AY27=1,$AS27/(1+($AR$111+0.0001)/2)^(AZ27-1),0)</f>
        <v/>
      </c>
      <c r="BG27" s="51">
        <f>IF(AY27=1,$AS27/(1+($AR$111-0.0001)/2)^(AZ27-1),0)</f>
        <v/>
      </c>
      <c r="BH27" s="51">
        <f>IF(AND($AS27&gt;0,AR27&gt;$AR$6,AR27&lt;=$AR$7),$AS27*(1+$AR$10*($AR$7-AR27)/365),0)</f>
        <v/>
      </c>
      <c r="BI27" s="51">
        <f>IF(AY27=1,$AS27/(1+($AR$111+손익!$B$24/10000)/2)^(AZ27-1),0)</f>
        <v/>
      </c>
      <c r="BJ27" s="51">
        <f>IF(AY27=1,$AS27/(1+($AR$111+시나리오!$A$4/10000)/2)^(AZ27-1),0)</f>
        <v/>
      </c>
      <c r="BK27" s="51">
        <f>IF(AY27=1,$AS27/(1+($AR$111+시나리오!$A$5/10000)/2)^(AZ27-1),0)</f>
        <v/>
      </c>
      <c r="BL27" s="51">
        <f>IF(AY27=1,$AS27/(1+($AR$111+시나리오!$A$6/10000)/2)^(AZ27-1),0)</f>
        <v/>
      </c>
      <c r="BM27" s="51">
        <f>IF(AY27=1,$AS27/(1+($AR$111+시나리오!$A$7/10000)/2)^(AZ27-1),0)</f>
        <v/>
      </c>
      <c r="BN27" s="51">
        <f>IF(AY27=1,$AS27/(1+($AR$111+시나리오!$A$8/10000)/2)^(AZ27-1),0)</f>
        <v/>
      </c>
      <c r="BO27" s="51">
        <f>IF(AY27=1,$AS27/(1+($AR$111+시나리오!$A$9/10000)/2)^(AZ27-1),0)</f>
        <v/>
      </c>
      <c r="BP27" s="51">
        <f>IF(AY27=1,$AS27/(1+($AR$111+시나리오!$A$10/10000)/2)^(AZ27-1),0)</f>
        <v/>
      </c>
      <c r="BQ27" s="51">
        <f>IF(AY27=1,$AS27/(1+($AR$111+시나리오!$A$11/10000)/2)^(AZ27-1),0)</f>
        <v/>
      </c>
      <c r="BR27" s="51">
        <f>IF(AY27=1,$AS27/(1+($AR$111+시나리오!$A$12/10000)/2)^(AZ27-1),0)</f>
        <v/>
      </c>
      <c r="BS27" s="51">
        <f>IF(AY27=1,$AS27/(1+($AR$111+시나리오!$A$13/10000)/2)^(AZ27-1),0)</f>
        <v/>
      </c>
      <c r="BT27" s="51">
        <f>IF(AY27=1,$AS27/(1+($AR$111+시나리오!$A$14/10000)/2)^(AZ27-1),0)</f>
        <v/>
      </c>
      <c r="BU27" s="51">
        <f>IF(AY27=1,$AS27/(1+($AR$111+시나리오!$A$15/10000)/2)^(AZ27-1),0)</f>
        <v/>
      </c>
      <c r="BV27" s="51">
        <f>IF(AY27=1,$AS27/(1+($AR$111+시나리오!$A$16/10000)/2)^(AZ27-1),0)</f>
        <v/>
      </c>
      <c r="BW27" s="51">
        <f>IF(AY27=1,$AS27/(1+($AR$111+시나리오!$A$17/10000)/2)^(AZ27-1),0)</f>
        <v/>
      </c>
      <c r="BX27" s="51">
        <f>IF(AY27=1,$AS27/(1+($AR$111+시나리오!$A$18/10000)/2)^(AZ27-1),0)</f>
        <v/>
      </c>
      <c r="BY27" s="51">
        <f>IF(AY27=1,$AS27/(1+($AR$111+시나리오!$A$19/10000)/2)^(AZ27-1),0)</f>
        <v/>
      </c>
      <c r="BZ27" s="51">
        <f>IF(AY27=1,$AS27/(1+($AR$111+시나리오!$A$20/10000)/2)^(AZ27-1),0)</f>
        <v/>
      </c>
      <c r="CA27" s="51">
        <f>IF(AY27=1,$AS27/(1+($AR$111+시나리오!$A$21/10000)/2)^(AZ27-1),0)</f>
        <v/>
      </c>
      <c r="CB27" s="51">
        <f>IF(AY27=1,$AS27/(1+($AR$111+시나리오!$A$22/10000)/2)^(AZ27-1),0)</f>
        <v/>
      </c>
      <c r="CC27" s="51">
        <f>IF(AY27=1,$AS27/(1+($AR$111+시나리오!$A$23/10000)/2)^(AZ27-1),0)</f>
        <v/>
      </c>
      <c r="CD27" s="51">
        <f>IF(AY27=1,$AS27/(1+($AR$111+시나리오!$A$24/10000)/2)^(AZ27-1),0)</f>
        <v/>
      </c>
      <c r="CG27" s="49" t="n">
        <v>13</v>
      </c>
      <c r="CH27" s="50">
        <f>EDATE($CH$2,-6*(62-$CG27))</f>
        <v/>
      </c>
      <c r="CI27" s="51">
        <f>IF(AND(CH27&gt;$CH$3,CH27&lt;=$CH$2),IF(CH27=$CH$2,$CH$5+100,$CH$5),0)</f>
        <v/>
      </c>
      <c r="CJ27" s="49">
        <f>IF(AND($CI27&gt;0,CH27&gt;$CH$6),1,0)</f>
        <v/>
      </c>
      <c r="CK27" s="49">
        <f>IF(CJ27=1,SUM($CJ$15:CJ27),"")</f>
        <v/>
      </c>
      <c r="CL27" s="51">
        <f>IF(CJ27=1,$CI27/(1+$CH$8/2)^(CK27-1),0)</f>
        <v/>
      </c>
      <c r="CM27" s="51">
        <f>IF(CJ27=1,$CI27/(1+($CH$8+0.0001)/2)^(CK27-1),0)</f>
        <v/>
      </c>
      <c r="CN27" s="51">
        <f>IF(CJ27=1,$CI27/(1+($CH$8-0.0001)/2)^(CK27-1),0)</f>
        <v/>
      </c>
      <c r="CO27" s="49">
        <f>IF(AND($CI27&gt;0,CH27&gt;$CH$7),1,0)</f>
        <v/>
      </c>
      <c r="CP27" s="49">
        <f>IF(CO27=1,SUM($CO$15:CO27),"")</f>
        <v/>
      </c>
      <c r="CQ27" s="51">
        <f>IF(CO27=1,$CI27/(1+$CH$104/2)^(CP27-1),0)</f>
        <v/>
      </c>
      <c r="CR27" s="51">
        <f>IF(CO27=1,$CI27/(1+($CH$104+0.0001)/2)^(CP27-1),0)</f>
        <v/>
      </c>
      <c r="CS27" s="51">
        <f>IF(CO27=1,$CI27/(1+($CH$104-0.0001)/2)^(CP27-1),0)</f>
        <v/>
      </c>
      <c r="CT27" s="51">
        <f>IF(CO27=1,$CI27/(1+$CH$109/2)^(CP27-1),0)</f>
        <v/>
      </c>
      <c r="CU27" s="51">
        <f>IF(CO27=1,$CI27/(1+$CH$111/2)^(CP27-1),0)</f>
        <v/>
      </c>
      <c r="CV27" s="51">
        <f>IF(CO27=1,$CI27/(1+($CH$111+0.0001)/2)^(CP27-1),0)</f>
        <v/>
      </c>
      <c r="CW27" s="51">
        <f>IF(CO27=1,$CI27/(1+($CH$111-0.0001)/2)^(CP27-1),0)</f>
        <v/>
      </c>
      <c r="CX27" s="51">
        <f>IF(AND($CI27&gt;0,CH27&gt;$CH$6,CH27&lt;=$CH$7),$CI27*(1+$CH$10*($CH$7-CH27)/365),0)</f>
        <v/>
      </c>
      <c r="CY27" s="51">
        <f>IF(CO27=1,$CI27/(1+($CH$111+손익!$B$24/10000)/2)^(CP27-1),0)</f>
        <v/>
      </c>
      <c r="CZ27" s="51">
        <f>IF(CO27=1,$CI27/(1+($CH$111+시나리오!$A$4/10000)/2)^(CP27-1),0)</f>
        <v/>
      </c>
      <c r="DA27" s="51">
        <f>IF(CO27=1,$CI27/(1+($CH$111+시나리오!$A$5/10000)/2)^(CP27-1),0)</f>
        <v/>
      </c>
      <c r="DB27" s="51">
        <f>IF(CO27=1,$CI27/(1+($CH$111+시나리오!$A$6/10000)/2)^(CP27-1),0)</f>
        <v/>
      </c>
      <c r="DC27" s="51">
        <f>IF(CO27=1,$CI27/(1+($CH$111+시나리오!$A$7/10000)/2)^(CP27-1),0)</f>
        <v/>
      </c>
      <c r="DD27" s="51">
        <f>IF(CO27=1,$CI27/(1+($CH$111+시나리오!$A$8/10000)/2)^(CP27-1),0)</f>
        <v/>
      </c>
      <c r="DE27" s="51">
        <f>IF(CO27=1,$CI27/(1+($CH$111+시나리오!$A$9/10000)/2)^(CP27-1),0)</f>
        <v/>
      </c>
      <c r="DF27" s="51">
        <f>IF(CO27=1,$CI27/(1+($CH$111+시나리오!$A$10/10000)/2)^(CP27-1),0)</f>
        <v/>
      </c>
      <c r="DG27" s="51">
        <f>IF(CO27=1,$CI27/(1+($CH$111+시나리오!$A$11/10000)/2)^(CP27-1),0)</f>
        <v/>
      </c>
      <c r="DH27" s="51">
        <f>IF(CO27=1,$CI27/(1+($CH$111+시나리오!$A$12/10000)/2)^(CP27-1),0)</f>
        <v/>
      </c>
      <c r="DI27" s="51">
        <f>IF(CO27=1,$CI27/(1+($CH$111+시나리오!$A$13/10000)/2)^(CP27-1),0)</f>
        <v/>
      </c>
      <c r="DJ27" s="51">
        <f>IF(CO27=1,$CI27/(1+($CH$111+시나리오!$A$14/10000)/2)^(CP27-1),0)</f>
        <v/>
      </c>
      <c r="DK27" s="51">
        <f>IF(CO27=1,$CI27/(1+($CH$111+시나리오!$A$15/10000)/2)^(CP27-1),0)</f>
        <v/>
      </c>
      <c r="DL27" s="51">
        <f>IF(CO27=1,$CI27/(1+($CH$111+시나리오!$A$16/10000)/2)^(CP27-1),0)</f>
        <v/>
      </c>
      <c r="DM27" s="51">
        <f>IF(CO27=1,$CI27/(1+($CH$111+시나리오!$A$17/10000)/2)^(CP27-1),0)</f>
        <v/>
      </c>
      <c r="DN27" s="51">
        <f>IF(CO27=1,$CI27/(1+($CH$111+시나리오!$A$18/10000)/2)^(CP27-1),0)</f>
        <v/>
      </c>
      <c r="DO27" s="51">
        <f>IF(CO27=1,$CI27/(1+($CH$111+시나리오!$A$19/10000)/2)^(CP27-1),0)</f>
        <v/>
      </c>
      <c r="DP27" s="51">
        <f>IF(CO27=1,$CI27/(1+($CH$111+시나리오!$A$20/10000)/2)^(CP27-1),0)</f>
        <v/>
      </c>
      <c r="DQ27" s="51">
        <f>IF(CO27=1,$CI27/(1+($CH$111+시나리오!$A$21/10000)/2)^(CP27-1),0)</f>
        <v/>
      </c>
      <c r="DR27" s="51">
        <f>IF(CO27=1,$CI27/(1+($CH$111+시나리오!$A$22/10000)/2)^(CP27-1),0)</f>
        <v/>
      </c>
      <c r="DS27" s="51">
        <f>IF(CO27=1,$CI27/(1+($CH$111+시나리오!$A$23/10000)/2)^(CP27-1),0)</f>
        <v/>
      </c>
      <c r="DT27" s="51">
        <f>IF(CO27=1,$CI27/(1+($CH$111+시나리오!$A$24/10000)/2)^(CP27-1),0)</f>
        <v/>
      </c>
    </row>
    <row r="28">
      <c r="A28" s="49" t="n">
        <v>14</v>
      </c>
      <c r="B28" s="50">
        <f>EDATE($B$2,-6*(62-$A28))</f>
        <v/>
      </c>
      <c r="C28" s="51">
        <f>IF(AND(B28&gt;$B$3,B28&lt;=$B$2),IF(B28=$B$2,$B$5+100,$B$5),0)</f>
        <v/>
      </c>
      <c r="D28" s="49">
        <f>IF(AND($C28&gt;0,B28&gt;$B$6),1,0)</f>
        <v/>
      </c>
      <c r="E28" s="49">
        <f>IF(D28=1,SUM($D$15:D28),"")</f>
        <v/>
      </c>
      <c r="F28" s="51">
        <f>IF(D28=1,$C28/(1+$B$8/2)^(E28-1),0)</f>
        <v/>
      </c>
      <c r="G28" s="51">
        <f>IF(D28=1,$C28/(1+($B$8+0.0001)/2)^(E28-1),0)</f>
        <v/>
      </c>
      <c r="H28" s="51">
        <f>IF(D28=1,$C28/(1+($B$8-0.0001)/2)^(E28-1),0)</f>
        <v/>
      </c>
      <c r="I28" s="49">
        <f>IF(AND($C28&gt;0,B28&gt;$B$7),1,0)</f>
        <v/>
      </c>
      <c r="J28" s="49">
        <f>IF(I28=1,SUM($I$15:I28),"")</f>
        <v/>
      </c>
      <c r="K28" s="51">
        <f>IF(I28=1,$C28/(1+$B$104/2)^(J28-1),0)</f>
        <v/>
      </c>
      <c r="L28" s="51">
        <f>IF(I28=1,$C28/(1+($B$104+0.0001)/2)^(J28-1),0)</f>
        <v/>
      </c>
      <c r="M28" s="51">
        <f>IF(I28=1,$C28/(1+($B$104-0.0001)/2)^(J28-1),0)</f>
        <v/>
      </c>
      <c r="N28" s="51">
        <f>IF(I28=1,$C28/(1+$B$109/2)^(J28-1),0)</f>
        <v/>
      </c>
      <c r="O28" s="51">
        <f>IF(I28=1,$C28/(1+$B$111/2)^(J28-1),0)</f>
        <v/>
      </c>
      <c r="P28" s="51">
        <f>IF(I28=1,$C28/(1+($B$111+0.0001)/2)^(J28-1),0)</f>
        <v/>
      </c>
      <c r="Q28" s="51">
        <f>IF(I28=1,$C28/(1+($B$111-0.0001)/2)^(J28-1),0)</f>
        <v/>
      </c>
      <c r="R28" s="51">
        <f>IF(AND($C28&gt;0,B28&gt;$B$6,B28&lt;=$B$7),$C28*(1+$B$10*($B$7-B28)/365),0)</f>
        <v/>
      </c>
      <c r="S28" s="51">
        <f>IF(I28=1,$C28/(1+($B$111+손익!$B$24/10000)/2)^(J28-1),0)</f>
        <v/>
      </c>
      <c r="T28" s="51">
        <f>IF(I28=1,$C28/(1+($B$111+시나리오!$A$4/10000)/2)^(J28-1),0)</f>
        <v/>
      </c>
      <c r="U28" s="51">
        <f>IF(I28=1,$C28/(1+($B$111+시나리오!$A$5/10000)/2)^(J28-1),0)</f>
        <v/>
      </c>
      <c r="V28" s="51">
        <f>IF(I28=1,$C28/(1+($B$111+시나리오!$A$6/10000)/2)^(J28-1),0)</f>
        <v/>
      </c>
      <c r="W28" s="51">
        <f>IF(I28=1,$C28/(1+($B$111+시나리오!$A$7/10000)/2)^(J28-1),0)</f>
        <v/>
      </c>
      <c r="X28" s="51">
        <f>IF(I28=1,$C28/(1+($B$111+시나리오!$A$8/10000)/2)^(J28-1),0)</f>
        <v/>
      </c>
      <c r="Y28" s="51">
        <f>IF(I28=1,$C28/(1+($B$111+시나리오!$A$9/10000)/2)^(J28-1),0)</f>
        <v/>
      </c>
      <c r="Z28" s="51">
        <f>IF(I28=1,$C28/(1+($B$111+시나리오!$A$10/10000)/2)^(J28-1),0)</f>
        <v/>
      </c>
      <c r="AA28" s="51">
        <f>IF(I28=1,$C28/(1+($B$111+시나리오!$A$11/10000)/2)^(J28-1),0)</f>
        <v/>
      </c>
      <c r="AB28" s="51">
        <f>IF(I28=1,$C28/(1+($B$111+시나리오!$A$12/10000)/2)^(J28-1),0)</f>
        <v/>
      </c>
      <c r="AC28" s="51">
        <f>IF(I28=1,$C28/(1+($B$111+시나리오!$A$13/10000)/2)^(J28-1),0)</f>
        <v/>
      </c>
      <c r="AD28" s="51">
        <f>IF(I28=1,$C28/(1+($B$111+시나리오!$A$14/10000)/2)^(J28-1),0)</f>
        <v/>
      </c>
      <c r="AE28" s="51">
        <f>IF(I28=1,$C28/(1+($B$111+시나리오!$A$15/10000)/2)^(J28-1),0)</f>
        <v/>
      </c>
      <c r="AF28" s="51">
        <f>IF(I28=1,$C28/(1+($B$111+시나리오!$A$16/10000)/2)^(J28-1),0)</f>
        <v/>
      </c>
      <c r="AG28" s="51">
        <f>IF(I28=1,$C28/(1+($B$111+시나리오!$A$17/10000)/2)^(J28-1),0)</f>
        <v/>
      </c>
      <c r="AH28" s="51">
        <f>IF(I28=1,$C28/(1+($B$111+시나리오!$A$18/10000)/2)^(J28-1),0)</f>
        <v/>
      </c>
      <c r="AI28" s="51">
        <f>IF(I28=1,$C28/(1+($B$111+시나리오!$A$19/10000)/2)^(J28-1),0)</f>
        <v/>
      </c>
      <c r="AJ28" s="51">
        <f>IF(I28=1,$C28/(1+($B$111+시나리오!$A$20/10000)/2)^(J28-1),0)</f>
        <v/>
      </c>
      <c r="AK28" s="51">
        <f>IF(I28=1,$C28/(1+($B$111+시나리오!$A$21/10000)/2)^(J28-1),0)</f>
        <v/>
      </c>
      <c r="AL28" s="51">
        <f>IF(I28=1,$C28/(1+($B$111+시나리오!$A$22/10000)/2)^(J28-1),0)</f>
        <v/>
      </c>
      <c r="AM28" s="51">
        <f>IF(I28=1,$C28/(1+($B$111+시나리오!$A$23/10000)/2)^(J28-1),0)</f>
        <v/>
      </c>
      <c r="AN28" s="51">
        <f>IF(I28=1,$C28/(1+($B$111+시나리오!$A$24/10000)/2)^(J28-1),0)</f>
        <v/>
      </c>
      <c r="AQ28" s="49" t="n">
        <v>14</v>
      </c>
      <c r="AR28" s="50">
        <f>EDATE($AR$2,-6*(62-$AQ28))</f>
        <v/>
      </c>
      <c r="AS28" s="51">
        <f>IF(AND(AR28&gt;$AR$3,AR28&lt;=$AR$2),IF(AR28=$AR$2,$AR$5+100,$AR$5),0)</f>
        <v/>
      </c>
      <c r="AT28" s="49">
        <f>IF(AND($AS28&gt;0,AR28&gt;$AR$6),1,0)</f>
        <v/>
      </c>
      <c r="AU28" s="49">
        <f>IF(AT28=1,SUM($AT$15:AT28),"")</f>
        <v/>
      </c>
      <c r="AV28" s="51">
        <f>IF(AT28=1,$AS28/(1+$AR$8/2)^(AU28-1),0)</f>
        <v/>
      </c>
      <c r="AW28" s="51">
        <f>IF(AT28=1,$AS28/(1+($AR$8+0.0001)/2)^(AU28-1),0)</f>
        <v/>
      </c>
      <c r="AX28" s="51">
        <f>IF(AT28=1,$AS28/(1+($AR$8-0.0001)/2)^(AU28-1),0)</f>
        <v/>
      </c>
      <c r="AY28" s="49">
        <f>IF(AND($AS28&gt;0,AR28&gt;$AR$7),1,0)</f>
        <v/>
      </c>
      <c r="AZ28" s="49">
        <f>IF(AY28=1,SUM($AY$15:AY28),"")</f>
        <v/>
      </c>
      <c r="BA28" s="51">
        <f>IF(AY28=1,$AS28/(1+$AR$104/2)^(AZ28-1),0)</f>
        <v/>
      </c>
      <c r="BB28" s="51">
        <f>IF(AY28=1,$AS28/(1+($AR$104+0.0001)/2)^(AZ28-1),0)</f>
        <v/>
      </c>
      <c r="BC28" s="51">
        <f>IF(AY28=1,$AS28/(1+($AR$104-0.0001)/2)^(AZ28-1),0)</f>
        <v/>
      </c>
      <c r="BD28" s="51">
        <f>IF(AY28=1,$AS28/(1+$AR$109/2)^(AZ28-1),0)</f>
        <v/>
      </c>
      <c r="BE28" s="51">
        <f>IF(AY28=1,$AS28/(1+$AR$111/2)^(AZ28-1),0)</f>
        <v/>
      </c>
      <c r="BF28" s="51">
        <f>IF(AY28=1,$AS28/(1+($AR$111+0.0001)/2)^(AZ28-1),0)</f>
        <v/>
      </c>
      <c r="BG28" s="51">
        <f>IF(AY28=1,$AS28/(1+($AR$111-0.0001)/2)^(AZ28-1),0)</f>
        <v/>
      </c>
      <c r="BH28" s="51">
        <f>IF(AND($AS28&gt;0,AR28&gt;$AR$6,AR28&lt;=$AR$7),$AS28*(1+$AR$10*($AR$7-AR28)/365),0)</f>
        <v/>
      </c>
      <c r="BI28" s="51">
        <f>IF(AY28=1,$AS28/(1+($AR$111+손익!$B$24/10000)/2)^(AZ28-1),0)</f>
        <v/>
      </c>
      <c r="BJ28" s="51">
        <f>IF(AY28=1,$AS28/(1+($AR$111+시나리오!$A$4/10000)/2)^(AZ28-1),0)</f>
        <v/>
      </c>
      <c r="BK28" s="51">
        <f>IF(AY28=1,$AS28/(1+($AR$111+시나리오!$A$5/10000)/2)^(AZ28-1),0)</f>
        <v/>
      </c>
      <c r="BL28" s="51">
        <f>IF(AY28=1,$AS28/(1+($AR$111+시나리오!$A$6/10000)/2)^(AZ28-1),0)</f>
        <v/>
      </c>
      <c r="BM28" s="51">
        <f>IF(AY28=1,$AS28/(1+($AR$111+시나리오!$A$7/10000)/2)^(AZ28-1),0)</f>
        <v/>
      </c>
      <c r="BN28" s="51">
        <f>IF(AY28=1,$AS28/(1+($AR$111+시나리오!$A$8/10000)/2)^(AZ28-1),0)</f>
        <v/>
      </c>
      <c r="BO28" s="51">
        <f>IF(AY28=1,$AS28/(1+($AR$111+시나리오!$A$9/10000)/2)^(AZ28-1),0)</f>
        <v/>
      </c>
      <c r="BP28" s="51">
        <f>IF(AY28=1,$AS28/(1+($AR$111+시나리오!$A$10/10000)/2)^(AZ28-1),0)</f>
        <v/>
      </c>
      <c r="BQ28" s="51">
        <f>IF(AY28=1,$AS28/(1+($AR$111+시나리오!$A$11/10000)/2)^(AZ28-1),0)</f>
        <v/>
      </c>
      <c r="BR28" s="51">
        <f>IF(AY28=1,$AS28/(1+($AR$111+시나리오!$A$12/10000)/2)^(AZ28-1),0)</f>
        <v/>
      </c>
      <c r="BS28" s="51">
        <f>IF(AY28=1,$AS28/(1+($AR$111+시나리오!$A$13/10000)/2)^(AZ28-1),0)</f>
        <v/>
      </c>
      <c r="BT28" s="51">
        <f>IF(AY28=1,$AS28/(1+($AR$111+시나리오!$A$14/10000)/2)^(AZ28-1),0)</f>
        <v/>
      </c>
      <c r="BU28" s="51">
        <f>IF(AY28=1,$AS28/(1+($AR$111+시나리오!$A$15/10000)/2)^(AZ28-1),0)</f>
        <v/>
      </c>
      <c r="BV28" s="51">
        <f>IF(AY28=1,$AS28/(1+($AR$111+시나리오!$A$16/10000)/2)^(AZ28-1),0)</f>
        <v/>
      </c>
      <c r="BW28" s="51">
        <f>IF(AY28=1,$AS28/(1+($AR$111+시나리오!$A$17/10000)/2)^(AZ28-1),0)</f>
        <v/>
      </c>
      <c r="BX28" s="51">
        <f>IF(AY28=1,$AS28/(1+($AR$111+시나리오!$A$18/10000)/2)^(AZ28-1),0)</f>
        <v/>
      </c>
      <c r="BY28" s="51">
        <f>IF(AY28=1,$AS28/(1+($AR$111+시나리오!$A$19/10000)/2)^(AZ28-1),0)</f>
        <v/>
      </c>
      <c r="BZ28" s="51">
        <f>IF(AY28=1,$AS28/(1+($AR$111+시나리오!$A$20/10000)/2)^(AZ28-1),0)</f>
        <v/>
      </c>
      <c r="CA28" s="51">
        <f>IF(AY28=1,$AS28/(1+($AR$111+시나리오!$A$21/10000)/2)^(AZ28-1),0)</f>
        <v/>
      </c>
      <c r="CB28" s="51">
        <f>IF(AY28=1,$AS28/(1+($AR$111+시나리오!$A$22/10000)/2)^(AZ28-1),0)</f>
        <v/>
      </c>
      <c r="CC28" s="51">
        <f>IF(AY28=1,$AS28/(1+($AR$111+시나리오!$A$23/10000)/2)^(AZ28-1),0)</f>
        <v/>
      </c>
      <c r="CD28" s="51">
        <f>IF(AY28=1,$AS28/(1+($AR$111+시나리오!$A$24/10000)/2)^(AZ28-1),0)</f>
        <v/>
      </c>
      <c r="CG28" s="49" t="n">
        <v>14</v>
      </c>
      <c r="CH28" s="50">
        <f>EDATE($CH$2,-6*(62-$CG28))</f>
        <v/>
      </c>
      <c r="CI28" s="51">
        <f>IF(AND(CH28&gt;$CH$3,CH28&lt;=$CH$2),IF(CH28=$CH$2,$CH$5+100,$CH$5),0)</f>
        <v/>
      </c>
      <c r="CJ28" s="49">
        <f>IF(AND($CI28&gt;0,CH28&gt;$CH$6),1,0)</f>
        <v/>
      </c>
      <c r="CK28" s="49">
        <f>IF(CJ28=1,SUM($CJ$15:CJ28),"")</f>
        <v/>
      </c>
      <c r="CL28" s="51">
        <f>IF(CJ28=1,$CI28/(1+$CH$8/2)^(CK28-1),0)</f>
        <v/>
      </c>
      <c r="CM28" s="51">
        <f>IF(CJ28=1,$CI28/(1+($CH$8+0.0001)/2)^(CK28-1),0)</f>
        <v/>
      </c>
      <c r="CN28" s="51">
        <f>IF(CJ28=1,$CI28/(1+($CH$8-0.0001)/2)^(CK28-1),0)</f>
        <v/>
      </c>
      <c r="CO28" s="49">
        <f>IF(AND($CI28&gt;0,CH28&gt;$CH$7),1,0)</f>
        <v/>
      </c>
      <c r="CP28" s="49">
        <f>IF(CO28=1,SUM($CO$15:CO28),"")</f>
        <v/>
      </c>
      <c r="CQ28" s="51">
        <f>IF(CO28=1,$CI28/(1+$CH$104/2)^(CP28-1),0)</f>
        <v/>
      </c>
      <c r="CR28" s="51">
        <f>IF(CO28=1,$CI28/(1+($CH$104+0.0001)/2)^(CP28-1),0)</f>
        <v/>
      </c>
      <c r="CS28" s="51">
        <f>IF(CO28=1,$CI28/(1+($CH$104-0.0001)/2)^(CP28-1),0)</f>
        <v/>
      </c>
      <c r="CT28" s="51">
        <f>IF(CO28=1,$CI28/(1+$CH$109/2)^(CP28-1),0)</f>
        <v/>
      </c>
      <c r="CU28" s="51">
        <f>IF(CO28=1,$CI28/(1+$CH$111/2)^(CP28-1),0)</f>
        <v/>
      </c>
      <c r="CV28" s="51">
        <f>IF(CO28=1,$CI28/(1+($CH$111+0.0001)/2)^(CP28-1),0)</f>
        <v/>
      </c>
      <c r="CW28" s="51">
        <f>IF(CO28=1,$CI28/(1+($CH$111-0.0001)/2)^(CP28-1),0)</f>
        <v/>
      </c>
      <c r="CX28" s="51">
        <f>IF(AND($CI28&gt;0,CH28&gt;$CH$6,CH28&lt;=$CH$7),$CI28*(1+$CH$10*($CH$7-CH28)/365),0)</f>
        <v/>
      </c>
      <c r="CY28" s="51">
        <f>IF(CO28=1,$CI28/(1+($CH$111+손익!$B$24/10000)/2)^(CP28-1),0)</f>
        <v/>
      </c>
      <c r="CZ28" s="51">
        <f>IF(CO28=1,$CI28/(1+($CH$111+시나리오!$A$4/10000)/2)^(CP28-1),0)</f>
        <v/>
      </c>
      <c r="DA28" s="51">
        <f>IF(CO28=1,$CI28/(1+($CH$111+시나리오!$A$5/10000)/2)^(CP28-1),0)</f>
        <v/>
      </c>
      <c r="DB28" s="51">
        <f>IF(CO28=1,$CI28/(1+($CH$111+시나리오!$A$6/10000)/2)^(CP28-1),0)</f>
        <v/>
      </c>
      <c r="DC28" s="51">
        <f>IF(CO28=1,$CI28/(1+($CH$111+시나리오!$A$7/10000)/2)^(CP28-1),0)</f>
        <v/>
      </c>
      <c r="DD28" s="51">
        <f>IF(CO28=1,$CI28/(1+($CH$111+시나리오!$A$8/10000)/2)^(CP28-1),0)</f>
        <v/>
      </c>
      <c r="DE28" s="51">
        <f>IF(CO28=1,$CI28/(1+($CH$111+시나리오!$A$9/10000)/2)^(CP28-1),0)</f>
        <v/>
      </c>
      <c r="DF28" s="51">
        <f>IF(CO28=1,$CI28/(1+($CH$111+시나리오!$A$10/10000)/2)^(CP28-1),0)</f>
        <v/>
      </c>
      <c r="DG28" s="51">
        <f>IF(CO28=1,$CI28/(1+($CH$111+시나리오!$A$11/10000)/2)^(CP28-1),0)</f>
        <v/>
      </c>
      <c r="DH28" s="51">
        <f>IF(CO28=1,$CI28/(1+($CH$111+시나리오!$A$12/10000)/2)^(CP28-1),0)</f>
        <v/>
      </c>
      <c r="DI28" s="51">
        <f>IF(CO28=1,$CI28/(1+($CH$111+시나리오!$A$13/10000)/2)^(CP28-1),0)</f>
        <v/>
      </c>
      <c r="DJ28" s="51">
        <f>IF(CO28=1,$CI28/(1+($CH$111+시나리오!$A$14/10000)/2)^(CP28-1),0)</f>
        <v/>
      </c>
      <c r="DK28" s="51">
        <f>IF(CO28=1,$CI28/(1+($CH$111+시나리오!$A$15/10000)/2)^(CP28-1),0)</f>
        <v/>
      </c>
      <c r="DL28" s="51">
        <f>IF(CO28=1,$CI28/(1+($CH$111+시나리오!$A$16/10000)/2)^(CP28-1),0)</f>
        <v/>
      </c>
      <c r="DM28" s="51">
        <f>IF(CO28=1,$CI28/(1+($CH$111+시나리오!$A$17/10000)/2)^(CP28-1),0)</f>
        <v/>
      </c>
      <c r="DN28" s="51">
        <f>IF(CO28=1,$CI28/(1+($CH$111+시나리오!$A$18/10000)/2)^(CP28-1),0)</f>
        <v/>
      </c>
      <c r="DO28" s="51">
        <f>IF(CO28=1,$CI28/(1+($CH$111+시나리오!$A$19/10000)/2)^(CP28-1),0)</f>
        <v/>
      </c>
      <c r="DP28" s="51">
        <f>IF(CO28=1,$CI28/(1+($CH$111+시나리오!$A$20/10000)/2)^(CP28-1),0)</f>
        <v/>
      </c>
      <c r="DQ28" s="51">
        <f>IF(CO28=1,$CI28/(1+($CH$111+시나리오!$A$21/10000)/2)^(CP28-1),0)</f>
        <v/>
      </c>
      <c r="DR28" s="51">
        <f>IF(CO28=1,$CI28/(1+($CH$111+시나리오!$A$22/10000)/2)^(CP28-1),0)</f>
        <v/>
      </c>
      <c r="DS28" s="51">
        <f>IF(CO28=1,$CI28/(1+($CH$111+시나리오!$A$23/10000)/2)^(CP28-1),0)</f>
        <v/>
      </c>
      <c r="DT28" s="51">
        <f>IF(CO28=1,$CI28/(1+($CH$111+시나리오!$A$24/10000)/2)^(CP28-1),0)</f>
        <v/>
      </c>
    </row>
    <row r="29">
      <c r="A29" s="49" t="n">
        <v>15</v>
      </c>
      <c r="B29" s="50">
        <f>EDATE($B$2,-6*(62-$A29))</f>
        <v/>
      </c>
      <c r="C29" s="51">
        <f>IF(AND(B29&gt;$B$3,B29&lt;=$B$2),IF(B29=$B$2,$B$5+100,$B$5),0)</f>
        <v/>
      </c>
      <c r="D29" s="49">
        <f>IF(AND($C29&gt;0,B29&gt;$B$6),1,0)</f>
        <v/>
      </c>
      <c r="E29" s="49">
        <f>IF(D29=1,SUM($D$15:D29),"")</f>
        <v/>
      </c>
      <c r="F29" s="51">
        <f>IF(D29=1,$C29/(1+$B$8/2)^(E29-1),0)</f>
        <v/>
      </c>
      <c r="G29" s="51">
        <f>IF(D29=1,$C29/(1+($B$8+0.0001)/2)^(E29-1),0)</f>
        <v/>
      </c>
      <c r="H29" s="51">
        <f>IF(D29=1,$C29/(1+($B$8-0.0001)/2)^(E29-1),0)</f>
        <v/>
      </c>
      <c r="I29" s="49">
        <f>IF(AND($C29&gt;0,B29&gt;$B$7),1,0)</f>
        <v/>
      </c>
      <c r="J29" s="49">
        <f>IF(I29=1,SUM($I$15:I29),"")</f>
        <v/>
      </c>
      <c r="K29" s="51">
        <f>IF(I29=1,$C29/(1+$B$104/2)^(J29-1),0)</f>
        <v/>
      </c>
      <c r="L29" s="51">
        <f>IF(I29=1,$C29/(1+($B$104+0.0001)/2)^(J29-1),0)</f>
        <v/>
      </c>
      <c r="M29" s="51">
        <f>IF(I29=1,$C29/(1+($B$104-0.0001)/2)^(J29-1),0)</f>
        <v/>
      </c>
      <c r="N29" s="51">
        <f>IF(I29=1,$C29/(1+$B$109/2)^(J29-1),0)</f>
        <v/>
      </c>
      <c r="O29" s="51">
        <f>IF(I29=1,$C29/(1+$B$111/2)^(J29-1),0)</f>
        <v/>
      </c>
      <c r="P29" s="51">
        <f>IF(I29=1,$C29/(1+($B$111+0.0001)/2)^(J29-1),0)</f>
        <v/>
      </c>
      <c r="Q29" s="51">
        <f>IF(I29=1,$C29/(1+($B$111-0.0001)/2)^(J29-1),0)</f>
        <v/>
      </c>
      <c r="R29" s="51">
        <f>IF(AND($C29&gt;0,B29&gt;$B$6,B29&lt;=$B$7),$C29*(1+$B$10*($B$7-B29)/365),0)</f>
        <v/>
      </c>
      <c r="S29" s="51">
        <f>IF(I29=1,$C29/(1+($B$111+손익!$B$24/10000)/2)^(J29-1),0)</f>
        <v/>
      </c>
      <c r="T29" s="51">
        <f>IF(I29=1,$C29/(1+($B$111+시나리오!$A$4/10000)/2)^(J29-1),0)</f>
        <v/>
      </c>
      <c r="U29" s="51">
        <f>IF(I29=1,$C29/(1+($B$111+시나리오!$A$5/10000)/2)^(J29-1),0)</f>
        <v/>
      </c>
      <c r="V29" s="51">
        <f>IF(I29=1,$C29/(1+($B$111+시나리오!$A$6/10000)/2)^(J29-1),0)</f>
        <v/>
      </c>
      <c r="W29" s="51">
        <f>IF(I29=1,$C29/(1+($B$111+시나리오!$A$7/10000)/2)^(J29-1),0)</f>
        <v/>
      </c>
      <c r="X29" s="51">
        <f>IF(I29=1,$C29/(1+($B$111+시나리오!$A$8/10000)/2)^(J29-1),0)</f>
        <v/>
      </c>
      <c r="Y29" s="51">
        <f>IF(I29=1,$C29/(1+($B$111+시나리오!$A$9/10000)/2)^(J29-1),0)</f>
        <v/>
      </c>
      <c r="Z29" s="51">
        <f>IF(I29=1,$C29/(1+($B$111+시나리오!$A$10/10000)/2)^(J29-1),0)</f>
        <v/>
      </c>
      <c r="AA29" s="51">
        <f>IF(I29=1,$C29/(1+($B$111+시나리오!$A$11/10000)/2)^(J29-1),0)</f>
        <v/>
      </c>
      <c r="AB29" s="51">
        <f>IF(I29=1,$C29/(1+($B$111+시나리오!$A$12/10000)/2)^(J29-1),0)</f>
        <v/>
      </c>
      <c r="AC29" s="51">
        <f>IF(I29=1,$C29/(1+($B$111+시나리오!$A$13/10000)/2)^(J29-1),0)</f>
        <v/>
      </c>
      <c r="AD29" s="51">
        <f>IF(I29=1,$C29/(1+($B$111+시나리오!$A$14/10000)/2)^(J29-1),0)</f>
        <v/>
      </c>
      <c r="AE29" s="51">
        <f>IF(I29=1,$C29/(1+($B$111+시나리오!$A$15/10000)/2)^(J29-1),0)</f>
        <v/>
      </c>
      <c r="AF29" s="51">
        <f>IF(I29=1,$C29/(1+($B$111+시나리오!$A$16/10000)/2)^(J29-1),0)</f>
        <v/>
      </c>
      <c r="AG29" s="51">
        <f>IF(I29=1,$C29/(1+($B$111+시나리오!$A$17/10000)/2)^(J29-1),0)</f>
        <v/>
      </c>
      <c r="AH29" s="51">
        <f>IF(I29=1,$C29/(1+($B$111+시나리오!$A$18/10000)/2)^(J29-1),0)</f>
        <v/>
      </c>
      <c r="AI29" s="51">
        <f>IF(I29=1,$C29/(1+($B$111+시나리오!$A$19/10000)/2)^(J29-1),0)</f>
        <v/>
      </c>
      <c r="AJ29" s="51">
        <f>IF(I29=1,$C29/(1+($B$111+시나리오!$A$20/10000)/2)^(J29-1),0)</f>
        <v/>
      </c>
      <c r="AK29" s="51">
        <f>IF(I29=1,$C29/(1+($B$111+시나리오!$A$21/10000)/2)^(J29-1),0)</f>
        <v/>
      </c>
      <c r="AL29" s="51">
        <f>IF(I29=1,$C29/(1+($B$111+시나리오!$A$22/10000)/2)^(J29-1),0)</f>
        <v/>
      </c>
      <c r="AM29" s="51">
        <f>IF(I29=1,$C29/(1+($B$111+시나리오!$A$23/10000)/2)^(J29-1),0)</f>
        <v/>
      </c>
      <c r="AN29" s="51">
        <f>IF(I29=1,$C29/(1+($B$111+시나리오!$A$24/10000)/2)^(J29-1),0)</f>
        <v/>
      </c>
      <c r="AQ29" s="49" t="n">
        <v>15</v>
      </c>
      <c r="AR29" s="50">
        <f>EDATE($AR$2,-6*(62-$AQ29))</f>
        <v/>
      </c>
      <c r="AS29" s="51">
        <f>IF(AND(AR29&gt;$AR$3,AR29&lt;=$AR$2),IF(AR29=$AR$2,$AR$5+100,$AR$5),0)</f>
        <v/>
      </c>
      <c r="AT29" s="49">
        <f>IF(AND($AS29&gt;0,AR29&gt;$AR$6),1,0)</f>
        <v/>
      </c>
      <c r="AU29" s="49">
        <f>IF(AT29=1,SUM($AT$15:AT29),"")</f>
        <v/>
      </c>
      <c r="AV29" s="51">
        <f>IF(AT29=1,$AS29/(1+$AR$8/2)^(AU29-1),0)</f>
        <v/>
      </c>
      <c r="AW29" s="51">
        <f>IF(AT29=1,$AS29/(1+($AR$8+0.0001)/2)^(AU29-1),0)</f>
        <v/>
      </c>
      <c r="AX29" s="51">
        <f>IF(AT29=1,$AS29/(1+($AR$8-0.0001)/2)^(AU29-1),0)</f>
        <v/>
      </c>
      <c r="AY29" s="49">
        <f>IF(AND($AS29&gt;0,AR29&gt;$AR$7),1,0)</f>
        <v/>
      </c>
      <c r="AZ29" s="49">
        <f>IF(AY29=1,SUM($AY$15:AY29),"")</f>
        <v/>
      </c>
      <c r="BA29" s="51">
        <f>IF(AY29=1,$AS29/(1+$AR$104/2)^(AZ29-1),0)</f>
        <v/>
      </c>
      <c r="BB29" s="51">
        <f>IF(AY29=1,$AS29/(1+($AR$104+0.0001)/2)^(AZ29-1),0)</f>
        <v/>
      </c>
      <c r="BC29" s="51">
        <f>IF(AY29=1,$AS29/(1+($AR$104-0.0001)/2)^(AZ29-1),0)</f>
        <v/>
      </c>
      <c r="BD29" s="51">
        <f>IF(AY29=1,$AS29/(1+$AR$109/2)^(AZ29-1),0)</f>
        <v/>
      </c>
      <c r="BE29" s="51">
        <f>IF(AY29=1,$AS29/(1+$AR$111/2)^(AZ29-1),0)</f>
        <v/>
      </c>
      <c r="BF29" s="51">
        <f>IF(AY29=1,$AS29/(1+($AR$111+0.0001)/2)^(AZ29-1),0)</f>
        <v/>
      </c>
      <c r="BG29" s="51">
        <f>IF(AY29=1,$AS29/(1+($AR$111-0.0001)/2)^(AZ29-1),0)</f>
        <v/>
      </c>
      <c r="BH29" s="51">
        <f>IF(AND($AS29&gt;0,AR29&gt;$AR$6,AR29&lt;=$AR$7),$AS29*(1+$AR$10*($AR$7-AR29)/365),0)</f>
        <v/>
      </c>
      <c r="BI29" s="51">
        <f>IF(AY29=1,$AS29/(1+($AR$111+손익!$B$24/10000)/2)^(AZ29-1),0)</f>
        <v/>
      </c>
      <c r="BJ29" s="51">
        <f>IF(AY29=1,$AS29/(1+($AR$111+시나리오!$A$4/10000)/2)^(AZ29-1),0)</f>
        <v/>
      </c>
      <c r="BK29" s="51">
        <f>IF(AY29=1,$AS29/(1+($AR$111+시나리오!$A$5/10000)/2)^(AZ29-1),0)</f>
        <v/>
      </c>
      <c r="BL29" s="51">
        <f>IF(AY29=1,$AS29/(1+($AR$111+시나리오!$A$6/10000)/2)^(AZ29-1),0)</f>
        <v/>
      </c>
      <c r="BM29" s="51">
        <f>IF(AY29=1,$AS29/(1+($AR$111+시나리오!$A$7/10000)/2)^(AZ29-1),0)</f>
        <v/>
      </c>
      <c r="BN29" s="51">
        <f>IF(AY29=1,$AS29/(1+($AR$111+시나리오!$A$8/10000)/2)^(AZ29-1),0)</f>
        <v/>
      </c>
      <c r="BO29" s="51">
        <f>IF(AY29=1,$AS29/(1+($AR$111+시나리오!$A$9/10000)/2)^(AZ29-1),0)</f>
        <v/>
      </c>
      <c r="BP29" s="51">
        <f>IF(AY29=1,$AS29/(1+($AR$111+시나리오!$A$10/10000)/2)^(AZ29-1),0)</f>
        <v/>
      </c>
      <c r="BQ29" s="51">
        <f>IF(AY29=1,$AS29/(1+($AR$111+시나리오!$A$11/10000)/2)^(AZ29-1),0)</f>
        <v/>
      </c>
      <c r="BR29" s="51">
        <f>IF(AY29=1,$AS29/(1+($AR$111+시나리오!$A$12/10000)/2)^(AZ29-1),0)</f>
        <v/>
      </c>
      <c r="BS29" s="51">
        <f>IF(AY29=1,$AS29/(1+($AR$111+시나리오!$A$13/10000)/2)^(AZ29-1),0)</f>
        <v/>
      </c>
      <c r="BT29" s="51">
        <f>IF(AY29=1,$AS29/(1+($AR$111+시나리오!$A$14/10000)/2)^(AZ29-1),0)</f>
        <v/>
      </c>
      <c r="BU29" s="51">
        <f>IF(AY29=1,$AS29/(1+($AR$111+시나리오!$A$15/10000)/2)^(AZ29-1),0)</f>
        <v/>
      </c>
      <c r="BV29" s="51">
        <f>IF(AY29=1,$AS29/(1+($AR$111+시나리오!$A$16/10000)/2)^(AZ29-1),0)</f>
        <v/>
      </c>
      <c r="BW29" s="51">
        <f>IF(AY29=1,$AS29/(1+($AR$111+시나리오!$A$17/10000)/2)^(AZ29-1),0)</f>
        <v/>
      </c>
      <c r="BX29" s="51">
        <f>IF(AY29=1,$AS29/(1+($AR$111+시나리오!$A$18/10000)/2)^(AZ29-1),0)</f>
        <v/>
      </c>
      <c r="BY29" s="51">
        <f>IF(AY29=1,$AS29/(1+($AR$111+시나리오!$A$19/10000)/2)^(AZ29-1),0)</f>
        <v/>
      </c>
      <c r="BZ29" s="51">
        <f>IF(AY29=1,$AS29/(1+($AR$111+시나리오!$A$20/10000)/2)^(AZ29-1),0)</f>
        <v/>
      </c>
      <c r="CA29" s="51">
        <f>IF(AY29=1,$AS29/(1+($AR$111+시나리오!$A$21/10000)/2)^(AZ29-1),0)</f>
        <v/>
      </c>
      <c r="CB29" s="51">
        <f>IF(AY29=1,$AS29/(1+($AR$111+시나리오!$A$22/10000)/2)^(AZ29-1),0)</f>
        <v/>
      </c>
      <c r="CC29" s="51">
        <f>IF(AY29=1,$AS29/(1+($AR$111+시나리오!$A$23/10000)/2)^(AZ29-1),0)</f>
        <v/>
      </c>
      <c r="CD29" s="51">
        <f>IF(AY29=1,$AS29/(1+($AR$111+시나리오!$A$24/10000)/2)^(AZ29-1),0)</f>
        <v/>
      </c>
      <c r="CG29" s="49" t="n">
        <v>15</v>
      </c>
      <c r="CH29" s="50">
        <f>EDATE($CH$2,-6*(62-$CG29))</f>
        <v/>
      </c>
      <c r="CI29" s="51">
        <f>IF(AND(CH29&gt;$CH$3,CH29&lt;=$CH$2),IF(CH29=$CH$2,$CH$5+100,$CH$5),0)</f>
        <v/>
      </c>
      <c r="CJ29" s="49">
        <f>IF(AND($CI29&gt;0,CH29&gt;$CH$6),1,0)</f>
        <v/>
      </c>
      <c r="CK29" s="49">
        <f>IF(CJ29=1,SUM($CJ$15:CJ29),"")</f>
        <v/>
      </c>
      <c r="CL29" s="51">
        <f>IF(CJ29=1,$CI29/(1+$CH$8/2)^(CK29-1),0)</f>
        <v/>
      </c>
      <c r="CM29" s="51">
        <f>IF(CJ29=1,$CI29/(1+($CH$8+0.0001)/2)^(CK29-1),0)</f>
        <v/>
      </c>
      <c r="CN29" s="51">
        <f>IF(CJ29=1,$CI29/(1+($CH$8-0.0001)/2)^(CK29-1),0)</f>
        <v/>
      </c>
      <c r="CO29" s="49">
        <f>IF(AND($CI29&gt;0,CH29&gt;$CH$7),1,0)</f>
        <v/>
      </c>
      <c r="CP29" s="49">
        <f>IF(CO29=1,SUM($CO$15:CO29),"")</f>
        <v/>
      </c>
      <c r="CQ29" s="51">
        <f>IF(CO29=1,$CI29/(1+$CH$104/2)^(CP29-1),0)</f>
        <v/>
      </c>
      <c r="CR29" s="51">
        <f>IF(CO29=1,$CI29/(1+($CH$104+0.0001)/2)^(CP29-1),0)</f>
        <v/>
      </c>
      <c r="CS29" s="51">
        <f>IF(CO29=1,$CI29/(1+($CH$104-0.0001)/2)^(CP29-1),0)</f>
        <v/>
      </c>
      <c r="CT29" s="51">
        <f>IF(CO29=1,$CI29/(1+$CH$109/2)^(CP29-1),0)</f>
        <v/>
      </c>
      <c r="CU29" s="51">
        <f>IF(CO29=1,$CI29/(1+$CH$111/2)^(CP29-1),0)</f>
        <v/>
      </c>
      <c r="CV29" s="51">
        <f>IF(CO29=1,$CI29/(1+($CH$111+0.0001)/2)^(CP29-1),0)</f>
        <v/>
      </c>
      <c r="CW29" s="51">
        <f>IF(CO29=1,$CI29/(1+($CH$111-0.0001)/2)^(CP29-1),0)</f>
        <v/>
      </c>
      <c r="CX29" s="51">
        <f>IF(AND($CI29&gt;0,CH29&gt;$CH$6,CH29&lt;=$CH$7),$CI29*(1+$CH$10*($CH$7-CH29)/365),0)</f>
        <v/>
      </c>
      <c r="CY29" s="51">
        <f>IF(CO29=1,$CI29/(1+($CH$111+손익!$B$24/10000)/2)^(CP29-1),0)</f>
        <v/>
      </c>
      <c r="CZ29" s="51">
        <f>IF(CO29=1,$CI29/(1+($CH$111+시나리오!$A$4/10000)/2)^(CP29-1),0)</f>
        <v/>
      </c>
      <c r="DA29" s="51">
        <f>IF(CO29=1,$CI29/(1+($CH$111+시나리오!$A$5/10000)/2)^(CP29-1),0)</f>
        <v/>
      </c>
      <c r="DB29" s="51">
        <f>IF(CO29=1,$CI29/(1+($CH$111+시나리오!$A$6/10000)/2)^(CP29-1),0)</f>
        <v/>
      </c>
      <c r="DC29" s="51">
        <f>IF(CO29=1,$CI29/(1+($CH$111+시나리오!$A$7/10000)/2)^(CP29-1),0)</f>
        <v/>
      </c>
      <c r="DD29" s="51">
        <f>IF(CO29=1,$CI29/(1+($CH$111+시나리오!$A$8/10000)/2)^(CP29-1),0)</f>
        <v/>
      </c>
      <c r="DE29" s="51">
        <f>IF(CO29=1,$CI29/(1+($CH$111+시나리오!$A$9/10000)/2)^(CP29-1),0)</f>
        <v/>
      </c>
      <c r="DF29" s="51">
        <f>IF(CO29=1,$CI29/(1+($CH$111+시나리오!$A$10/10000)/2)^(CP29-1),0)</f>
        <v/>
      </c>
      <c r="DG29" s="51">
        <f>IF(CO29=1,$CI29/(1+($CH$111+시나리오!$A$11/10000)/2)^(CP29-1),0)</f>
        <v/>
      </c>
      <c r="DH29" s="51">
        <f>IF(CO29=1,$CI29/(1+($CH$111+시나리오!$A$12/10000)/2)^(CP29-1),0)</f>
        <v/>
      </c>
      <c r="DI29" s="51">
        <f>IF(CO29=1,$CI29/(1+($CH$111+시나리오!$A$13/10000)/2)^(CP29-1),0)</f>
        <v/>
      </c>
      <c r="DJ29" s="51">
        <f>IF(CO29=1,$CI29/(1+($CH$111+시나리오!$A$14/10000)/2)^(CP29-1),0)</f>
        <v/>
      </c>
      <c r="DK29" s="51">
        <f>IF(CO29=1,$CI29/(1+($CH$111+시나리오!$A$15/10000)/2)^(CP29-1),0)</f>
        <v/>
      </c>
      <c r="DL29" s="51">
        <f>IF(CO29=1,$CI29/(1+($CH$111+시나리오!$A$16/10000)/2)^(CP29-1),0)</f>
        <v/>
      </c>
      <c r="DM29" s="51">
        <f>IF(CO29=1,$CI29/(1+($CH$111+시나리오!$A$17/10000)/2)^(CP29-1),0)</f>
        <v/>
      </c>
      <c r="DN29" s="51">
        <f>IF(CO29=1,$CI29/(1+($CH$111+시나리오!$A$18/10000)/2)^(CP29-1),0)</f>
        <v/>
      </c>
      <c r="DO29" s="51">
        <f>IF(CO29=1,$CI29/(1+($CH$111+시나리오!$A$19/10000)/2)^(CP29-1),0)</f>
        <v/>
      </c>
      <c r="DP29" s="51">
        <f>IF(CO29=1,$CI29/(1+($CH$111+시나리오!$A$20/10000)/2)^(CP29-1),0)</f>
        <v/>
      </c>
      <c r="DQ29" s="51">
        <f>IF(CO29=1,$CI29/(1+($CH$111+시나리오!$A$21/10000)/2)^(CP29-1),0)</f>
        <v/>
      </c>
      <c r="DR29" s="51">
        <f>IF(CO29=1,$CI29/(1+($CH$111+시나리오!$A$22/10000)/2)^(CP29-1),0)</f>
        <v/>
      </c>
      <c r="DS29" s="51">
        <f>IF(CO29=1,$CI29/(1+($CH$111+시나리오!$A$23/10000)/2)^(CP29-1),0)</f>
        <v/>
      </c>
      <c r="DT29" s="51">
        <f>IF(CO29=1,$CI29/(1+($CH$111+시나리오!$A$24/10000)/2)^(CP29-1),0)</f>
        <v/>
      </c>
    </row>
    <row r="30">
      <c r="A30" s="49" t="n">
        <v>16</v>
      </c>
      <c r="B30" s="50">
        <f>EDATE($B$2,-6*(62-$A30))</f>
        <v/>
      </c>
      <c r="C30" s="51">
        <f>IF(AND(B30&gt;$B$3,B30&lt;=$B$2),IF(B30=$B$2,$B$5+100,$B$5),0)</f>
        <v/>
      </c>
      <c r="D30" s="49">
        <f>IF(AND($C30&gt;0,B30&gt;$B$6),1,0)</f>
        <v/>
      </c>
      <c r="E30" s="49">
        <f>IF(D30=1,SUM($D$15:D30),"")</f>
        <v/>
      </c>
      <c r="F30" s="51">
        <f>IF(D30=1,$C30/(1+$B$8/2)^(E30-1),0)</f>
        <v/>
      </c>
      <c r="G30" s="51">
        <f>IF(D30=1,$C30/(1+($B$8+0.0001)/2)^(E30-1),0)</f>
        <v/>
      </c>
      <c r="H30" s="51">
        <f>IF(D30=1,$C30/(1+($B$8-0.0001)/2)^(E30-1),0)</f>
        <v/>
      </c>
      <c r="I30" s="49">
        <f>IF(AND($C30&gt;0,B30&gt;$B$7),1,0)</f>
        <v/>
      </c>
      <c r="J30" s="49">
        <f>IF(I30=1,SUM($I$15:I30),"")</f>
        <v/>
      </c>
      <c r="K30" s="51">
        <f>IF(I30=1,$C30/(1+$B$104/2)^(J30-1),0)</f>
        <v/>
      </c>
      <c r="L30" s="51">
        <f>IF(I30=1,$C30/(1+($B$104+0.0001)/2)^(J30-1),0)</f>
        <v/>
      </c>
      <c r="M30" s="51">
        <f>IF(I30=1,$C30/(1+($B$104-0.0001)/2)^(J30-1),0)</f>
        <v/>
      </c>
      <c r="N30" s="51">
        <f>IF(I30=1,$C30/(1+$B$109/2)^(J30-1),0)</f>
        <v/>
      </c>
      <c r="O30" s="51">
        <f>IF(I30=1,$C30/(1+$B$111/2)^(J30-1),0)</f>
        <v/>
      </c>
      <c r="P30" s="51">
        <f>IF(I30=1,$C30/(1+($B$111+0.0001)/2)^(J30-1),0)</f>
        <v/>
      </c>
      <c r="Q30" s="51">
        <f>IF(I30=1,$C30/(1+($B$111-0.0001)/2)^(J30-1),0)</f>
        <v/>
      </c>
      <c r="R30" s="51">
        <f>IF(AND($C30&gt;0,B30&gt;$B$6,B30&lt;=$B$7),$C30*(1+$B$10*($B$7-B30)/365),0)</f>
        <v/>
      </c>
      <c r="S30" s="51">
        <f>IF(I30=1,$C30/(1+($B$111+손익!$B$24/10000)/2)^(J30-1),0)</f>
        <v/>
      </c>
      <c r="T30" s="51">
        <f>IF(I30=1,$C30/(1+($B$111+시나리오!$A$4/10000)/2)^(J30-1),0)</f>
        <v/>
      </c>
      <c r="U30" s="51">
        <f>IF(I30=1,$C30/(1+($B$111+시나리오!$A$5/10000)/2)^(J30-1),0)</f>
        <v/>
      </c>
      <c r="V30" s="51">
        <f>IF(I30=1,$C30/(1+($B$111+시나리오!$A$6/10000)/2)^(J30-1),0)</f>
        <v/>
      </c>
      <c r="W30" s="51">
        <f>IF(I30=1,$C30/(1+($B$111+시나리오!$A$7/10000)/2)^(J30-1),0)</f>
        <v/>
      </c>
      <c r="X30" s="51">
        <f>IF(I30=1,$C30/(1+($B$111+시나리오!$A$8/10000)/2)^(J30-1),0)</f>
        <v/>
      </c>
      <c r="Y30" s="51">
        <f>IF(I30=1,$C30/(1+($B$111+시나리오!$A$9/10000)/2)^(J30-1),0)</f>
        <v/>
      </c>
      <c r="Z30" s="51">
        <f>IF(I30=1,$C30/(1+($B$111+시나리오!$A$10/10000)/2)^(J30-1),0)</f>
        <v/>
      </c>
      <c r="AA30" s="51">
        <f>IF(I30=1,$C30/(1+($B$111+시나리오!$A$11/10000)/2)^(J30-1),0)</f>
        <v/>
      </c>
      <c r="AB30" s="51">
        <f>IF(I30=1,$C30/(1+($B$111+시나리오!$A$12/10000)/2)^(J30-1),0)</f>
        <v/>
      </c>
      <c r="AC30" s="51">
        <f>IF(I30=1,$C30/(1+($B$111+시나리오!$A$13/10000)/2)^(J30-1),0)</f>
        <v/>
      </c>
      <c r="AD30" s="51">
        <f>IF(I30=1,$C30/(1+($B$111+시나리오!$A$14/10000)/2)^(J30-1),0)</f>
        <v/>
      </c>
      <c r="AE30" s="51">
        <f>IF(I30=1,$C30/(1+($B$111+시나리오!$A$15/10000)/2)^(J30-1),0)</f>
        <v/>
      </c>
      <c r="AF30" s="51">
        <f>IF(I30=1,$C30/(1+($B$111+시나리오!$A$16/10000)/2)^(J30-1),0)</f>
        <v/>
      </c>
      <c r="AG30" s="51">
        <f>IF(I30=1,$C30/(1+($B$111+시나리오!$A$17/10000)/2)^(J30-1),0)</f>
        <v/>
      </c>
      <c r="AH30" s="51">
        <f>IF(I30=1,$C30/(1+($B$111+시나리오!$A$18/10000)/2)^(J30-1),0)</f>
        <v/>
      </c>
      <c r="AI30" s="51">
        <f>IF(I30=1,$C30/(1+($B$111+시나리오!$A$19/10000)/2)^(J30-1),0)</f>
        <v/>
      </c>
      <c r="AJ30" s="51">
        <f>IF(I30=1,$C30/(1+($B$111+시나리오!$A$20/10000)/2)^(J30-1),0)</f>
        <v/>
      </c>
      <c r="AK30" s="51">
        <f>IF(I30=1,$C30/(1+($B$111+시나리오!$A$21/10000)/2)^(J30-1),0)</f>
        <v/>
      </c>
      <c r="AL30" s="51">
        <f>IF(I30=1,$C30/(1+($B$111+시나리오!$A$22/10000)/2)^(J30-1),0)</f>
        <v/>
      </c>
      <c r="AM30" s="51">
        <f>IF(I30=1,$C30/(1+($B$111+시나리오!$A$23/10000)/2)^(J30-1),0)</f>
        <v/>
      </c>
      <c r="AN30" s="51">
        <f>IF(I30=1,$C30/(1+($B$111+시나리오!$A$24/10000)/2)^(J30-1),0)</f>
        <v/>
      </c>
      <c r="AQ30" s="49" t="n">
        <v>16</v>
      </c>
      <c r="AR30" s="50">
        <f>EDATE($AR$2,-6*(62-$AQ30))</f>
        <v/>
      </c>
      <c r="AS30" s="51">
        <f>IF(AND(AR30&gt;$AR$3,AR30&lt;=$AR$2),IF(AR30=$AR$2,$AR$5+100,$AR$5),0)</f>
        <v/>
      </c>
      <c r="AT30" s="49">
        <f>IF(AND($AS30&gt;0,AR30&gt;$AR$6),1,0)</f>
        <v/>
      </c>
      <c r="AU30" s="49">
        <f>IF(AT30=1,SUM($AT$15:AT30),"")</f>
        <v/>
      </c>
      <c r="AV30" s="51">
        <f>IF(AT30=1,$AS30/(1+$AR$8/2)^(AU30-1),0)</f>
        <v/>
      </c>
      <c r="AW30" s="51">
        <f>IF(AT30=1,$AS30/(1+($AR$8+0.0001)/2)^(AU30-1),0)</f>
        <v/>
      </c>
      <c r="AX30" s="51">
        <f>IF(AT30=1,$AS30/(1+($AR$8-0.0001)/2)^(AU30-1),0)</f>
        <v/>
      </c>
      <c r="AY30" s="49">
        <f>IF(AND($AS30&gt;0,AR30&gt;$AR$7),1,0)</f>
        <v/>
      </c>
      <c r="AZ30" s="49">
        <f>IF(AY30=1,SUM($AY$15:AY30),"")</f>
        <v/>
      </c>
      <c r="BA30" s="51">
        <f>IF(AY30=1,$AS30/(1+$AR$104/2)^(AZ30-1),0)</f>
        <v/>
      </c>
      <c r="BB30" s="51">
        <f>IF(AY30=1,$AS30/(1+($AR$104+0.0001)/2)^(AZ30-1),0)</f>
        <v/>
      </c>
      <c r="BC30" s="51">
        <f>IF(AY30=1,$AS30/(1+($AR$104-0.0001)/2)^(AZ30-1),0)</f>
        <v/>
      </c>
      <c r="BD30" s="51">
        <f>IF(AY30=1,$AS30/(1+$AR$109/2)^(AZ30-1),0)</f>
        <v/>
      </c>
      <c r="BE30" s="51">
        <f>IF(AY30=1,$AS30/(1+$AR$111/2)^(AZ30-1),0)</f>
        <v/>
      </c>
      <c r="BF30" s="51">
        <f>IF(AY30=1,$AS30/(1+($AR$111+0.0001)/2)^(AZ30-1),0)</f>
        <v/>
      </c>
      <c r="BG30" s="51">
        <f>IF(AY30=1,$AS30/(1+($AR$111-0.0001)/2)^(AZ30-1),0)</f>
        <v/>
      </c>
      <c r="BH30" s="51">
        <f>IF(AND($AS30&gt;0,AR30&gt;$AR$6,AR30&lt;=$AR$7),$AS30*(1+$AR$10*($AR$7-AR30)/365),0)</f>
        <v/>
      </c>
      <c r="BI30" s="51">
        <f>IF(AY30=1,$AS30/(1+($AR$111+손익!$B$24/10000)/2)^(AZ30-1),0)</f>
        <v/>
      </c>
      <c r="BJ30" s="51">
        <f>IF(AY30=1,$AS30/(1+($AR$111+시나리오!$A$4/10000)/2)^(AZ30-1),0)</f>
        <v/>
      </c>
      <c r="BK30" s="51">
        <f>IF(AY30=1,$AS30/(1+($AR$111+시나리오!$A$5/10000)/2)^(AZ30-1),0)</f>
        <v/>
      </c>
      <c r="BL30" s="51">
        <f>IF(AY30=1,$AS30/(1+($AR$111+시나리오!$A$6/10000)/2)^(AZ30-1),0)</f>
        <v/>
      </c>
      <c r="BM30" s="51">
        <f>IF(AY30=1,$AS30/(1+($AR$111+시나리오!$A$7/10000)/2)^(AZ30-1),0)</f>
        <v/>
      </c>
      <c r="BN30" s="51">
        <f>IF(AY30=1,$AS30/(1+($AR$111+시나리오!$A$8/10000)/2)^(AZ30-1),0)</f>
        <v/>
      </c>
      <c r="BO30" s="51">
        <f>IF(AY30=1,$AS30/(1+($AR$111+시나리오!$A$9/10000)/2)^(AZ30-1),0)</f>
        <v/>
      </c>
      <c r="BP30" s="51">
        <f>IF(AY30=1,$AS30/(1+($AR$111+시나리오!$A$10/10000)/2)^(AZ30-1),0)</f>
        <v/>
      </c>
      <c r="BQ30" s="51">
        <f>IF(AY30=1,$AS30/(1+($AR$111+시나리오!$A$11/10000)/2)^(AZ30-1),0)</f>
        <v/>
      </c>
      <c r="BR30" s="51">
        <f>IF(AY30=1,$AS30/(1+($AR$111+시나리오!$A$12/10000)/2)^(AZ30-1),0)</f>
        <v/>
      </c>
      <c r="BS30" s="51">
        <f>IF(AY30=1,$AS30/(1+($AR$111+시나리오!$A$13/10000)/2)^(AZ30-1),0)</f>
        <v/>
      </c>
      <c r="BT30" s="51">
        <f>IF(AY30=1,$AS30/(1+($AR$111+시나리오!$A$14/10000)/2)^(AZ30-1),0)</f>
        <v/>
      </c>
      <c r="BU30" s="51">
        <f>IF(AY30=1,$AS30/(1+($AR$111+시나리오!$A$15/10000)/2)^(AZ30-1),0)</f>
        <v/>
      </c>
      <c r="BV30" s="51">
        <f>IF(AY30=1,$AS30/(1+($AR$111+시나리오!$A$16/10000)/2)^(AZ30-1),0)</f>
        <v/>
      </c>
      <c r="BW30" s="51">
        <f>IF(AY30=1,$AS30/(1+($AR$111+시나리오!$A$17/10000)/2)^(AZ30-1),0)</f>
        <v/>
      </c>
      <c r="BX30" s="51">
        <f>IF(AY30=1,$AS30/(1+($AR$111+시나리오!$A$18/10000)/2)^(AZ30-1),0)</f>
        <v/>
      </c>
      <c r="BY30" s="51">
        <f>IF(AY30=1,$AS30/(1+($AR$111+시나리오!$A$19/10000)/2)^(AZ30-1),0)</f>
        <v/>
      </c>
      <c r="BZ30" s="51">
        <f>IF(AY30=1,$AS30/(1+($AR$111+시나리오!$A$20/10000)/2)^(AZ30-1),0)</f>
        <v/>
      </c>
      <c r="CA30" s="51">
        <f>IF(AY30=1,$AS30/(1+($AR$111+시나리오!$A$21/10000)/2)^(AZ30-1),0)</f>
        <v/>
      </c>
      <c r="CB30" s="51">
        <f>IF(AY30=1,$AS30/(1+($AR$111+시나리오!$A$22/10000)/2)^(AZ30-1),0)</f>
        <v/>
      </c>
      <c r="CC30" s="51">
        <f>IF(AY30=1,$AS30/(1+($AR$111+시나리오!$A$23/10000)/2)^(AZ30-1),0)</f>
        <v/>
      </c>
      <c r="CD30" s="51">
        <f>IF(AY30=1,$AS30/(1+($AR$111+시나리오!$A$24/10000)/2)^(AZ30-1),0)</f>
        <v/>
      </c>
      <c r="CG30" s="49" t="n">
        <v>16</v>
      </c>
      <c r="CH30" s="50">
        <f>EDATE($CH$2,-6*(62-$CG30))</f>
        <v/>
      </c>
      <c r="CI30" s="51">
        <f>IF(AND(CH30&gt;$CH$3,CH30&lt;=$CH$2),IF(CH30=$CH$2,$CH$5+100,$CH$5),0)</f>
        <v/>
      </c>
      <c r="CJ30" s="49">
        <f>IF(AND($CI30&gt;0,CH30&gt;$CH$6),1,0)</f>
        <v/>
      </c>
      <c r="CK30" s="49">
        <f>IF(CJ30=1,SUM($CJ$15:CJ30),"")</f>
        <v/>
      </c>
      <c r="CL30" s="51">
        <f>IF(CJ30=1,$CI30/(1+$CH$8/2)^(CK30-1),0)</f>
        <v/>
      </c>
      <c r="CM30" s="51">
        <f>IF(CJ30=1,$CI30/(1+($CH$8+0.0001)/2)^(CK30-1),0)</f>
        <v/>
      </c>
      <c r="CN30" s="51">
        <f>IF(CJ30=1,$CI30/(1+($CH$8-0.0001)/2)^(CK30-1),0)</f>
        <v/>
      </c>
      <c r="CO30" s="49">
        <f>IF(AND($CI30&gt;0,CH30&gt;$CH$7),1,0)</f>
        <v/>
      </c>
      <c r="CP30" s="49">
        <f>IF(CO30=1,SUM($CO$15:CO30),"")</f>
        <v/>
      </c>
      <c r="CQ30" s="51">
        <f>IF(CO30=1,$CI30/(1+$CH$104/2)^(CP30-1),0)</f>
        <v/>
      </c>
      <c r="CR30" s="51">
        <f>IF(CO30=1,$CI30/(1+($CH$104+0.0001)/2)^(CP30-1),0)</f>
        <v/>
      </c>
      <c r="CS30" s="51">
        <f>IF(CO30=1,$CI30/(1+($CH$104-0.0001)/2)^(CP30-1),0)</f>
        <v/>
      </c>
      <c r="CT30" s="51">
        <f>IF(CO30=1,$CI30/(1+$CH$109/2)^(CP30-1),0)</f>
        <v/>
      </c>
      <c r="CU30" s="51">
        <f>IF(CO30=1,$CI30/(1+$CH$111/2)^(CP30-1),0)</f>
        <v/>
      </c>
      <c r="CV30" s="51">
        <f>IF(CO30=1,$CI30/(1+($CH$111+0.0001)/2)^(CP30-1),0)</f>
        <v/>
      </c>
      <c r="CW30" s="51">
        <f>IF(CO30=1,$CI30/(1+($CH$111-0.0001)/2)^(CP30-1),0)</f>
        <v/>
      </c>
      <c r="CX30" s="51">
        <f>IF(AND($CI30&gt;0,CH30&gt;$CH$6,CH30&lt;=$CH$7),$CI30*(1+$CH$10*($CH$7-CH30)/365),0)</f>
        <v/>
      </c>
      <c r="CY30" s="51">
        <f>IF(CO30=1,$CI30/(1+($CH$111+손익!$B$24/10000)/2)^(CP30-1),0)</f>
        <v/>
      </c>
      <c r="CZ30" s="51">
        <f>IF(CO30=1,$CI30/(1+($CH$111+시나리오!$A$4/10000)/2)^(CP30-1),0)</f>
        <v/>
      </c>
      <c r="DA30" s="51">
        <f>IF(CO30=1,$CI30/(1+($CH$111+시나리오!$A$5/10000)/2)^(CP30-1),0)</f>
        <v/>
      </c>
      <c r="DB30" s="51">
        <f>IF(CO30=1,$CI30/(1+($CH$111+시나리오!$A$6/10000)/2)^(CP30-1),0)</f>
        <v/>
      </c>
      <c r="DC30" s="51">
        <f>IF(CO30=1,$CI30/(1+($CH$111+시나리오!$A$7/10000)/2)^(CP30-1),0)</f>
        <v/>
      </c>
      <c r="DD30" s="51">
        <f>IF(CO30=1,$CI30/(1+($CH$111+시나리오!$A$8/10000)/2)^(CP30-1),0)</f>
        <v/>
      </c>
      <c r="DE30" s="51">
        <f>IF(CO30=1,$CI30/(1+($CH$111+시나리오!$A$9/10000)/2)^(CP30-1),0)</f>
        <v/>
      </c>
      <c r="DF30" s="51">
        <f>IF(CO30=1,$CI30/(1+($CH$111+시나리오!$A$10/10000)/2)^(CP30-1),0)</f>
        <v/>
      </c>
      <c r="DG30" s="51">
        <f>IF(CO30=1,$CI30/(1+($CH$111+시나리오!$A$11/10000)/2)^(CP30-1),0)</f>
        <v/>
      </c>
      <c r="DH30" s="51">
        <f>IF(CO30=1,$CI30/(1+($CH$111+시나리오!$A$12/10000)/2)^(CP30-1),0)</f>
        <v/>
      </c>
      <c r="DI30" s="51">
        <f>IF(CO30=1,$CI30/(1+($CH$111+시나리오!$A$13/10000)/2)^(CP30-1),0)</f>
        <v/>
      </c>
      <c r="DJ30" s="51">
        <f>IF(CO30=1,$CI30/(1+($CH$111+시나리오!$A$14/10000)/2)^(CP30-1),0)</f>
        <v/>
      </c>
      <c r="DK30" s="51">
        <f>IF(CO30=1,$CI30/(1+($CH$111+시나리오!$A$15/10000)/2)^(CP30-1),0)</f>
        <v/>
      </c>
      <c r="DL30" s="51">
        <f>IF(CO30=1,$CI30/(1+($CH$111+시나리오!$A$16/10000)/2)^(CP30-1),0)</f>
        <v/>
      </c>
      <c r="DM30" s="51">
        <f>IF(CO30=1,$CI30/(1+($CH$111+시나리오!$A$17/10000)/2)^(CP30-1),0)</f>
        <v/>
      </c>
      <c r="DN30" s="51">
        <f>IF(CO30=1,$CI30/(1+($CH$111+시나리오!$A$18/10000)/2)^(CP30-1),0)</f>
        <v/>
      </c>
      <c r="DO30" s="51">
        <f>IF(CO30=1,$CI30/(1+($CH$111+시나리오!$A$19/10000)/2)^(CP30-1),0)</f>
        <v/>
      </c>
      <c r="DP30" s="51">
        <f>IF(CO30=1,$CI30/(1+($CH$111+시나리오!$A$20/10000)/2)^(CP30-1),0)</f>
        <v/>
      </c>
      <c r="DQ30" s="51">
        <f>IF(CO30=1,$CI30/(1+($CH$111+시나리오!$A$21/10000)/2)^(CP30-1),0)</f>
        <v/>
      </c>
      <c r="DR30" s="51">
        <f>IF(CO30=1,$CI30/(1+($CH$111+시나리오!$A$22/10000)/2)^(CP30-1),0)</f>
        <v/>
      </c>
      <c r="DS30" s="51">
        <f>IF(CO30=1,$CI30/(1+($CH$111+시나리오!$A$23/10000)/2)^(CP30-1),0)</f>
        <v/>
      </c>
      <c r="DT30" s="51">
        <f>IF(CO30=1,$CI30/(1+($CH$111+시나리오!$A$24/10000)/2)^(CP30-1),0)</f>
        <v/>
      </c>
    </row>
    <row r="31">
      <c r="A31" s="49" t="n">
        <v>17</v>
      </c>
      <c r="B31" s="50">
        <f>EDATE($B$2,-6*(62-$A31))</f>
        <v/>
      </c>
      <c r="C31" s="51">
        <f>IF(AND(B31&gt;$B$3,B31&lt;=$B$2),IF(B31=$B$2,$B$5+100,$B$5),0)</f>
        <v/>
      </c>
      <c r="D31" s="49">
        <f>IF(AND($C31&gt;0,B31&gt;$B$6),1,0)</f>
        <v/>
      </c>
      <c r="E31" s="49">
        <f>IF(D31=1,SUM($D$15:D31),"")</f>
        <v/>
      </c>
      <c r="F31" s="51">
        <f>IF(D31=1,$C31/(1+$B$8/2)^(E31-1),0)</f>
        <v/>
      </c>
      <c r="G31" s="51">
        <f>IF(D31=1,$C31/(1+($B$8+0.0001)/2)^(E31-1),0)</f>
        <v/>
      </c>
      <c r="H31" s="51">
        <f>IF(D31=1,$C31/(1+($B$8-0.0001)/2)^(E31-1),0)</f>
        <v/>
      </c>
      <c r="I31" s="49">
        <f>IF(AND($C31&gt;0,B31&gt;$B$7),1,0)</f>
        <v/>
      </c>
      <c r="J31" s="49">
        <f>IF(I31=1,SUM($I$15:I31),"")</f>
        <v/>
      </c>
      <c r="K31" s="51">
        <f>IF(I31=1,$C31/(1+$B$104/2)^(J31-1),0)</f>
        <v/>
      </c>
      <c r="L31" s="51">
        <f>IF(I31=1,$C31/(1+($B$104+0.0001)/2)^(J31-1),0)</f>
        <v/>
      </c>
      <c r="M31" s="51">
        <f>IF(I31=1,$C31/(1+($B$104-0.0001)/2)^(J31-1),0)</f>
        <v/>
      </c>
      <c r="N31" s="51">
        <f>IF(I31=1,$C31/(1+$B$109/2)^(J31-1),0)</f>
        <v/>
      </c>
      <c r="O31" s="51">
        <f>IF(I31=1,$C31/(1+$B$111/2)^(J31-1),0)</f>
        <v/>
      </c>
      <c r="P31" s="51">
        <f>IF(I31=1,$C31/(1+($B$111+0.0001)/2)^(J31-1),0)</f>
        <v/>
      </c>
      <c r="Q31" s="51">
        <f>IF(I31=1,$C31/(1+($B$111-0.0001)/2)^(J31-1),0)</f>
        <v/>
      </c>
      <c r="R31" s="51">
        <f>IF(AND($C31&gt;0,B31&gt;$B$6,B31&lt;=$B$7),$C31*(1+$B$10*($B$7-B31)/365),0)</f>
        <v/>
      </c>
      <c r="S31" s="51">
        <f>IF(I31=1,$C31/(1+($B$111+손익!$B$24/10000)/2)^(J31-1),0)</f>
        <v/>
      </c>
      <c r="T31" s="51">
        <f>IF(I31=1,$C31/(1+($B$111+시나리오!$A$4/10000)/2)^(J31-1),0)</f>
        <v/>
      </c>
      <c r="U31" s="51">
        <f>IF(I31=1,$C31/(1+($B$111+시나리오!$A$5/10000)/2)^(J31-1),0)</f>
        <v/>
      </c>
      <c r="V31" s="51">
        <f>IF(I31=1,$C31/(1+($B$111+시나리오!$A$6/10000)/2)^(J31-1),0)</f>
        <v/>
      </c>
      <c r="W31" s="51">
        <f>IF(I31=1,$C31/(1+($B$111+시나리오!$A$7/10000)/2)^(J31-1),0)</f>
        <v/>
      </c>
      <c r="X31" s="51">
        <f>IF(I31=1,$C31/(1+($B$111+시나리오!$A$8/10000)/2)^(J31-1),0)</f>
        <v/>
      </c>
      <c r="Y31" s="51">
        <f>IF(I31=1,$C31/(1+($B$111+시나리오!$A$9/10000)/2)^(J31-1),0)</f>
        <v/>
      </c>
      <c r="Z31" s="51">
        <f>IF(I31=1,$C31/(1+($B$111+시나리오!$A$10/10000)/2)^(J31-1),0)</f>
        <v/>
      </c>
      <c r="AA31" s="51">
        <f>IF(I31=1,$C31/(1+($B$111+시나리오!$A$11/10000)/2)^(J31-1),0)</f>
        <v/>
      </c>
      <c r="AB31" s="51">
        <f>IF(I31=1,$C31/(1+($B$111+시나리오!$A$12/10000)/2)^(J31-1),0)</f>
        <v/>
      </c>
      <c r="AC31" s="51">
        <f>IF(I31=1,$C31/(1+($B$111+시나리오!$A$13/10000)/2)^(J31-1),0)</f>
        <v/>
      </c>
      <c r="AD31" s="51">
        <f>IF(I31=1,$C31/(1+($B$111+시나리오!$A$14/10000)/2)^(J31-1),0)</f>
        <v/>
      </c>
      <c r="AE31" s="51">
        <f>IF(I31=1,$C31/(1+($B$111+시나리오!$A$15/10000)/2)^(J31-1),0)</f>
        <v/>
      </c>
      <c r="AF31" s="51">
        <f>IF(I31=1,$C31/(1+($B$111+시나리오!$A$16/10000)/2)^(J31-1),0)</f>
        <v/>
      </c>
      <c r="AG31" s="51">
        <f>IF(I31=1,$C31/(1+($B$111+시나리오!$A$17/10000)/2)^(J31-1),0)</f>
        <v/>
      </c>
      <c r="AH31" s="51">
        <f>IF(I31=1,$C31/(1+($B$111+시나리오!$A$18/10000)/2)^(J31-1),0)</f>
        <v/>
      </c>
      <c r="AI31" s="51">
        <f>IF(I31=1,$C31/(1+($B$111+시나리오!$A$19/10000)/2)^(J31-1),0)</f>
        <v/>
      </c>
      <c r="AJ31" s="51">
        <f>IF(I31=1,$C31/(1+($B$111+시나리오!$A$20/10000)/2)^(J31-1),0)</f>
        <v/>
      </c>
      <c r="AK31" s="51">
        <f>IF(I31=1,$C31/(1+($B$111+시나리오!$A$21/10000)/2)^(J31-1),0)</f>
        <v/>
      </c>
      <c r="AL31" s="51">
        <f>IF(I31=1,$C31/(1+($B$111+시나리오!$A$22/10000)/2)^(J31-1),0)</f>
        <v/>
      </c>
      <c r="AM31" s="51">
        <f>IF(I31=1,$C31/(1+($B$111+시나리오!$A$23/10000)/2)^(J31-1),0)</f>
        <v/>
      </c>
      <c r="AN31" s="51">
        <f>IF(I31=1,$C31/(1+($B$111+시나리오!$A$24/10000)/2)^(J31-1),0)</f>
        <v/>
      </c>
      <c r="AQ31" s="49" t="n">
        <v>17</v>
      </c>
      <c r="AR31" s="50">
        <f>EDATE($AR$2,-6*(62-$AQ31))</f>
        <v/>
      </c>
      <c r="AS31" s="51">
        <f>IF(AND(AR31&gt;$AR$3,AR31&lt;=$AR$2),IF(AR31=$AR$2,$AR$5+100,$AR$5),0)</f>
        <v/>
      </c>
      <c r="AT31" s="49">
        <f>IF(AND($AS31&gt;0,AR31&gt;$AR$6),1,0)</f>
        <v/>
      </c>
      <c r="AU31" s="49">
        <f>IF(AT31=1,SUM($AT$15:AT31),"")</f>
        <v/>
      </c>
      <c r="AV31" s="51">
        <f>IF(AT31=1,$AS31/(1+$AR$8/2)^(AU31-1),0)</f>
        <v/>
      </c>
      <c r="AW31" s="51">
        <f>IF(AT31=1,$AS31/(1+($AR$8+0.0001)/2)^(AU31-1),0)</f>
        <v/>
      </c>
      <c r="AX31" s="51">
        <f>IF(AT31=1,$AS31/(1+($AR$8-0.0001)/2)^(AU31-1),0)</f>
        <v/>
      </c>
      <c r="AY31" s="49">
        <f>IF(AND($AS31&gt;0,AR31&gt;$AR$7),1,0)</f>
        <v/>
      </c>
      <c r="AZ31" s="49">
        <f>IF(AY31=1,SUM($AY$15:AY31),"")</f>
        <v/>
      </c>
      <c r="BA31" s="51">
        <f>IF(AY31=1,$AS31/(1+$AR$104/2)^(AZ31-1),0)</f>
        <v/>
      </c>
      <c r="BB31" s="51">
        <f>IF(AY31=1,$AS31/(1+($AR$104+0.0001)/2)^(AZ31-1),0)</f>
        <v/>
      </c>
      <c r="BC31" s="51">
        <f>IF(AY31=1,$AS31/(1+($AR$104-0.0001)/2)^(AZ31-1),0)</f>
        <v/>
      </c>
      <c r="BD31" s="51">
        <f>IF(AY31=1,$AS31/(1+$AR$109/2)^(AZ31-1),0)</f>
        <v/>
      </c>
      <c r="BE31" s="51">
        <f>IF(AY31=1,$AS31/(1+$AR$111/2)^(AZ31-1),0)</f>
        <v/>
      </c>
      <c r="BF31" s="51">
        <f>IF(AY31=1,$AS31/(1+($AR$111+0.0001)/2)^(AZ31-1),0)</f>
        <v/>
      </c>
      <c r="BG31" s="51">
        <f>IF(AY31=1,$AS31/(1+($AR$111-0.0001)/2)^(AZ31-1),0)</f>
        <v/>
      </c>
      <c r="BH31" s="51">
        <f>IF(AND($AS31&gt;0,AR31&gt;$AR$6,AR31&lt;=$AR$7),$AS31*(1+$AR$10*($AR$7-AR31)/365),0)</f>
        <v/>
      </c>
      <c r="BI31" s="51">
        <f>IF(AY31=1,$AS31/(1+($AR$111+손익!$B$24/10000)/2)^(AZ31-1),0)</f>
        <v/>
      </c>
      <c r="BJ31" s="51">
        <f>IF(AY31=1,$AS31/(1+($AR$111+시나리오!$A$4/10000)/2)^(AZ31-1),0)</f>
        <v/>
      </c>
      <c r="BK31" s="51">
        <f>IF(AY31=1,$AS31/(1+($AR$111+시나리오!$A$5/10000)/2)^(AZ31-1),0)</f>
        <v/>
      </c>
      <c r="BL31" s="51">
        <f>IF(AY31=1,$AS31/(1+($AR$111+시나리오!$A$6/10000)/2)^(AZ31-1),0)</f>
        <v/>
      </c>
      <c r="BM31" s="51">
        <f>IF(AY31=1,$AS31/(1+($AR$111+시나리오!$A$7/10000)/2)^(AZ31-1),0)</f>
        <v/>
      </c>
      <c r="BN31" s="51">
        <f>IF(AY31=1,$AS31/(1+($AR$111+시나리오!$A$8/10000)/2)^(AZ31-1),0)</f>
        <v/>
      </c>
      <c r="BO31" s="51">
        <f>IF(AY31=1,$AS31/(1+($AR$111+시나리오!$A$9/10000)/2)^(AZ31-1),0)</f>
        <v/>
      </c>
      <c r="BP31" s="51">
        <f>IF(AY31=1,$AS31/(1+($AR$111+시나리오!$A$10/10000)/2)^(AZ31-1),0)</f>
        <v/>
      </c>
      <c r="BQ31" s="51">
        <f>IF(AY31=1,$AS31/(1+($AR$111+시나리오!$A$11/10000)/2)^(AZ31-1),0)</f>
        <v/>
      </c>
      <c r="BR31" s="51">
        <f>IF(AY31=1,$AS31/(1+($AR$111+시나리오!$A$12/10000)/2)^(AZ31-1),0)</f>
        <v/>
      </c>
      <c r="BS31" s="51">
        <f>IF(AY31=1,$AS31/(1+($AR$111+시나리오!$A$13/10000)/2)^(AZ31-1),0)</f>
        <v/>
      </c>
      <c r="BT31" s="51">
        <f>IF(AY31=1,$AS31/(1+($AR$111+시나리오!$A$14/10000)/2)^(AZ31-1),0)</f>
        <v/>
      </c>
      <c r="BU31" s="51">
        <f>IF(AY31=1,$AS31/(1+($AR$111+시나리오!$A$15/10000)/2)^(AZ31-1),0)</f>
        <v/>
      </c>
      <c r="BV31" s="51">
        <f>IF(AY31=1,$AS31/(1+($AR$111+시나리오!$A$16/10000)/2)^(AZ31-1),0)</f>
        <v/>
      </c>
      <c r="BW31" s="51">
        <f>IF(AY31=1,$AS31/(1+($AR$111+시나리오!$A$17/10000)/2)^(AZ31-1),0)</f>
        <v/>
      </c>
      <c r="BX31" s="51">
        <f>IF(AY31=1,$AS31/(1+($AR$111+시나리오!$A$18/10000)/2)^(AZ31-1),0)</f>
        <v/>
      </c>
      <c r="BY31" s="51">
        <f>IF(AY31=1,$AS31/(1+($AR$111+시나리오!$A$19/10000)/2)^(AZ31-1),0)</f>
        <v/>
      </c>
      <c r="BZ31" s="51">
        <f>IF(AY31=1,$AS31/(1+($AR$111+시나리오!$A$20/10000)/2)^(AZ31-1),0)</f>
        <v/>
      </c>
      <c r="CA31" s="51">
        <f>IF(AY31=1,$AS31/(1+($AR$111+시나리오!$A$21/10000)/2)^(AZ31-1),0)</f>
        <v/>
      </c>
      <c r="CB31" s="51">
        <f>IF(AY31=1,$AS31/(1+($AR$111+시나리오!$A$22/10000)/2)^(AZ31-1),0)</f>
        <v/>
      </c>
      <c r="CC31" s="51">
        <f>IF(AY31=1,$AS31/(1+($AR$111+시나리오!$A$23/10000)/2)^(AZ31-1),0)</f>
        <v/>
      </c>
      <c r="CD31" s="51">
        <f>IF(AY31=1,$AS31/(1+($AR$111+시나리오!$A$24/10000)/2)^(AZ31-1),0)</f>
        <v/>
      </c>
      <c r="CG31" s="49" t="n">
        <v>17</v>
      </c>
      <c r="CH31" s="50">
        <f>EDATE($CH$2,-6*(62-$CG31))</f>
        <v/>
      </c>
      <c r="CI31" s="51">
        <f>IF(AND(CH31&gt;$CH$3,CH31&lt;=$CH$2),IF(CH31=$CH$2,$CH$5+100,$CH$5),0)</f>
        <v/>
      </c>
      <c r="CJ31" s="49">
        <f>IF(AND($CI31&gt;0,CH31&gt;$CH$6),1,0)</f>
        <v/>
      </c>
      <c r="CK31" s="49">
        <f>IF(CJ31=1,SUM($CJ$15:CJ31),"")</f>
        <v/>
      </c>
      <c r="CL31" s="51">
        <f>IF(CJ31=1,$CI31/(1+$CH$8/2)^(CK31-1),0)</f>
        <v/>
      </c>
      <c r="CM31" s="51">
        <f>IF(CJ31=1,$CI31/(1+($CH$8+0.0001)/2)^(CK31-1),0)</f>
        <v/>
      </c>
      <c r="CN31" s="51">
        <f>IF(CJ31=1,$CI31/(1+($CH$8-0.0001)/2)^(CK31-1),0)</f>
        <v/>
      </c>
      <c r="CO31" s="49">
        <f>IF(AND($CI31&gt;0,CH31&gt;$CH$7),1,0)</f>
        <v/>
      </c>
      <c r="CP31" s="49">
        <f>IF(CO31=1,SUM($CO$15:CO31),"")</f>
        <v/>
      </c>
      <c r="CQ31" s="51">
        <f>IF(CO31=1,$CI31/(1+$CH$104/2)^(CP31-1),0)</f>
        <v/>
      </c>
      <c r="CR31" s="51">
        <f>IF(CO31=1,$CI31/(1+($CH$104+0.0001)/2)^(CP31-1),0)</f>
        <v/>
      </c>
      <c r="CS31" s="51">
        <f>IF(CO31=1,$CI31/(1+($CH$104-0.0001)/2)^(CP31-1),0)</f>
        <v/>
      </c>
      <c r="CT31" s="51">
        <f>IF(CO31=1,$CI31/(1+$CH$109/2)^(CP31-1),0)</f>
        <v/>
      </c>
      <c r="CU31" s="51">
        <f>IF(CO31=1,$CI31/(1+$CH$111/2)^(CP31-1),0)</f>
        <v/>
      </c>
      <c r="CV31" s="51">
        <f>IF(CO31=1,$CI31/(1+($CH$111+0.0001)/2)^(CP31-1),0)</f>
        <v/>
      </c>
      <c r="CW31" s="51">
        <f>IF(CO31=1,$CI31/(1+($CH$111-0.0001)/2)^(CP31-1),0)</f>
        <v/>
      </c>
      <c r="CX31" s="51">
        <f>IF(AND($CI31&gt;0,CH31&gt;$CH$6,CH31&lt;=$CH$7),$CI31*(1+$CH$10*($CH$7-CH31)/365),0)</f>
        <v/>
      </c>
      <c r="CY31" s="51">
        <f>IF(CO31=1,$CI31/(1+($CH$111+손익!$B$24/10000)/2)^(CP31-1),0)</f>
        <v/>
      </c>
      <c r="CZ31" s="51">
        <f>IF(CO31=1,$CI31/(1+($CH$111+시나리오!$A$4/10000)/2)^(CP31-1),0)</f>
        <v/>
      </c>
      <c r="DA31" s="51">
        <f>IF(CO31=1,$CI31/(1+($CH$111+시나리오!$A$5/10000)/2)^(CP31-1),0)</f>
        <v/>
      </c>
      <c r="DB31" s="51">
        <f>IF(CO31=1,$CI31/(1+($CH$111+시나리오!$A$6/10000)/2)^(CP31-1),0)</f>
        <v/>
      </c>
      <c r="DC31" s="51">
        <f>IF(CO31=1,$CI31/(1+($CH$111+시나리오!$A$7/10000)/2)^(CP31-1),0)</f>
        <v/>
      </c>
      <c r="DD31" s="51">
        <f>IF(CO31=1,$CI31/(1+($CH$111+시나리오!$A$8/10000)/2)^(CP31-1),0)</f>
        <v/>
      </c>
      <c r="DE31" s="51">
        <f>IF(CO31=1,$CI31/(1+($CH$111+시나리오!$A$9/10000)/2)^(CP31-1),0)</f>
        <v/>
      </c>
      <c r="DF31" s="51">
        <f>IF(CO31=1,$CI31/(1+($CH$111+시나리오!$A$10/10000)/2)^(CP31-1),0)</f>
        <v/>
      </c>
      <c r="DG31" s="51">
        <f>IF(CO31=1,$CI31/(1+($CH$111+시나리오!$A$11/10000)/2)^(CP31-1),0)</f>
        <v/>
      </c>
      <c r="DH31" s="51">
        <f>IF(CO31=1,$CI31/(1+($CH$111+시나리오!$A$12/10000)/2)^(CP31-1),0)</f>
        <v/>
      </c>
      <c r="DI31" s="51">
        <f>IF(CO31=1,$CI31/(1+($CH$111+시나리오!$A$13/10000)/2)^(CP31-1),0)</f>
        <v/>
      </c>
      <c r="DJ31" s="51">
        <f>IF(CO31=1,$CI31/(1+($CH$111+시나리오!$A$14/10000)/2)^(CP31-1),0)</f>
        <v/>
      </c>
      <c r="DK31" s="51">
        <f>IF(CO31=1,$CI31/(1+($CH$111+시나리오!$A$15/10000)/2)^(CP31-1),0)</f>
        <v/>
      </c>
      <c r="DL31" s="51">
        <f>IF(CO31=1,$CI31/(1+($CH$111+시나리오!$A$16/10000)/2)^(CP31-1),0)</f>
        <v/>
      </c>
      <c r="DM31" s="51">
        <f>IF(CO31=1,$CI31/(1+($CH$111+시나리오!$A$17/10000)/2)^(CP31-1),0)</f>
        <v/>
      </c>
      <c r="DN31" s="51">
        <f>IF(CO31=1,$CI31/(1+($CH$111+시나리오!$A$18/10000)/2)^(CP31-1),0)</f>
        <v/>
      </c>
      <c r="DO31" s="51">
        <f>IF(CO31=1,$CI31/(1+($CH$111+시나리오!$A$19/10000)/2)^(CP31-1),0)</f>
        <v/>
      </c>
      <c r="DP31" s="51">
        <f>IF(CO31=1,$CI31/(1+($CH$111+시나리오!$A$20/10000)/2)^(CP31-1),0)</f>
        <v/>
      </c>
      <c r="DQ31" s="51">
        <f>IF(CO31=1,$CI31/(1+($CH$111+시나리오!$A$21/10000)/2)^(CP31-1),0)</f>
        <v/>
      </c>
      <c r="DR31" s="51">
        <f>IF(CO31=1,$CI31/(1+($CH$111+시나리오!$A$22/10000)/2)^(CP31-1),0)</f>
        <v/>
      </c>
      <c r="DS31" s="51">
        <f>IF(CO31=1,$CI31/(1+($CH$111+시나리오!$A$23/10000)/2)^(CP31-1),0)</f>
        <v/>
      </c>
      <c r="DT31" s="51">
        <f>IF(CO31=1,$CI31/(1+($CH$111+시나리오!$A$24/10000)/2)^(CP31-1),0)</f>
        <v/>
      </c>
    </row>
    <row r="32">
      <c r="A32" s="49" t="n">
        <v>18</v>
      </c>
      <c r="B32" s="50">
        <f>EDATE($B$2,-6*(62-$A32))</f>
        <v/>
      </c>
      <c r="C32" s="51">
        <f>IF(AND(B32&gt;$B$3,B32&lt;=$B$2),IF(B32=$B$2,$B$5+100,$B$5),0)</f>
        <v/>
      </c>
      <c r="D32" s="49">
        <f>IF(AND($C32&gt;0,B32&gt;$B$6),1,0)</f>
        <v/>
      </c>
      <c r="E32" s="49">
        <f>IF(D32=1,SUM($D$15:D32),"")</f>
        <v/>
      </c>
      <c r="F32" s="51">
        <f>IF(D32=1,$C32/(1+$B$8/2)^(E32-1),0)</f>
        <v/>
      </c>
      <c r="G32" s="51">
        <f>IF(D32=1,$C32/(1+($B$8+0.0001)/2)^(E32-1),0)</f>
        <v/>
      </c>
      <c r="H32" s="51">
        <f>IF(D32=1,$C32/(1+($B$8-0.0001)/2)^(E32-1),0)</f>
        <v/>
      </c>
      <c r="I32" s="49">
        <f>IF(AND($C32&gt;0,B32&gt;$B$7),1,0)</f>
        <v/>
      </c>
      <c r="J32" s="49">
        <f>IF(I32=1,SUM($I$15:I32),"")</f>
        <v/>
      </c>
      <c r="K32" s="51">
        <f>IF(I32=1,$C32/(1+$B$104/2)^(J32-1),0)</f>
        <v/>
      </c>
      <c r="L32" s="51">
        <f>IF(I32=1,$C32/(1+($B$104+0.0001)/2)^(J32-1),0)</f>
        <v/>
      </c>
      <c r="M32" s="51">
        <f>IF(I32=1,$C32/(1+($B$104-0.0001)/2)^(J32-1),0)</f>
        <v/>
      </c>
      <c r="N32" s="51">
        <f>IF(I32=1,$C32/(1+$B$109/2)^(J32-1),0)</f>
        <v/>
      </c>
      <c r="O32" s="51">
        <f>IF(I32=1,$C32/(1+$B$111/2)^(J32-1),0)</f>
        <v/>
      </c>
      <c r="P32" s="51">
        <f>IF(I32=1,$C32/(1+($B$111+0.0001)/2)^(J32-1),0)</f>
        <v/>
      </c>
      <c r="Q32" s="51">
        <f>IF(I32=1,$C32/(1+($B$111-0.0001)/2)^(J32-1),0)</f>
        <v/>
      </c>
      <c r="R32" s="51">
        <f>IF(AND($C32&gt;0,B32&gt;$B$6,B32&lt;=$B$7),$C32*(1+$B$10*($B$7-B32)/365),0)</f>
        <v/>
      </c>
      <c r="S32" s="51">
        <f>IF(I32=1,$C32/(1+($B$111+손익!$B$24/10000)/2)^(J32-1),0)</f>
        <v/>
      </c>
      <c r="T32" s="51">
        <f>IF(I32=1,$C32/(1+($B$111+시나리오!$A$4/10000)/2)^(J32-1),0)</f>
        <v/>
      </c>
      <c r="U32" s="51">
        <f>IF(I32=1,$C32/(1+($B$111+시나리오!$A$5/10000)/2)^(J32-1),0)</f>
        <v/>
      </c>
      <c r="V32" s="51">
        <f>IF(I32=1,$C32/(1+($B$111+시나리오!$A$6/10000)/2)^(J32-1),0)</f>
        <v/>
      </c>
      <c r="W32" s="51">
        <f>IF(I32=1,$C32/(1+($B$111+시나리오!$A$7/10000)/2)^(J32-1),0)</f>
        <v/>
      </c>
      <c r="X32" s="51">
        <f>IF(I32=1,$C32/(1+($B$111+시나리오!$A$8/10000)/2)^(J32-1),0)</f>
        <v/>
      </c>
      <c r="Y32" s="51">
        <f>IF(I32=1,$C32/(1+($B$111+시나리오!$A$9/10000)/2)^(J32-1),0)</f>
        <v/>
      </c>
      <c r="Z32" s="51">
        <f>IF(I32=1,$C32/(1+($B$111+시나리오!$A$10/10000)/2)^(J32-1),0)</f>
        <v/>
      </c>
      <c r="AA32" s="51">
        <f>IF(I32=1,$C32/(1+($B$111+시나리오!$A$11/10000)/2)^(J32-1),0)</f>
        <v/>
      </c>
      <c r="AB32" s="51">
        <f>IF(I32=1,$C32/(1+($B$111+시나리오!$A$12/10000)/2)^(J32-1),0)</f>
        <v/>
      </c>
      <c r="AC32" s="51">
        <f>IF(I32=1,$C32/(1+($B$111+시나리오!$A$13/10000)/2)^(J32-1),0)</f>
        <v/>
      </c>
      <c r="AD32" s="51">
        <f>IF(I32=1,$C32/(1+($B$111+시나리오!$A$14/10000)/2)^(J32-1),0)</f>
        <v/>
      </c>
      <c r="AE32" s="51">
        <f>IF(I32=1,$C32/(1+($B$111+시나리오!$A$15/10000)/2)^(J32-1),0)</f>
        <v/>
      </c>
      <c r="AF32" s="51">
        <f>IF(I32=1,$C32/(1+($B$111+시나리오!$A$16/10000)/2)^(J32-1),0)</f>
        <v/>
      </c>
      <c r="AG32" s="51">
        <f>IF(I32=1,$C32/(1+($B$111+시나리오!$A$17/10000)/2)^(J32-1),0)</f>
        <v/>
      </c>
      <c r="AH32" s="51">
        <f>IF(I32=1,$C32/(1+($B$111+시나리오!$A$18/10000)/2)^(J32-1),0)</f>
        <v/>
      </c>
      <c r="AI32" s="51">
        <f>IF(I32=1,$C32/(1+($B$111+시나리오!$A$19/10000)/2)^(J32-1),0)</f>
        <v/>
      </c>
      <c r="AJ32" s="51">
        <f>IF(I32=1,$C32/(1+($B$111+시나리오!$A$20/10000)/2)^(J32-1),0)</f>
        <v/>
      </c>
      <c r="AK32" s="51">
        <f>IF(I32=1,$C32/(1+($B$111+시나리오!$A$21/10000)/2)^(J32-1),0)</f>
        <v/>
      </c>
      <c r="AL32" s="51">
        <f>IF(I32=1,$C32/(1+($B$111+시나리오!$A$22/10000)/2)^(J32-1),0)</f>
        <v/>
      </c>
      <c r="AM32" s="51">
        <f>IF(I32=1,$C32/(1+($B$111+시나리오!$A$23/10000)/2)^(J32-1),0)</f>
        <v/>
      </c>
      <c r="AN32" s="51">
        <f>IF(I32=1,$C32/(1+($B$111+시나리오!$A$24/10000)/2)^(J32-1),0)</f>
        <v/>
      </c>
      <c r="AQ32" s="49" t="n">
        <v>18</v>
      </c>
      <c r="AR32" s="50">
        <f>EDATE($AR$2,-6*(62-$AQ32))</f>
        <v/>
      </c>
      <c r="AS32" s="51">
        <f>IF(AND(AR32&gt;$AR$3,AR32&lt;=$AR$2),IF(AR32=$AR$2,$AR$5+100,$AR$5),0)</f>
        <v/>
      </c>
      <c r="AT32" s="49">
        <f>IF(AND($AS32&gt;0,AR32&gt;$AR$6),1,0)</f>
        <v/>
      </c>
      <c r="AU32" s="49">
        <f>IF(AT32=1,SUM($AT$15:AT32),"")</f>
        <v/>
      </c>
      <c r="AV32" s="51">
        <f>IF(AT32=1,$AS32/(1+$AR$8/2)^(AU32-1),0)</f>
        <v/>
      </c>
      <c r="AW32" s="51">
        <f>IF(AT32=1,$AS32/(1+($AR$8+0.0001)/2)^(AU32-1),0)</f>
        <v/>
      </c>
      <c r="AX32" s="51">
        <f>IF(AT32=1,$AS32/(1+($AR$8-0.0001)/2)^(AU32-1),0)</f>
        <v/>
      </c>
      <c r="AY32" s="49">
        <f>IF(AND($AS32&gt;0,AR32&gt;$AR$7),1,0)</f>
        <v/>
      </c>
      <c r="AZ32" s="49">
        <f>IF(AY32=1,SUM($AY$15:AY32),"")</f>
        <v/>
      </c>
      <c r="BA32" s="51">
        <f>IF(AY32=1,$AS32/(1+$AR$104/2)^(AZ32-1),0)</f>
        <v/>
      </c>
      <c r="BB32" s="51">
        <f>IF(AY32=1,$AS32/(1+($AR$104+0.0001)/2)^(AZ32-1),0)</f>
        <v/>
      </c>
      <c r="BC32" s="51">
        <f>IF(AY32=1,$AS32/(1+($AR$104-0.0001)/2)^(AZ32-1),0)</f>
        <v/>
      </c>
      <c r="BD32" s="51">
        <f>IF(AY32=1,$AS32/(1+$AR$109/2)^(AZ32-1),0)</f>
        <v/>
      </c>
      <c r="BE32" s="51">
        <f>IF(AY32=1,$AS32/(1+$AR$111/2)^(AZ32-1),0)</f>
        <v/>
      </c>
      <c r="BF32" s="51">
        <f>IF(AY32=1,$AS32/(1+($AR$111+0.0001)/2)^(AZ32-1),0)</f>
        <v/>
      </c>
      <c r="BG32" s="51">
        <f>IF(AY32=1,$AS32/(1+($AR$111-0.0001)/2)^(AZ32-1),0)</f>
        <v/>
      </c>
      <c r="BH32" s="51">
        <f>IF(AND($AS32&gt;0,AR32&gt;$AR$6,AR32&lt;=$AR$7),$AS32*(1+$AR$10*($AR$7-AR32)/365),0)</f>
        <v/>
      </c>
      <c r="BI32" s="51">
        <f>IF(AY32=1,$AS32/(1+($AR$111+손익!$B$24/10000)/2)^(AZ32-1),0)</f>
        <v/>
      </c>
      <c r="BJ32" s="51">
        <f>IF(AY32=1,$AS32/(1+($AR$111+시나리오!$A$4/10000)/2)^(AZ32-1),0)</f>
        <v/>
      </c>
      <c r="BK32" s="51">
        <f>IF(AY32=1,$AS32/(1+($AR$111+시나리오!$A$5/10000)/2)^(AZ32-1),0)</f>
        <v/>
      </c>
      <c r="BL32" s="51">
        <f>IF(AY32=1,$AS32/(1+($AR$111+시나리오!$A$6/10000)/2)^(AZ32-1),0)</f>
        <v/>
      </c>
      <c r="BM32" s="51">
        <f>IF(AY32=1,$AS32/(1+($AR$111+시나리오!$A$7/10000)/2)^(AZ32-1),0)</f>
        <v/>
      </c>
      <c r="BN32" s="51">
        <f>IF(AY32=1,$AS32/(1+($AR$111+시나리오!$A$8/10000)/2)^(AZ32-1),0)</f>
        <v/>
      </c>
      <c r="BO32" s="51">
        <f>IF(AY32=1,$AS32/(1+($AR$111+시나리오!$A$9/10000)/2)^(AZ32-1),0)</f>
        <v/>
      </c>
      <c r="BP32" s="51">
        <f>IF(AY32=1,$AS32/(1+($AR$111+시나리오!$A$10/10000)/2)^(AZ32-1),0)</f>
        <v/>
      </c>
      <c r="BQ32" s="51">
        <f>IF(AY32=1,$AS32/(1+($AR$111+시나리오!$A$11/10000)/2)^(AZ32-1),0)</f>
        <v/>
      </c>
      <c r="BR32" s="51">
        <f>IF(AY32=1,$AS32/(1+($AR$111+시나리오!$A$12/10000)/2)^(AZ32-1),0)</f>
        <v/>
      </c>
      <c r="BS32" s="51">
        <f>IF(AY32=1,$AS32/(1+($AR$111+시나리오!$A$13/10000)/2)^(AZ32-1),0)</f>
        <v/>
      </c>
      <c r="BT32" s="51">
        <f>IF(AY32=1,$AS32/(1+($AR$111+시나리오!$A$14/10000)/2)^(AZ32-1),0)</f>
        <v/>
      </c>
      <c r="BU32" s="51">
        <f>IF(AY32=1,$AS32/(1+($AR$111+시나리오!$A$15/10000)/2)^(AZ32-1),0)</f>
        <v/>
      </c>
      <c r="BV32" s="51">
        <f>IF(AY32=1,$AS32/(1+($AR$111+시나리오!$A$16/10000)/2)^(AZ32-1),0)</f>
        <v/>
      </c>
      <c r="BW32" s="51">
        <f>IF(AY32=1,$AS32/(1+($AR$111+시나리오!$A$17/10000)/2)^(AZ32-1),0)</f>
        <v/>
      </c>
      <c r="BX32" s="51">
        <f>IF(AY32=1,$AS32/(1+($AR$111+시나리오!$A$18/10000)/2)^(AZ32-1),0)</f>
        <v/>
      </c>
      <c r="BY32" s="51">
        <f>IF(AY32=1,$AS32/(1+($AR$111+시나리오!$A$19/10000)/2)^(AZ32-1),0)</f>
        <v/>
      </c>
      <c r="BZ32" s="51">
        <f>IF(AY32=1,$AS32/(1+($AR$111+시나리오!$A$20/10000)/2)^(AZ32-1),0)</f>
        <v/>
      </c>
      <c r="CA32" s="51">
        <f>IF(AY32=1,$AS32/(1+($AR$111+시나리오!$A$21/10000)/2)^(AZ32-1),0)</f>
        <v/>
      </c>
      <c r="CB32" s="51">
        <f>IF(AY32=1,$AS32/(1+($AR$111+시나리오!$A$22/10000)/2)^(AZ32-1),0)</f>
        <v/>
      </c>
      <c r="CC32" s="51">
        <f>IF(AY32=1,$AS32/(1+($AR$111+시나리오!$A$23/10000)/2)^(AZ32-1),0)</f>
        <v/>
      </c>
      <c r="CD32" s="51">
        <f>IF(AY32=1,$AS32/(1+($AR$111+시나리오!$A$24/10000)/2)^(AZ32-1),0)</f>
        <v/>
      </c>
      <c r="CG32" s="49" t="n">
        <v>18</v>
      </c>
      <c r="CH32" s="50">
        <f>EDATE($CH$2,-6*(62-$CG32))</f>
        <v/>
      </c>
      <c r="CI32" s="51">
        <f>IF(AND(CH32&gt;$CH$3,CH32&lt;=$CH$2),IF(CH32=$CH$2,$CH$5+100,$CH$5),0)</f>
        <v/>
      </c>
      <c r="CJ32" s="49">
        <f>IF(AND($CI32&gt;0,CH32&gt;$CH$6),1,0)</f>
        <v/>
      </c>
      <c r="CK32" s="49">
        <f>IF(CJ32=1,SUM($CJ$15:CJ32),"")</f>
        <v/>
      </c>
      <c r="CL32" s="51">
        <f>IF(CJ32=1,$CI32/(1+$CH$8/2)^(CK32-1),0)</f>
        <v/>
      </c>
      <c r="CM32" s="51">
        <f>IF(CJ32=1,$CI32/(1+($CH$8+0.0001)/2)^(CK32-1),0)</f>
        <v/>
      </c>
      <c r="CN32" s="51">
        <f>IF(CJ32=1,$CI32/(1+($CH$8-0.0001)/2)^(CK32-1),0)</f>
        <v/>
      </c>
      <c r="CO32" s="49">
        <f>IF(AND($CI32&gt;0,CH32&gt;$CH$7),1,0)</f>
        <v/>
      </c>
      <c r="CP32" s="49">
        <f>IF(CO32=1,SUM($CO$15:CO32),"")</f>
        <v/>
      </c>
      <c r="CQ32" s="51">
        <f>IF(CO32=1,$CI32/(1+$CH$104/2)^(CP32-1),0)</f>
        <v/>
      </c>
      <c r="CR32" s="51">
        <f>IF(CO32=1,$CI32/(1+($CH$104+0.0001)/2)^(CP32-1),0)</f>
        <v/>
      </c>
      <c r="CS32" s="51">
        <f>IF(CO32=1,$CI32/(1+($CH$104-0.0001)/2)^(CP32-1),0)</f>
        <v/>
      </c>
      <c r="CT32" s="51">
        <f>IF(CO32=1,$CI32/(1+$CH$109/2)^(CP32-1),0)</f>
        <v/>
      </c>
      <c r="CU32" s="51">
        <f>IF(CO32=1,$CI32/(1+$CH$111/2)^(CP32-1),0)</f>
        <v/>
      </c>
      <c r="CV32" s="51">
        <f>IF(CO32=1,$CI32/(1+($CH$111+0.0001)/2)^(CP32-1),0)</f>
        <v/>
      </c>
      <c r="CW32" s="51">
        <f>IF(CO32=1,$CI32/(1+($CH$111-0.0001)/2)^(CP32-1),0)</f>
        <v/>
      </c>
      <c r="CX32" s="51">
        <f>IF(AND($CI32&gt;0,CH32&gt;$CH$6,CH32&lt;=$CH$7),$CI32*(1+$CH$10*($CH$7-CH32)/365),0)</f>
        <v/>
      </c>
      <c r="CY32" s="51">
        <f>IF(CO32=1,$CI32/(1+($CH$111+손익!$B$24/10000)/2)^(CP32-1),0)</f>
        <v/>
      </c>
      <c r="CZ32" s="51">
        <f>IF(CO32=1,$CI32/(1+($CH$111+시나리오!$A$4/10000)/2)^(CP32-1),0)</f>
        <v/>
      </c>
      <c r="DA32" s="51">
        <f>IF(CO32=1,$CI32/(1+($CH$111+시나리오!$A$5/10000)/2)^(CP32-1),0)</f>
        <v/>
      </c>
      <c r="DB32" s="51">
        <f>IF(CO32=1,$CI32/(1+($CH$111+시나리오!$A$6/10000)/2)^(CP32-1),0)</f>
        <v/>
      </c>
      <c r="DC32" s="51">
        <f>IF(CO32=1,$CI32/(1+($CH$111+시나리오!$A$7/10000)/2)^(CP32-1),0)</f>
        <v/>
      </c>
      <c r="DD32" s="51">
        <f>IF(CO32=1,$CI32/(1+($CH$111+시나리오!$A$8/10000)/2)^(CP32-1),0)</f>
        <v/>
      </c>
      <c r="DE32" s="51">
        <f>IF(CO32=1,$CI32/(1+($CH$111+시나리오!$A$9/10000)/2)^(CP32-1),0)</f>
        <v/>
      </c>
      <c r="DF32" s="51">
        <f>IF(CO32=1,$CI32/(1+($CH$111+시나리오!$A$10/10000)/2)^(CP32-1),0)</f>
        <v/>
      </c>
      <c r="DG32" s="51">
        <f>IF(CO32=1,$CI32/(1+($CH$111+시나리오!$A$11/10000)/2)^(CP32-1),0)</f>
        <v/>
      </c>
      <c r="DH32" s="51">
        <f>IF(CO32=1,$CI32/(1+($CH$111+시나리오!$A$12/10000)/2)^(CP32-1),0)</f>
        <v/>
      </c>
      <c r="DI32" s="51">
        <f>IF(CO32=1,$CI32/(1+($CH$111+시나리오!$A$13/10000)/2)^(CP32-1),0)</f>
        <v/>
      </c>
      <c r="DJ32" s="51">
        <f>IF(CO32=1,$CI32/(1+($CH$111+시나리오!$A$14/10000)/2)^(CP32-1),0)</f>
        <v/>
      </c>
      <c r="DK32" s="51">
        <f>IF(CO32=1,$CI32/(1+($CH$111+시나리오!$A$15/10000)/2)^(CP32-1),0)</f>
        <v/>
      </c>
      <c r="DL32" s="51">
        <f>IF(CO32=1,$CI32/(1+($CH$111+시나리오!$A$16/10000)/2)^(CP32-1),0)</f>
        <v/>
      </c>
      <c r="DM32" s="51">
        <f>IF(CO32=1,$CI32/(1+($CH$111+시나리오!$A$17/10000)/2)^(CP32-1),0)</f>
        <v/>
      </c>
      <c r="DN32" s="51">
        <f>IF(CO32=1,$CI32/(1+($CH$111+시나리오!$A$18/10000)/2)^(CP32-1),0)</f>
        <v/>
      </c>
      <c r="DO32" s="51">
        <f>IF(CO32=1,$CI32/(1+($CH$111+시나리오!$A$19/10000)/2)^(CP32-1),0)</f>
        <v/>
      </c>
      <c r="DP32" s="51">
        <f>IF(CO32=1,$CI32/(1+($CH$111+시나리오!$A$20/10000)/2)^(CP32-1),0)</f>
        <v/>
      </c>
      <c r="DQ32" s="51">
        <f>IF(CO32=1,$CI32/(1+($CH$111+시나리오!$A$21/10000)/2)^(CP32-1),0)</f>
        <v/>
      </c>
      <c r="DR32" s="51">
        <f>IF(CO32=1,$CI32/(1+($CH$111+시나리오!$A$22/10000)/2)^(CP32-1),0)</f>
        <v/>
      </c>
      <c r="DS32" s="51">
        <f>IF(CO32=1,$CI32/(1+($CH$111+시나리오!$A$23/10000)/2)^(CP32-1),0)</f>
        <v/>
      </c>
      <c r="DT32" s="51">
        <f>IF(CO32=1,$CI32/(1+($CH$111+시나리오!$A$24/10000)/2)^(CP32-1),0)</f>
        <v/>
      </c>
    </row>
    <row r="33">
      <c r="A33" s="49" t="n">
        <v>19</v>
      </c>
      <c r="B33" s="50">
        <f>EDATE($B$2,-6*(62-$A33))</f>
        <v/>
      </c>
      <c r="C33" s="51">
        <f>IF(AND(B33&gt;$B$3,B33&lt;=$B$2),IF(B33=$B$2,$B$5+100,$B$5),0)</f>
        <v/>
      </c>
      <c r="D33" s="49">
        <f>IF(AND($C33&gt;0,B33&gt;$B$6),1,0)</f>
        <v/>
      </c>
      <c r="E33" s="49">
        <f>IF(D33=1,SUM($D$15:D33),"")</f>
        <v/>
      </c>
      <c r="F33" s="51">
        <f>IF(D33=1,$C33/(1+$B$8/2)^(E33-1),0)</f>
        <v/>
      </c>
      <c r="G33" s="51">
        <f>IF(D33=1,$C33/(1+($B$8+0.0001)/2)^(E33-1),0)</f>
        <v/>
      </c>
      <c r="H33" s="51">
        <f>IF(D33=1,$C33/(1+($B$8-0.0001)/2)^(E33-1),0)</f>
        <v/>
      </c>
      <c r="I33" s="49">
        <f>IF(AND($C33&gt;0,B33&gt;$B$7),1,0)</f>
        <v/>
      </c>
      <c r="J33" s="49">
        <f>IF(I33=1,SUM($I$15:I33),"")</f>
        <v/>
      </c>
      <c r="K33" s="51">
        <f>IF(I33=1,$C33/(1+$B$104/2)^(J33-1),0)</f>
        <v/>
      </c>
      <c r="L33" s="51">
        <f>IF(I33=1,$C33/(1+($B$104+0.0001)/2)^(J33-1),0)</f>
        <v/>
      </c>
      <c r="M33" s="51">
        <f>IF(I33=1,$C33/(1+($B$104-0.0001)/2)^(J33-1),0)</f>
        <v/>
      </c>
      <c r="N33" s="51">
        <f>IF(I33=1,$C33/(1+$B$109/2)^(J33-1),0)</f>
        <v/>
      </c>
      <c r="O33" s="51">
        <f>IF(I33=1,$C33/(1+$B$111/2)^(J33-1),0)</f>
        <v/>
      </c>
      <c r="P33" s="51">
        <f>IF(I33=1,$C33/(1+($B$111+0.0001)/2)^(J33-1),0)</f>
        <v/>
      </c>
      <c r="Q33" s="51">
        <f>IF(I33=1,$C33/(1+($B$111-0.0001)/2)^(J33-1),0)</f>
        <v/>
      </c>
      <c r="R33" s="51">
        <f>IF(AND($C33&gt;0,B33&gt;$B$6,B33&lt;=$B$7),$C33*(1+$B$10*($B$7-B33)/365),0)</f>
        <v/>
      </c>
      <c r="S33" s="51">
        <f>IF(I33=1,$C33/(1+($B$111+손익!$B$24/10000)/2)^(J33-1),0)</f>
        <v/>
      </c>
      <c r="T33" s="51">
        <f>IF(I33=1,$C33/(1+($B$111+시나리오!$A$4/10000)/2)^(J33-1),0)</f>
        <v/>
      </c>
      <c r="U33" s="51">
        <f>IF(I33=1,$C33/(1+($B$111+시나리오!$A$5/10000)/2)^(J33-1),0)</f>
        <v/>
      </c>
      <c r="V33" s="51">
        <f>IF(I33=1,$C33/(1+($B$111+시나리오!$A$6/10000)/2)^(J33-1),0)</f>
        <v/>
      </c>
      <c r="W33" s="51">
        <f>IF(I33=1,$C33/(1+($B$111+시나리오!$A$7/10000)/2)^(J33-1),0)</f>
        <v/>
      </c>
      <c r="X33" s="51">
        <f>IF(I33=1,$C33/(1+($B$111+시나리오!$A$8/10000)/2)^(J33-1),0)</f>
        <v/>
      </c>
      <c r="Y33" s="51">
        <f>IF(I33=1,$C33/(1+($B$111+시나리오!$A$9/10000)/2)^(J33-1),0)</f>
        <v/>
      </c>
      <c r="Z33" s="51">
        <f>IF(I33=1,$C33/(1+($B$111+시나리오!$A$10/10000)/2)^(J33-1),0)</f>
        <v/>
      </c>
      <c r="AA33" s="51">
        <f>IF(I33=1,$C33/(1+($B$111+시나리오!$A$11/10000)/2)^(J33-1),0)</f>
        <v/>
      </c>
      <c r="AB33" s="51">
        <f>IF(I33=1,$C33/(1+($B$111+시나리오!$A$12/10000)/2)^(J33-1),0)</f>
        <v/>
      </c>
      <c r="AC33" s="51">
        <f>IF(I33=1,$C33/(1+($B$111+시나리오!$A$13/10000)/2)^(J33-1),0)</f>
        <v/>
      </c>
      <c r="AD33" s="51">
        <f>IF(I33=1,$C33/(1+($B$111+시나리오!$A$14/10000)/2)^(J33-1),0)</f>
        <v/>
      </c>
      <c r="AE33" s="51">
        <f>IF(I33=1,$C33/(1+($B$111+시나리오!$A$15/10000)/2)^(J33-1),0)</f>
        <v/>
      </c>
      <c r="AF33" s="51">
        <f>IF(I33=1,$C33/(1+($B$111+시나리오!$A$16/10000)/2)^(J33-1),0)</f>
        <v/>
      </c>
      <c r="AG33" s="51">
        <f>IF(I33=1,$C33/(1+($B$111+시나리오!$A$17/10000)/2)^(J33-1),0)</f>
        <v/>
      </c>
      <c r="AH33" s="51">
        <f>IF(I33=1,$C33/(1+($B$111+시나리오!$A$18/10000)/2)^(J33-1),0)</f>
        <v/>
      </c>
      <c r="AI33" s="51">
        <f>IF(I33=1,$C33/(1+($B$111+시나리오!$A$19/10000)/2)^(J33-1),0)</f>
        <v/>
      </c>
      <c r="AJ33" s="51">
        <f>IF(I33=1,$C33/(1+($B$111+시나리오!$A$20/10000)/2)^(J33-1),0)</f>
        <v/>
      </c>
      <c r="AK33" s="51">
        <f>IF(I33=1,$C33/(1+($B$111+시나리오!$A$21/10000)/2)^(J33-1),0)</f>
        <v/>
      </c>
      <c r="AL33" s="51">
        <f>IF(I33=1,$C33/(1+($B$111+시나리오!$A$22/10000)/2)^(J33-1),0)</f>
        <v/>
      </c>
      <c r="AM33" s="51">
        <f>IF(I33=1,$C33/(1+($B$111+시나리오!$A$23/10000)/2)^(J33-1),0)</f>
        <v/>
      </c>
      <c r="AN33" s="51">
        <f>IF(I33=1,$C33/(1+($B$111+시나리오!$A$24/10000)/2)^(J33-1),0)</f>
        <v/>
      </c>
      <c r="AQ33" s="49" t="n">
        <v>19</v>
      </c>
      <c r="AR33" s="50">
        <f>EDATE($AR$2,-6*(62-$AQ33))</f>
        <v/>
      </c>
      <c r="AS33" s="51">
        <f>IF(AND(AR33&gt;$AR$3,AR33&lt;=$AR$2),IF(AR33=$AR$2,$AR$5+100,$AR$5),0)</f>
        <v/>
      </c>
      <c r="AT33" s="49">
        <f>IF(AND($AS33&gt;0,AR33&gt;$AR$6),1,0)</f>
        <v/>
      </c>
      <c r="AU33" s="49">
        <f>IF(AT33=1,SUM($AT$15:AT33),"")</f>
        <v/>
      </c>
      <c r="AV33" s="51">
        <f>IF(AT33=1,$AS33/(1+$AR$8/2)^(AU33-1),0)</f>
        <v/>
      </c>
      <c r="AW33" s="51">
        <f>IF(AT33=1,$AS33/(1+($AR$8+0.0001)/2)^(AU33-1),0)</f>
        <v/>
      </c>
      <c r="AX33" s="51">
        <f>IF(AT33=1,$AS33/(1+($AR$8-0.0001)/2)^(AU33-1),0)</f>
        <v/>
      </c>
      <c r="AY33" s="49">
        <f>IF(AND($AS33&gt;0,AR33&gt;$AR$7),1,0)</f>
        <v/>
      </c>
      <c r="AZ33" s="49">
        <f>IF(AY33=1,SUM($AY$15:AY33),"")</f>
        <v/>
      </c>
      <c r="BA33" s="51">
        <f>IF(AY33=1,$AS33/(1+$AR$104/2)^(AZ33-1),0)</f>
        <v/>
      </c>
      <c r="BB33" s="51">
        <f>IF(AY33=1,$AS33/(1+($AR$104+0.0001)/2)^(AZ33-1),0)</f>
        <v/>
      </c>
      <c r="BC33" s="51">
        <f>IF(AY33=1,$AS33/(1+($AR$104-0.0001)/2)^(AZ33-1),0)</f>
        <v/>
      </c>
      <c r="BD33" s="51">
        <f>IF(AY33=1,$AS33/(1+$AR$109/2)^(AZ33-1),0)</f>
        <v/>
      </c>
      <c r="BE33" s="51">
        <f>IF(AY33=1,$AS33/(1+$AR$111/2)^(AZ33-1),0)</f>
        <v/>
      </c>
      <c r="BF33" s="51">
        <f>IF(AY33=1,$AS33/(1+($AR$111+0.0001)/2)^(AZ33-1),0)</f>
        <v/>
      </c>
      <c r="BG33" s="51">
        <f>IF(AY33=1,$AS33/(1+($AR$111-0.0001)/2)^(AZ33-1),0)</f>
        <v/>
      </c>
      <c r="BH33" s="51">
        <f>IF(AND($AS33&gt;0,AR33&gt;$AR$6,AR33&lt;=$AR$7),$AS33*(1+$AR$10*($AR$7-AR33)/365),0)</f>
        <v/>
      </c>
      <c r="BI33" s="51">
        <f>IF(AY33=1,$AS33/(1+($AR$111+손익!$B$24/10000)/2)^(AZ33-1),0)</f>
        <v/>
      </c>
      <c r="BJ33" s="51">
        <f>IF(AY33=1,$AS33/(1+($AR$111+시나리오!$A$4/10000)/2)^(AZ33-1),0)</f>
        <v/>
      </c>
      <c r="BK33" s="51">
        <f>IF(AY33=1,$AS33/(1+($AR$111+시나리오!$A$5/10000)/2)^(AZ33-1),0)</f>
        <v/>
      </c>
      <c r="BL33" s="51">
        <f>IF(AY33=1,$AS33/(1+($AR$111+시나리오!$A$6/10000)/2)^(AZ33-1),0)</f>
        <v/>
      </c>
      <c r="BM33" s="51">
        <f>IF(AY33=1,$AS33/(1+($AR$111+시나리오!$A$7/10000)/2)^(AZ33-1),0)</f>
        <v/>
      </c>
      <c r="BN33" s="51">
        <f>IF(AY33=1,$AS33/(1+($AR$111+시나리오!$A$8/10000)/2)^(AZ33-1),0)</f>
        <v/>
      </c>
      <c r="BO33" s="51">
        <f>IF(AY33=1,$AS33/(1+($AR$111+시나리오!$A$9/10000)/2)^(AZ33-1),0)</f>
        <v/>
      </c>
      <c r="BP33" s="51">
        <f>IF(AY33=1,$AS33/(1+($AR$111+시나리오!$A$10/10000)/2)^(AZ33-1),0)</f>
        <v/>
      </c>
      <c r="BQ33" s="51">
        <f>IF(AY33=1,$AS33/(1+($AR$111+시나리오!$A$11/10000)/2)^(AZ33-1),0)</f>
        <v/>
      </c>
      <c r="BR33" s="51">
        <f>IF(AY33=1,$AS33/(1+($AR$111+시나리오!$A$12/10000)/2)^(AZ33-1),0)</f>
        <v/>
      </c>
      <c r="BS33" s="51">
        <f>IF(AY33=1,$AS33/(1+($AR$111+시나리오!$A$13/10000)/2)^(AZ33-1),0)</f>
        <v/>
      </c>
      <c r="BT33" s="51">
        <f>IF(AY33=1,$AS33/(1+($AR$111+시나리오!$A$14/10000)/2)^(AZ33-1),0)</f>
        <v/>
      </c>
      <c r="BU33" s="51">
        <f>IF(AY33=1,$AS33/(1+($AR$111+시나리오!$A$15/10000)/2)^(AZ33-1),0)</f>
        <v/>
      </c>
      <c r="BV33" s="51">
        <f>IF(AY33=1,$AS33/(1+($AR$111+시나리오!$A$16/10000)/2)^(AZ33-1),0)</f>
        <v/>
      </c>
      <c r="BW33" s="51">
        <f>IF(AY33=1,$AS33/(1+($AR$111+시나리오!$A$17/10000)/2)^(AZ33-1),0)</f>
        <v/>
      </c>
      <c r="BX33" s="51">
        <f>IF(AY33=1,$AS33/(1+($AR$111+시나리오!$A$18/10000)/2)^(AZ33-1),0)</f>
        <v/>
      </c>
      <c r="BY33" s="51">
        <f>IF(AY33=1,$AS33/(1+($AR$111+시나리오!$A$19/10000)/2)^(AZ33-1),0)</f>
        <v/>
      </c>
      <c r="BZ33" s="51">
        <f>IF(AY33=1,$AS33/(1+($AR$111+시나리오!$A$20/10000)/2)^(AZ33-1),0)</f>
        <v/>
      </c>
      <c r="CA33" s="51">
        <f>IF(AY33=1,$AS33/(1+($AR$111+시나리오!$A$21/10000)/2)^(AZ33-1),0)</f>
        <v/>
      </c>
      <c r="CB33" s="51">
        <f>IF(AY33=1,$AS33/(1+($AR$111+시나리오!$A$22/10000)/2)^(AZ33-1),0)</f>
        <v/>
      </c>
      <c r="CC33" s="51">
        <f>IF(AY33=1,$AS33/(1+($AR$111+시나리오!$A$23/10000)/2)^(AZ33-1),0)</f>
        <v/>
      </c>
      <c r="CD33" s="51">
        <f>IF(AY33=1,$AS33/(1+($AR$111+시나리오!$A$24/10000)/2)^(AZ33-1),0)</f>
        <v/>
      </c>
      <c r="CG33" s="49" t="n">
        <v>19</v>
      </c>
      <c r="CH33" s="50">
        <f>EDATE($CH$2,-6*(62-$CG33))</f>
        <v/>
      </c>
      <c r="CI33" s="51">
        <f>IF(AND(CH33&gt;$CH$3,CH33&lt;=$CH$2),IF(CH33=$CH$2,$CH$5+100,$CH$5),0)</f>
        <v/>
      </c>
      <c r="CJ33" s="49">
        <f>IF(AND($CI33&gt;0,CH33&gt;$CH$6),1,0)</f>
        <v/>
      </c>
      <c r="CK33" s="49">
        <f>IF(CJ33=1,SUM($CJ$15:CJ33),"")</f>
        <v/>
      </c>
      <c r="CL33" s="51">
        <f>IF(CJ33=1,$CI33/(1+$CH$8/2)^(CK33-1),0)</f>
        <v/>
      </c>
      <c r="CM33" s="51">
        <f>IF(CJ33=1,$CI33/(1+($CH$8+0.0001)/2)^(CK33-1),0)</f>
        <v/>
      </c>
      <c r="CN33" s="51">
        <f>IF(CJ33=1,$CI33/(1+($CH$8-0.0001)/2)^(CK33-1),0)</f>
        <v/>
      </c>
      <c r="CO33" s="49">
        <f>IF(AND($CI33&gt;0,CH33&gt;$CH$7),1,0)</f>
        <v/>
      </c>
      <c r="CP33" s="49">
        <f>IF(CO33=1,SUM($CO$15:CO33),"")</f>
        <v/>
      </c>
      <c r="CQ33" s="51">
        <f>IF(CO33=1,$CI33/(1+$CH$104/2)^(CP33-1),0)</f>
        <v/>
      </c>
      <c r="CR33" s="51">
        <f>IF(CO33=1,$CI33/(1+($CH$104+0.0001)/2)^(CP33-1),0)</f>
        <v/>
      </c>
      <c r="CS33" s="51">
        <f>IF(CO33=1,$CI33/(1+($CH$104-0.0001)/2)^(CP33-1),0)</f>
        <v/>
      </c>
      <c r="CT33" s="51">
        <f>IF(CO33=1,$CI33/(1+$CH$109/2)^(CP33-1),0)</f>
        <v/>
      </c>
      <c r="CU33" s="51">
        <f>IF(CO33=1,$CI33/(1+$CH$111/2)^(CP33-1),0)</f>
        <v/>
      </c>
      <c r="CV33" s="51">
        <f>IF(CO33=1,$CI33/(1+($CH$111+0.0001)/2)^(CP33-1),0)</f>
        <v/>
      </c>
      <c r="CW33" s="51">
        <f>IF(CO33=1,$CI33/(1+($CH$111-0.0001)/2)^(CP33-1),0)</f>
        <v/>
      </c>
      <c r="CX33" s="51">
        <f>IF(AND($CI33&gt;0,CH33&gt;$CH$6,CH33&lt;=$CH$7),$CI33*(1+$CH$10*($CH$7-CH33)/365),0)</f>
        <v/>
      </c>
      <c r="CY33" s="51">
        <f>IF(CO33=1,$CI33/(1+($CH$111+손익!$B$24/10000)/2)^(CP33-1),0)</f>
        <v/>
      </c>
      <c r="CZ33" s="51">
        <f>IF(CO33=1,$CI33/(1+($CH$111+시나리오!$A$4/10000)/2)^(CP33-1),0)</f>
        <v/>
      </c>
      <c r="DA33" s="51">
        <f>IF(CO33=1,$CI33/(1+($CH$111+시나리오!$A$5/10000)/2)^(CP33-1),0)</f>
        <v/>
      </c>
      <c r="DB33" s="51">
        <f>IF(CO33=1,$CI33/(1+($CH$111+시나리오!$A$6/10000)/2)^(CP33-1),0)</f>
        <v/>
      </c>
      <c r="DC33" s="51">
        <f>IF(CO33=1,$CI33/(1+($CH$111+시나리오!$A$7/10000)/2)^(CP33-1),0)</f>
        <v/>
      </c>
      <c r="DD33" s="51">
        <f>IF(CO33=1,$CI33/(1+($CH$111+시나리오!$A$8/10000)/2)^(CP33-1),0)</f>
        <v/>
      </c>
      <c r="DE33" s="51">
        <f>IF(CO33=1,$CI33/(1+($CH$111+시나리오!$A$9/10000)/2)^(CP33-1),0)</f>
        <v/>
      </c>
      <c r="DF33" s="51">
        <f>IF(CO33=1,$CI33/(1+($CH$111+시나리오!$A$10/10000)/2)^(CP33-1),0)</f>
        <v/>
      </c>
      <c r="DG33" s="51">
        <f>IF(CO33=1,$CI33/(1+($CH$111+시나리오!$A$11/10000)/2)^(CP33-1),0)</f>
        <v/>
      </c>
      <c r="DH33" s="51">
        <f>IF(CO33=1,$CI33/(1+($CH$111+시나리오!$A$12/10000)/2)^(CP33-1),0)</f>
        <v/>
      </c>
      <c r="DI33" s="51">
        <f>IF(CO33=1,$CI33/(1+($CH$111+시나리오!$A$13/10000)/2)^(CP33-1),0)</f>
        <v/>
      </c>
      <c r="DJ33" s="51">
        <f>IF(CO33=1,$CI33/(1+($CH$111+시나리오!$A$14/10000)/2)^(CP33-1),0)</f>
        <v/>
      </c>
      <c r="DK33" s="51">
        <f>IF(CO33=1,$CI33/(1+($CH$111+시나리오!$A$15/10000)/2)^(CP33-1),0)</f>
        <v/>
      </c>
      <c r="DL33" s="51">
        <f>IF(CO33=1,$CI33/(1+($CH$111+시나리오!$A$16/10000)/2)^(CP33-1),0)</f>
        <v/>
      </c>
      <c r="DM33" s="51">
        <f>IF(CO33=1,$CI33/(1+($CH$111+시나리오!$A$17/10000)/2)^(CP33-1),0)</f>
        <v/>
      </c>
      <c r="DN33" s="51">
        <f>IF(CO33=1,$CI33/(1+($CH$111+시나리오!$A$18/10000)/2)^(CP33-1),0)</f>
        <v/>
      </c>
      <c r="DO33" s="51">
        <f>IF(CO33=1,$CI33/(1+($CH$111+시나리오!$A$19/10000)/2)^(CP33-1),0)</f>
        <v/>
      </c>
      <c r="DP33" s="51">
        <f>IF(CO33=1,$CI33/(1+($CH$111+시나리오!$A$20/10000)/2)^(CP33-1),0)</f>
        <v/>
      </c>
      <c r="DQ33" s="51">
        <f>IF(CO33=1,$CI33/(1+($CH$111+시나리오!$A$21/10000)/2)^(CP33-1),0)</f>
        <v/>
      </c>
      <c r="DR33" s="51">
        <f>IF(CO33=1,$CI33/(1+($CH$111+시나리오!$A$22/10000)/2)^(CP33-1),0)</f>
        <v/>
      </c>
      <c r="DS33" s="51">
        <f>IF(CO33=1,$CI33/(1+($CH$111+시나리오!$A$23/10000)/2)^(CP33-1),0)</f>
        <v/>
      </c>
      <c r="DT33" s="51">
        <f>IF(CO33=1,$CI33/(1+($CH$111+시나리오!$A$24/10000)/2)^(CP33-1),0)</f>
        <v/>
      </c>
    </row>
    <row r="34">
      <c r="A34" s="49" t="n">
        <v>20</v>
      </c>
      <c r="B34" s="50">
        <f>EDATE($B$2,-6*(62-$A34))</f>
        <v/>
      </c>
      <c r="C34" s="51">
        <f>IF(AND(B34&gt;$B$3,B34&lt;=$B$2),IF(B34=$B$2,$B$5+100,$B$5),0)</f>
        <v/>
      </c>
      <c r="D34" s="49">
        <f>IF(AND($C34&gt;0,B34&gt;$B$6),1,0)</f>
        <v/>
      </c>
      <c r="E34" s="49">
        <f>IF(D34=1,SUM($D$15:D34),"")</f>
        <v/>
      </c>
      <c r="F34" s="51">
        <f>IF(D34=1,$C34/(1+$B$8/2)^(E34-1),0)</f>
        <v/>
      </c>
      <c r="G34" s="51">
        <f>IF(D34=1,$C34/(1+($B$8+0.0001)/2)^(E34-1),0)</f>
        <v/>
      </c>
      <c r="H34" s="51">
        <f>IF(D34=1,$C34/(1+($B$8-0.0001)/2)^(E34-1),0)</f>
        <v/>
      </c>
      <c r="I34" s="49">
        <f>IF(AND($C34&gt;0,B34&gt;$B$7),1,0)</f>
        <v/>
      </c>
      <c r="J34" s="49">
        <f>IF(I34=1,SUM($I$15:I34),"")</f>
        <v/>
      </c>
      <c r="K34" s="51">
        <f>IF(I34=1,$C34/(1+$B$104/2)^(J34-1),0)</f>
        <v/>
      </c>
      <c r="L34" s="51">
        <f>IF(I34=1,$C34/(1+($B$104+0.0001)/2)^(J34-1),0)</f>
        <v/>
      </c>
      <c r="M34" s="51">
        <f>IF(I34=1,$C34/(1+($B$104-0.0001)/2)^(J34-1),0)</f>
        <v/>
      </c>
      <c r="N34" s="51">
        <f>IF(I34=1,$C34/(1+$B$109/2)^(J34-1),0)</f>
        <v/>
      </c>
      <c r="O34" s="51">
        <f>IF(I34=1,$C34/(1+$B$111/2)^(J34-1),0)</f>
        <v/>
      </c>
      <c r="P34" s="51">
        <f>IF(I34=1,$C34/(1+($B$111+0.0001)/2)^(J34-1),0)</f>
        <v/>
      </c>
      <c r="Q34" s="51">
        <f>IF(I34=1,$C34/(1+($B$111-0.0001)/2)^(J34-1),0)</f>
        <v/>
      </c>
      <c r="R34" s="51">
        <f>IF(AND($C34&gt;0,B34&gt;$B$6,B34&lt;=$B$7),$C34*(1+$B$10*($B$7-B34)/365),0)</f>
        <v/>
      </c>
      <c r="S34" s="51">
        <f>IF(I34=1,$C34/(1+($B$111+손익!$B$24/10000)/2)^(J34-1),0)</f>
        <v/>
      </c>
      <c r="T34" s="51">
        <f>IF(I34=1,$C34/(1+($B$111+시나리오!$A$4/10000)/2)^(J34-1),0)</f>
        <v/>
      </c>
      <c r="U34" s="51">
        <f>IF(I34=1,$C34/(1+($B$111+시나리오!$A$5/10000)/2)^(J34-1),0)</f>
        <v/>
      </c>
      <c r="V34" s="51">
        <f>IF(I34=1,$C34/(1+($B$111+시나리오!$A$6/10000)/2)^(J34-1),0)</f>
        <v/>
      </c>
      <c r="W34" s="51">
        <f>IF(I34=1,$C34/(1+($B$111+시나리오!$A$7/10000)/2)^(J34-1),0)</f>
        <v/>
      </c>
      <c r="X34" s="51">
        <f>IF(I34=1,$C34/(1+($B$111+시나리오!$A$8/10000)/2)^(J34-1),0)</f>
        <v/>
      </c>
      <c r="Y34" s="51">
        <f>IF(I34=1,$C34/(1+($B$111+시나리오!$A$9/10000)/2)^(J34-1),0)</f>
        <v/>
      </c>
      <c r="Z34" s="51">
        <f>IF(I34=1,$C34/(1+($B$111+시나리오!$A$10/10000)/2)^(J34-1),0)</f>
        <v/>
      </c>
      <c r="AA34" s="51">
        <f>IF(I34=1,$C34/(1+($B$111+시나리오!$A$11/10000)/2)^(J34-1),0)</f>
        <v/>
      </c>
      <c r="AB34" s="51">
        <f>IF(I34=1,$C34/(1+($B$111+시나리오!$A$12/10000)/2)^(J34-1),0)</f>
        <v/>
      </c>
      <c r="AC34" s="51">
        <f>IF(I34=1,$C34/(1+($B$111+시나리오!$A$13/10000)/2)^(J34-1),0)</f>
        <v/>
      </c>
      <c r="AD34" s="51">
        <f>IF(I34=1,$C34/(1+($B$111+시나리오!$A$14/10000)/2)^(J34-1),0)</f>
        <v/>
      </c>
      <c r="AE34" s="51">
        <f>IF(I34=1,$C34/(1+($B$111+시나리오!$A$15/10000)/2)^(J34-1),0)</f>
        <v/>
      </c>
      <c r="AF34" s="51">
        <f>IF(I34=1,$C34/(1+($B$111+시나리오!$A$16/10000)/2)^(J34-1),0)</f>
        <v/>
      </c>
      <c r="AG34" s="51">
        <f>IF(I34=1,$C34/(1+($B$111+시나리오!$A$17/10000)/2)^(J34-1),0)</f>
        <v/>
      </c>
      <c r="AH34" s="51">
        <f>IF(I34=1,$C34/(1+($B$111+시나리오!$A$18/10000)/2)^(J34-1),0)</f>
        <v/>
      </c>
      <c r="AI34" s="51">
        <f>IF(I34=1,$C34/(1+($B$111+시나리오!$A$19/10000)/2)^(J34-1),0)</f>
        <v/>
      </c>
      <c r="AJ34" s="51">
        <f>IF(I34=1,$C34/(1+($B$111+시나리오!$A$20/10000)/2)^(J34-1),0)</f>
        <v/>
      </c>
      <c r="AK34" s="51">
        <f>IF(I34=1,$C34/(1+($B$111+시나리오!$A$21/10000)/2)^(J34-1),0)</f>
        <v/>
      </c>
      <c r="AL34" s="51">
        <f>IF(I34=1,$C34/(1+($B$111+시나리오!$A$22/10000)/2)^(J34-1),0)</f>
        <v/>
      </c>
      <c r="AM34" s="51">
        <f>IF(I34=1,$C34/(1+($B$111+시나리오!$A$23/10000)/2)^(J34-1),0)</f>
        <v/>
      </c>
      <c r="AN34" s="51">
        <f>IF(I34=1,$C34/(1+($B$111+시나리오!$A$24/10000)/2)^(J34-1),0)</f>
        <v/>
      </c>
      <c r="AQ34" s="49" t="n">
        <v>20</v>
      </c>
      <c r="AR34" s="50">
        <f>EDATE($AR$2,-6*(62-$AQ34))</f>
        <v/>
      </c>
      <c r="AS34" s="51">
        <f>IF(AND(AR34&gt;$AR$3,AR34&lt;=$AR$2),IF(AR34=$AR$2,$AR$5+100,$AR$5),0)</f>
        <v/>
      </c>
      <c r="AT34" s="49">
        <f>IF(AND($AS34&gt;0,AR34&gt;$AR$6),1,0)</f>
        <v/>
      </c>
      <c r="AU34" s="49">
        <f>IF(AT34=1,SUM($AT$15:AT34),"")</f>
        <v/>
      </c>
      <c r="AV34" s="51">
        <f>IF(AT34=1,$AS34/(1+$AR$8/2)^(AU34-1),0)</f>
        <v/>
      </c>
      <c r="AW34" s="51">
        <f>IF(AT34=1,$AS34/(1+($AR$8+0.0001)/2)^(AU34-1),0)</f>
        <v/>
      </c>
      <c r="AX34" s="51">
        <f>IF(AT34=1,$AS34/(1+($AR$8-0.0001)/2)^(AU34-1),0)</f>
        <v/>
      </c>
      <c r="AY34" s="49">
        <f>IF(AND($AS34&gt;0,AR34&gt;$AR$7),1,0)</f>
        <v/>
      </c>
      <c r="AZ34" s="49">
        <f>IF(AY34=1,SUM($AY$15:AY34),"")</f>
        <v/>
      </c>
      <c r="BA34" s="51">
        <f>IF(AY34=1,$AS34/(1+$AR$104/2)^(AZ34-1),0)</f>
        <v/>
      </c>
      <c r="BB34" s="51">
        <f>IF(AY34=1,$AS34/(1+($AR$104+0.0001)/2)^(AZ34-1),0)</f>
        <v/>
      </c>
      <c r="BC34" s="51">
        <f>IF(AY34=1,$AS34/(1+($AR$104-0.0001)/2)^(AZ34-1),0)</f>
        <v/>
      </c>
      <c r="BD34" s="51">
        <f>IF(AY34=1,$AS34/(1+$AR$109/2)^(AZ34-1),0)</f>
        <v/>
      </c>
      <c r="BE34" s="51">
        <f>IF(AY34=1,$AS34/(1+$AR$111/2)^(AZ34-1),0)</f>
        <v/>
      </c>
      <c r="BF34" s="51">
        <f>IF(AY34=1,$AS34/(1+($AR$111+0.0001)/2)^(AZ34-1),0)</f>
        <v/>
      </c>
      <c r="BG34" s="51">
        <f>IF(AY34=1,$AS34/(1+($AR$111-0.0001)/2)^(AZ34-1),0)</f>
        <v/>
      </c>
      <c r="BH34" s="51">
        <f>IF(AND($AS34&gt;0,AR34&gt;$AR$6,AR34&lt;=$AR$7),$AS34*(1+$AR$10*($AR$7-AR34)/365),0)</f>
        <v/>
      </c>
      <c r="BI34" s="51">
        <f>IF(AY34=1,$AS34/(1+($AR$111+손익!$B$24/10000)/2)^(AZ34-1),0)</f>
        <v/>
      </c>
      <c r="BJ34" s="51">
        <f>IF(AY34=1,$AS34/(1+($AR$111+시나리오!$A$4/10000)/2)^(AZ34-1),0)</f>
        <v/>
      </c>
      <c r="BK34" s="51">
        <f>IF(AY34=1,$AS34/(1+($AR$111+시나리오!$A$5/10000)/2)^(AZ34-1),0)</f>
        <v/>
      </c>
      <c r="BL34" s="51">
        <f>IF(AY34=1,$AS34/(1+($AR$111+시나리오!$A$6/10000)/2)^(AZ34-1),0)</f>
        <v/>
      </c>
      <c r="BM34" s="51">
        <f>IF(AY34=1,$AS34/(1+($AR$111+시나리오!$A$7/10000)/2)^(AZ34-1),0)</f>
        <v/>
      </c>
      <c r="BN34" s="51">
        <f>IF(AY34=1,$AS34/(1+($AR$111+시나리오!$A$8/10000)/2)^(AZ34-1),0)</f>
        <v/>
      </c>
      <c r="BO34" s="51">
        <f>IF(AY34=1,$AS34/(1+($AR$111+시나리오!$A$9/10000)/2)^(AZ34-1),0)</f>
        <v/>
      </c>
      <c r="BP34" s="51">
        <f>IF(AY34=1,$AS34/(1+($AR$111+시나리오!$A$10/10000)/2)^(AZ34-1),0)</f>
        <v/>
      </c>
      <c r="BQ34" s="51">
        <f>IF(AY34=1,$AS34/(1+($AR$111+시나리오!$A$11/10000)/2)^(AZ34-1),0)</f>
        <v/>
      </c>
      <c r="BR34" s="51">
        <f>IF(AY34=1,$AS34/(1+($AR$111+시나리오!$A$12/10000)/2)^(AZ34-1),0)</f>
        <v/>
      </c>
      <c r="BS34" s="51">
        <f>IF(AY34=1,$AS34/(1+($AR$111+시나리오!$A$13/10000)/2)^(AZ34-1),0)</f>
        <v/>
      </c>
      <c r="BT34" s="51">
        <f>IF(AY34=1,$AS34/(1+($AR$111+시나리오!$A$14/10000)/2)^(AZ34-1),0)</f>
        <v/>
      </c>
      <c r="BU34" s="51">
        <f>IF(AY34=1,$AS34/(1+($AR$111+시나리오!$A$15/10000)/2)^(AZ34-1),0)</f>
        <v/>
      </c>
      <c r="BV34" s="51">
        <f>IF(AY34=1,$AS34/(1+($AR$111+시나리오!$A$16/10000)/2)^(AZ34-1),0)</f>
        <v/>
      </c>
      <c r="BW34" s="51">
        <f>IF(AY34=1,$AS34/(1+($AR$111+시나리오!$A$17/10000)/2)^(AZ34-1),0)</f>
        <v/>
      </c>
      <c r="BX34" s="51">
        <f>IF(AY34=1,$AS34/(1+($AR$111+시나리오!$A$18/10000)/2)^(AZ34-1),0)</f>
        <v/>
      </c>
      <c r="BY34" s="51">
        <f>IF(AY34=1,$AS34/(1+($AR$111+시나리오!$A$19/10000)/2)^(AZ34-1),0)</f>
        <v/>
      </c>
      <c r="BZ34" s="51">
        <f>IF(AY34=1,$AS34/(1+($AR$111+시나리오!$A$20/10000)/2)^(AZ34-1),0)</f>
        <v/>
      </c>
      <c r="CA34" s="51">
        <f>IF(AY34=1,$AS34/(1+($AR$111+시나리오!$A$21/10000)/2)^(AZ34-1),0)</f>
        <v/>
      </c>
      <c r="CB34" s="51">
        <f>IF(AY34=1,$AS34/(1+($AR$111+시나리오!$A$22/10000)/2)^(AZ34-1),0)</f>
        <v/>
      </c>
      <c r="CC34" s="51">
        <f>IF(AY34=1,$AS34/(1+($AR$111+시나리오!$A$23/10000)/2)^(AZ34-1),0)</f>
        <v/>
      </c>
      <c r="CD34" s="51">
        <f>IF(AY34=1,$AS34/(1+($AR$111+시나리오!$A$24/10000)/2)^(AZ34-1),0)</f>
        <v/>
      </c>
      <c r="CG34" s="49" t="n">
        <v>20</v>
      </c>
      <c r="CH34" s="50">
        <f>EDATE($CH$2,-6*(62-$CG34))</f>
        <v/>
      </c>
      <c r="CI34" s="51">
        <f>IF(AND(CH34&gt;$CH$3,CH34&lt;=$CH$2),IF(CH34=$CH$2,$CH$5+100,$CH$5),0)</f>
        <v/>
      </c>
      <c r="CJ34" s="49">
        <f>IF(AND($CI34&gt;0,CH34&gt;$CH$6),1,0)</f>
        <v/>
      </c>
      <c r="CK34" s="49">
        <f>IF(CJ34=1,SUM($CJ$15:CJ34),"")</f>
        <v/>
      </c>
      <c r="CL34" s="51">
        <f>IF(CJ34=1,$CI34/(1+$CH$8/2)^(CK34-1),0)</f>
        <v/>
      </c>
      <c r="CM34" s="51">
        <f>IF(CJ34=1,$CI34/(1+($CH$8+0.0001)/2)^(CK34-1),0)</f>
        <v/>
      </c>
      <c r="CN34" s="51">
        <f>IF(CJ34=1,$CI34/(1+($CH$8-0.0001)/2)^(CK34-1),0)</f>
        <v/>
      </c>
      <c r="CO34" s="49">
        <f>IF(AND($CI34&gt;0,CH34&gt;$CH$7),1,0)</f>
        <v/>
      </c>
      <c r="CP34" s="49">
        <f>IF(CO34=1,SUM($CO$15:CO34),"")</f>
        <v/>
      </c>
      <c r="CQ34" s="51">
        <f>IF(CO34=1,$CI34/(1+$CH$104/2)^(CP34-1),0)</f>
        <v/>
      </c>
      <c r="CR34" s="51">
        <f>IF(CO34=1,$CI34/(1+($CH$104+0.0001)/2)^(CP34-1),0)</f>
        <v/>
      </c>
      <c r="CS34" s="51">
        <f>IF(CO34=1,$CI34/(1+($CH$104-0.0001)/2)^(CP34-1),0)</f>
        <v/>
      </c>
      <c r="CT34" s="51">
        <f>IF(CO34=1,$CI34/(1+$CH$109/2)^(CP34-1),0)</f>
        <v/>
      </c>
      <c r="CU34" s="51">
        <f>IF(CO34=1,$CI34/(1+$CH$111/2)^(CP34-1),0)</f>
        <v/>
      </c>
      <c r="CV34" s="51">
        <f>IF(CO34=1,$CI34/(1+($CH$111+0.0001)/2)^(CP34-1),0)</f>
        <v/>
      </c>
      <c r="CW34" s="51">
        <f>IF(CO34=1,$CI34/(1+($CH$111-0.0001)/2)^(CP34-1),0)</f>
        <v/>
      </c>
      <c r="CX34" s="51">
        <f>IF(AND($CI34&gt;0,CH34&gt;$CH$6,CH34&lt;=$CH$7),$CI34*(1+$CH$10*($CH$7-CH34)/365),0)</f>
        <v/>
      </c>
      <c r="CY34" s="51">
        <f>IF(CO34=1,$CI34/(1+($CH$111+손익!$B$24/10000)/2)^(CP34-1),0)</f>
        <v/>
      </c>
      <c r="CZ34" s="51">
        <f>IF(CO34=1,$CI34/(1+($CH$111+시나리오!$A$4/10000)/2)^(CP34-1),0)</f>
        <v/>
      </c>
      <c r="DA34" s="51">
        <f>IF(CO34=1,$CI34/(1+($CH$111+시나리오!$A$5/10000)/2)^(CP34-1),0)</f>
        <v/>
      </c>
      <c r="DB34" s="51">
        <f>IF(CO34=1,$CI34/(1+($CH$111+시나리오!$A$6/10000)/2)^(CP34-1),0)</f>
        <v/>
      </c>
      <c r="DC34" s="51">
        <f>IF(CO34=1,$CI34/(1+($CH$111+시나리오!$A$7/10000)/2)^(CP34-1),0)</f>
        <v/>
      </c>
      <c r="DD34" s="51">
        <f>IF(CO34=1,$CI34/(1+($CH$111+시나리오!$A$8/10000)/2)^(CP34-1),0)</f>
        <v/>
      </c>
      <c r="DE34" s="51">
        <f>IF(CO34=1,$CI34/(1+($CH$111+시나리오!$A$9/10000)/2)^(CP34-1),0)</f>
        <v/>
      </c>
      <c r="DF34" s="51">
        <f>IF(CO34=1,$CI34/(1+($CH$111+시나리오!$A$10/10000)/2)^(CP34-1),0)</f>
        <v/>
      </c>
      <c r="DG34" s="51">
        <f>IF(CO34=1,$CI34/(1+($CH$111+시나리오!$A$11/10000)/2)^(CP34-1),0)</f>
        <v/>
      </c>
      <c r="DH34" s="51">
        <f>IF(CO34=1,$CI34/(1+($CH$111+시나리오!$A$12/10000)/2)^(CP34-1),0)</f>
        <v/>
      </c>
      <c r="DI34" s="51">
        <f>IF(CO34=1,$CI34/(1+($CH$111+시나리오!$A$13/10000)/2)^(CP34-1),0)</f>
        <v/>
      </c>
      <c r="DJ34" s="51">
        <f>IF(CO34=1,$CI34/(1+($CH$111+시나리오!$A$14/10000)/2)^(CP34-1),0)</f>
        <v/>
      </c>
      <c r="DK34" s="51">
        <f>IF(CO34=1,$CI34/(1+($CH$111+시나리오!$A$15/10000)/2)^(CP34-1),0)</f>
        <v/>
      </c>
      <c r="DL34" s="51">
        <f>IF(CO34=1,$CI34/(1+($CH$111+시나리오!$A$16/10000)/2)^(CP34-1),0)</f>
        <v/>
      </c>
      <c r="DM34" s="51">
        <f>IF(CO34=1,$CI34/(1+($CH$111+시나리오!$A$17/10000)/2)^(CP34-1),0)</f>
        <v/>
      </c>
      <c r="DN34" s="51">
        <f>IF(CO34=1,$CI34/(1+($CH$111+시나리오!$A$18/10000)/2)^(CP34-1),0)</f>
        <v/>
      </c>
      <c r="DO34" s="51">
        <f>IF(CO34=1,$CI34/(1+($CH$111+시나리오!$A$19/10000)/2)^(CP34-1),0)</f>
        <v/>
      </c>
      <c r="DP34" s="51">
        <f>IF(CO34=1,$CI34/(1+($CH$111+시나리오!$A$20/10000)/2)^(CP34-1),0)</f>
        <v/>
      </c>
      <c r="DQ34" s="51">
        <f>IF(CO34=1,$CI34/(1+($CH$111+시나리오!$A$21/10000)/2)^(CP34-1),0)</f>
        <v/>
      </c>
      <c r="DR34" s="51">
        <f>IF(CO34=1,$CI34/(1+($CH$111+시나리오!$A$22/10000)/2)^(CP34-1),0)</f>
        <v/>
      </c>
      <c r="DS34" s="51">
        <f>IF(CO34=1,$CI34/(1+($CH$111+시나리오!$A$23/10000)/2)^(CP34-1),0)</f>
        <v/>
      </c>
      <c r="DT34" s="51">
        <f>IF(CO34=1,$CI34/(1+($CH$111+시나리오!$A$24/10000)/2)^(CP34-1),0)</f>
        <v/>
      </c>
    </row>
    <row r="35">
      <c r="A35" s="49" t="n">
        <v>21</v>
      </c>
      <c r="B35" s="50">
        <f>EDATE($B$2,-6*(62-$A35))</f>
        <v/>
      </c>
      <c r="C35" s="51">
        <f>IF(AND(B35&gt;$B$3,B35&lt;=$B$2),IF(B35=$B$2,$B$5+100,$B$5),0)</f>
        <v/>
      </c>
      <c r="D35" s="49">
        <f>IF(AND($C35&gt;0,B35&gt;$B$6),1,0)</f>
        <v/>
      </c>
      <c r="E35" s="49">
        <f>IF(D35=1,SUM($D$15:D35),"")</f>
        <v/>
      </c>
      <c r="F35" s="51">
        <f>IF(D35=1,$C35/(1+$B$8/2)^(E35-1),0)</f>
        <v/>
      </c>
      <c r="G35" s="51">
        <f>IF(D35=1,$C35/(1+($B$8+0.0001)/2)^(E35-1),0)</f>
        <v/>
      </c>
      <c r="H35" s="51">
        <f>IF(D35=1,$C35/(1+($B$8-0.0001)/2)^(E35-1),0)</f>
        <v/>
      </c>
      <c r="I35" s="49">
        <f>IF(AND($C35&gt;0,B35&gt;$B$7),1,0)</f>
        <v/>
      </c>
      <c r="J35" s="49">
        <f>IF(I35=1,SUM($I$15:I35),"")</f>
        <v/>
      </c>
      <c r="K35" s="51">
        <f>IF(I35=1,$C35/(1+$B$104/2)^(J35-1),0)</f>
        <v/>
      </c>
      <c r="L35" s="51">
        <f>IF(I35=1,$C35/(1+($B$104+0.0001)/2)^(J35-1),0)</f>
        <v/>
      </c>
      <c r="M35" s="51">
        <f>IF(I35=1,$C35/(1+($B$104-0.0001)/2)^(J35-1),0)</f>
        <v/>
      </c>
      <c r="N35" s="51">
        <f>IF(I35=1,$C35/(1+$B$109/2)^(J35-1),0)</f>
        <v/>
      </c>
      <c r="O35" s="51">
        <f>IF(I35=1,$C35/(1+$B$111/2)^(J35-1),0)</f>
        <v/>
      </c>
      <c r="P35" s="51">
        <f>IF(I35=1,$C35/(1+($B$111+0.0001)/2)^(J35-1),0)</f>
        <v/>
      </c>
      <c r="Q35" s="51">
        <f>IF(I35=1,$C35/(1+($B$111-0.0001)/2)^(J35-1),0)</f>
        <v/>
      </c>
      <c r="R35" s="51">
        <f>IF(AND($C35&gt;0,B35&gt;$B$6,B35&lt;=$B$7),$C35*(1+$B$10*($B$7-B35)/365),0)</f>
        <v/>
      </c>
      <c r="S35" s="51">
        <f>IF(I35=1,$C35/(1+($B$111+손익!$B$24/10000)/2)^(J35-1),0)</f>
        <v/>
      </c>
      <c r="T35" s="51">
        <f>IF(I35=1,$C35/(1+($B$111+시나리오!$A$4/10000)/2)^(J35-1),0)</f>
        <v/>
      </c>
      <c r="U35" s="51">
        <f>IF(I35=1,$C35/(1+($B$111+시나리오!$A$5/10000)/2)^(J35-1),0)</f>
        <v/>
      </c>
      <c r="V35" s="51">
        <f>IF(I35=1,$C35/(1+($B$111+시나리오!$A$6/10000)/2)^(J35-1),0)</f>
        <v/>
      </c>
      <c r="W35" s="51">
        <f>IF(I35=1,$C35/(1+($B$111+시나리오!$A$7/10000)/2)^(J35-1),0)</f>
        <v/>
      </c>
      <c r="X35" s="51">
        <f>IF(I35=1,$C35/(1+($B$111+시나리오!$A$8/10000)/2)^(J35-1),0)</f>
        <v/>
      </c>
      <c r="Y35" s="51">
        <f>IF(I35=1,$C35/(1+($B$111+시나리오!$A$9/10000)/2)^(J35-1),0)</f>
        <v/>
      </c>
      <c r="Z35" s="51">
        <f>IF(I35=1,$C35/(1+($B$111+시나리오!$A$10/10000)/2)^(J35-1),0)</f>
        <v/>
      </c>
      <c r="AA35" s="51">
        <f>IF(I35=1,$C35/(1+($B$111+시나리오!$A$11/10000)/2)^(J35-1),0)</f>
        <v/>
      </c>
      <c r="AB35" s="51">
        <f>IF(I35=1,$C35/(1+($B$111+시나리오!$A$12/10000)/2)^(J35-1),0)</f>
        <v/>
      </c>
      <c r="AC35" s="51">
        <f>IF(I35=1,$C35/(1+($B$111+시나리오!$A$13/10000)/2)^(J35-1),0)</f>
        <v/>
      </c>
      <c r="AD35" s="51">
        <f>IF(I35=1,$C35/(1+($B$111+시나리오!$A$14/10000)/2)^(J35-1),0)</f>
        <v/>
      </c>
      <c r="AE35" s="51">
        <f>IF(I35=1,$C35/(1+($B$111+시나리오!$A$15/10000)/2)^(J35-1),0)</f>
        <v/>
      </c>
      <c r="AF35" s="51">
        <f>IF(I35=1,$C35/(1+($B$111+시나리오!$A$16/10000)/2)^(J35-1),0)</f>
        <v/>
      </c>
      <c r="AG35" s="51">
        <f>IF(I35=1,$C35/(1+($B$111+시나리오!$A$17/10000)/2)^(J35-1),0)</f>
        <v/>
      </c>
      <c r="AH35" s="51">
        <f>IF(I35=1,$C35/(1+($B$111+시나리오!$A$18/10000)/2)^(J35-1),0)</f>
        <v/>
      </c>
      <c r="AI35" s="51">
        <f>IF(I35=1,$C35/(1+($B$111+시나리오!$A$19/10000)/2)^(J35-1),0)</f>
        <v/>
      </c>
      <c r="AJ35" s="51">
        <f>IF(I35=1,$C35/(1+($B$111+시나리오!$A$20/10000)/2)^(J35-1),0)</f>
        <v/>
      </c>
      <c r="AK35" s="51">
        <f>IF(I35=1,$C35/(1+($B$111+시나리오!$A$21/10000)/2)^(J35-1),0)</f>
        <v/>
      </c>
      <c r="AL35" s="51">
        <f>IF(I35=1,$C35/(1+($B$111+시나리오!$A$22/10000)/2)^(J35-1),0)</f>
        <v/>
      </c>
      <c r="AM35" s="51">
        <f>IF(I35=1,$C35/(1+($B$111+시나리오!$A$23/10000)/2)^(J35-1),0)</f>
        <v/>
      </c>
      <c r="AN35" s="51">
        <f>IF(I35=1,$C35/(1+($B$111+시나리오!$A$24/10000)/2)^(J35-1),0)</f>
        <v/>
      </c>
      <c r="AQ35" s="49" t="n">
        <v>21</v>
      </c>
      <c r="AR35" s="50">
        <f>EDATE($AR$2,-6*(62-$AQ35))</f>
        <v/>
      </c>
      <c r="AS35" s="51">
        <f>IF(AND(AR35&gt;$AR$3,AR35&lt;=$AR$2),IF(AR35=$AR$2,$AR$5+100,$AR$5),0)</f>
        <v/>
      </c>
      <c r="AT35" s="49">
        <f>IF(AND($AS35&gt;0,AR35&gt;$AR$6),1,0)</f>
        <v/>
      </c>
      <c r="AU35" s="49">
        <f>IF(AT35=1,SUM($AT$15:AT35),"")</f>
        <v/>
      </c>
      <c r="AV35" s="51">
        <f>IF(AT35=1,$AS35/(1+$AR$8/2)^(AU35-1),0)</f>
        <v/>
      </c>
      <c r="AW35" s="51">
        <f>IF(AT35=1,$AS35/(1+($AR$8+0.0001)/2)^(AU35-1),0)</f>
        <v/>
      </c>
      <c r="AX35" s="51">
        <f>IF(AT35=1,$AS35/(1+($AR$8-0.0001)/2)^(AU35-1),0)</f>
        <v/>
      </c>
      <c r="AY35" s="49">
        <f>IF(AND($AS35&gt;0,AR35&gt;$AR$7),1,0)</f>
        <v/>
      </c>
      <c r="AZ35" s="49">
        <f>IF(AY35=1,SUM($AY$15:AY35),"")</f>
        <v/>
      </c>
      <c r="BA35" s="51">
        <f>IF(AY35=1,$AS35/(1+$AR$104/2)^(AZ35-1),0)</f>
        <v/>
      </c>
      <c r="BB35" s="51">
        <f>IF(AY35=1,$AS35/(1+($AR$104+0.0001)/2)^(AZ35-1),0)</f>
        <v/>
      </c>
      <c r="BC35" s="51">
        <f>IF(AY35=1,$AS35/(1+($AR$104-0.0001)/2)^(AZ35-1),0)</f>
        <v/>
      </c>
      <c r="BD35" s="51">
        <f>IF(AY35=1,$AS35/(1+$AR$109/2)^(AZ35-1),0)</f>
        <v/>
      </c>
      <c r="BE35" s="51">
        <f>IF(AY35=1,$AS35/(1+$AR$111/2)^(AZ35-1),0)</f>
        <v/>
      </c>
      <c r="BF35" s="51">
        <f>IF(AY35=1,$AS35/(1+($AR$111+0.0001)/2)^(AZ35-1),0)</f>
        <v/>
      </c>
      <c r="BG35" s="51">
        <f>IF(AY35=1,$AS35/(1+($AR$111-0.0001)/2)^(AZ35-1),0)</f>
        <v/>
      </c>
      <c r="BH35" s="51">
        <f>IF(AND($AS35&gt;0,AR35&gt;$AR$6,AR35&lt;=$AR$7),$AS35*(1+$AR$10*($AR$7-AR35)/365),0)</f>
        <v/>
      </c>
      <c r="BI35" s="51">
        <f>IF(AY35=1,$AS35/(1+($AR$111+손익!$B$24/10000)/2)^(AZ35-1),0)</f>
        <v/>
      </c>
      <c r="BJ35" s="51">
        <f>IF(AY35=1,$AS35/(1+($AR$111+시나리오!$A$4/10000)/2)^(AZ35-1),0)</f>
        <v/>
      </c>
      <c r="BK35" s="51">
        <f>IF(AY35=1,$AS35/(1+($AR$111+시나리오!$A$5/10000)/2)^(AZ35-1),0)</f>
        <v/>
      </c>
      <c r="BL35" s="51">
        <f>IF(AY35=1,$AS35/(1+($AR$111+시나리오!$A$6/10000)/2)^(AZ35-1),0)</f>
        <v/>
      </c>
      <c r="BM35" s="51">
        <f>IF(AY35=1,$AS35/(1+($AR$111+시나리오!$A$7/10000)/2)^(AZ35-1),0)</f>
        <v/>
      </c>
      <c r="BN35" s="51">
        <f>IF(AY35=1,$AS35/(1+($AR$111+시나리오!$A$8/10000)/2)^(AZ35-1),0)</f>
        <v/>
      </c>
      <c r="BO35" s="51">
        <f>IF(AY35=1,$AS35/(1+($AR$111+시나리오!$A$9/10000)/2)^(AZ35-1),0)</f>
        <v/>
      </c>
      <c r="BP35" s="51">
        <f>IF(AY35=1,$AS35/(1+($AR$111+시나리오!$A$10/10000)/2)^(AZ35-1),0)</f>
        <v/>
      </c>
      <c r="BQ35" s="51">
        <f>IF(AY35=1,$AS35/(1+($AR$111+시나리오!$A$11/10000)/2)^(AZ35-1),0)</f>
        <v/>
      </c>
      <c r="BR35" s="51">
        <f>IF(AY35=1,$AS35/(1+($AR$111+시나리오!$A$12/10000)/2)^(AZ35-1),0)</f>
        <v/>
      </c>
      <c r="BS35" s="51">
        <f>IF(AY35=1,$AS35/(1+($AR$111+시나리오!$A$13/10000)/2)^(AZ35-1),0)</f>
        <v/>
      </c>
      <c r="BT35" s="51">
        <f>IF(AY35=1,$AS35/(1+($AR$111+시나리오!$A$14/10000)/2)^(AZ35-1),0)</f>
        <v/>
      </c>
      <c r="BU35" s="51">
        <f>IF(AY35=1,$AS35/(1+($AR$111+시나리오!$A$15/10000)/2)^(AZ35-1),0)</f>
        <v/>
      </c>
      <c r="BV35" s="51">
        <f>IF(AY35=1,$AS35/(1+($AR$111+시나리오!$A$16/10000)/2)^(AZ35-1),0)</f>
        <v/>
      </c>
      <c r="BW35" s="51">
        <f>IF(AY35=1,$AS35/(1+($AR$111+시나리오!$A$17/10000)/2)^(AZ35-1),0)</f>
        <v/>
      </c>
      <c r="BX35" s="51">
        <f>IF(AY35=1,$AS35/(1+($AR$111+시나리오!$A$18/10000)/2)^(AZ35-1),0)</f>
        <v/>
      </c>
      <c r="BY35" s="51">
        <f>IF(AY35=1,$AS35/(1+($AR$111+시나리오!$A$19/10000)/2)^(AZ35-1),0)</f>
        <v/>
      </c>
      <c r="BZ35" s="51">
        <f>IF(AY35=1,$AS35/(1+($AR$111+시나리오!$A$20/10000)/2)^(AZ35-1),0)</f>
        <v/>
      </c>
      <c r="CA35" s="51">
        <f>IF(AY35=1,$AS35/(1+($AR$111+시나리오!$A$21/10000)/2)^(AZ35-1),0)</f>
        <v/>
      </c>
      <c r="CB35" s="51">
        <f>IF(AY35=1,$AS35/(1+($AR$111+시나리오!$A$22/10000)/2)^(AZ35-1),0)</f>
        <v/>
      </c>
      <c r="CC35" s="51">
        <f>IF(AY35=1,$AS35/(1+($AR$111+시나리오!$A$23/10000)/2)^(AZ35-1),0)</f>
        <v/>
      </c>
      <c r="CD35" s="51">
        <f>IF(AY35=1,$AS35/(1+($AR$111+시나리오!$A$24/10000)/2)^(AZ35-1),0)</f>
        <v/>
      </c>
      <c r="CG35" s="49" t="n">
        <v>21</v>
      </c>
      <c r="CH35" s="50">
        <f>EDATE($CH$2,-6*(62-$CG35))</f>
        <v/>
      </c>
      <c r="CI35" s="51">
        <f>IF(AND(CH35&gt;$CH$3,CH35&lt;=$CH$2),IF(CH35=$CH$2,$CH$5+100,$CH$5),0)</f>
        <v/>
      </c>
      <c r="CJ35" s="49">
        <f>IF(AND($CI35&gt;0,CH35&gt;$CH$6),1,0)</f>
        <v/>
      </c>
      <c r="CK35" s="49">
        <f>IF(CJ35=1,SUM($CJ$15:CJ35),"")</f>
        <v/>
      </c>
      <c r="CL35" s="51">
        <f>IF(CJ35=1,$CI35/(1+$CH$8/2)^(CK35-1),0)</f>
        <v/>
      </c>
      <c r="CM35" s="51">
        <f>IF(CJ35=1,$CI35/(1+($CH$8+0.0001)/2)^(CK35-1),0)</f>
        <v/>
      </c>
      <c r="CN35" s="51">
        <f>IF(CJ35=1,$CI35/(1+($CH$8-0.0001)/2)^(CK35-1),0)</f>
        <v/>
      </c>
      <c r="CO35" s="49">
        <f>IF(AND($CI35&gt;0,CH35&gt;$CH$7),1,0)</f>
        <v/>
      </c>
      <c r="CP35" s="49">
        <f>IF(CO35=1,SUM($CO$15:CO35),"")</f>
        <v/>
      </c>
      <c r="CQ35" s="51">
        <f>IF(CO35=1,$CI35/(1+$CH$104/2)^(CP35-1),0)</f>
        <v/>
      </c>
      <c r="CR35" s="51">
        <f>IF(CO35=1,$CI35/(1+($CH$104+0.0001)/2)^(CP35-1),0)</f>
        <v/>
      </c>
      <c r="CS35" s="51">
        <f>IF(CO35=1,$CI35/(1+($CH$104-0.0001)/2)^(CP35-1),0)</f>
        <v/>
      </c>
      <c r="CT35" s="51">
        <f>IF(CO35=1,$CI35/(1+$CH$109/2)^(CP35-1),0)</f>
        <v/>
      </c>
      <c r="CU35" s="51">
        <f>IF(CO35=1,$CI35/(1+$CH$111/2)^(CP35-1),0)</f>
        <v/>
      </c>
      <c r="CV35" s="51">
        <f>IF(CO35=1,$CI35/(1+($CH$111+0.0001)/2)^(CP35-1),0)</f>
        <v/>
      </c>
      <c r="CW35" s="51">
        <f>IF(CO35=1,$CI35/(1+($CH$111-0.0001)/2)^(CP35-1),0)</f>
        <v/>
      </c>
      <c r="CX35" s="51">
        <f>IF(AND($CI35&gt;0,CH35&gt;$CH$6,CH35&lt;=$CH$7),$CI35*(1+$CH$10*($CH$7-CH35)/365),0)</f>
        <v/>
      </c>
      <c r="CY35" s="51">
        <f>IF(CO35=1,$CI35/(1+($CH$111+손익!$B$24/10000)/2)^(CP35-1),0)</f>
        <v/>
      </c>
      <c r="CZ35" s="51">
        <f>IF(CO35=1,$CI35/(1+($CH$111+시나리오!$A$4/10000)/2)^(CP35-1),0)</f>
        <v/>
      </c>
      <c r="DA35" s="51">
        <f>IF(CO35=1,$CI35/(1+($CH$111+시나리오!$A$5/10000)/2)^(CP35-1),0)</f>
        <v/>
      </c>
      <c r="DB35" s="51">
        <f>IF(CO35=1,$CI35/(1+($CH$111+시나리오!$A$6/10000)/2)^(CP35-1),0)</f>
        <v/>
      </c>
      <c r="DC35" s="51">
        <f>IF(CO35=1,$CI35/(1+($CH$111+시나리오!$A$7/10000)/2)^(CP35-1),0)</f>
        <v/>
      </c>
      <c r="DD35" s="51">
        <f>IF(CO35=1,$CI35/(1+($CH$111+시나리오!$A$8/10000)/2)^(CP35-1),0)</f>
        <v/>
      </c>
      <c r="DE35" s="51">
        <f>IF(CO35=1,$CI35/(1+($CH$111+시나리오!$A$9/10000)/2)^(CP35-1),0)</f>
        <v/>
      </c>
      <c r="DF35" s="51">
        <f>IF(CO35=1,$CI35/(1+($CH$111+시나리오!$A$10/10000)/2)^(CP35-1),0)</f>
        <v/>
      </c>
      <c r="DG35" s="51">
        <f>IF(CO35=1,$CI35/(1+($CH$111+시나리오!$A$11/10000)/2)^(CP35-1),0)</f>
        <v/>
      </c>
      <c r="DH35" s="51">
        <f>IF(CO35=1,$CI35/(1+($CH$111+시나리오!$A$12/10000)/2)^(CP35-1),0)</f>
        <v/>
      </c>
      <c r="DI35" s="51">
        <f>IF(CO35=1,$CI35/(1+($CH$111+시나리오!$A$13/10000)/2)^(CP35-1),0)</f>
        <v/>
      </c>
      <c r="DJ35" s="51">
        <f>IF(CO35=1,$CI35/(1+($CH$111+시나리오!$A$14/10000)/2)^(CP35-1),0)</f>
        <v/>
      </c>
      <c r="DK35" s="51">
        <f>IF(CO35=1,$CI35/(1+($CH$111+시나리오!$A$15/10000)/2)^(CP35-1),0)</f>
        <v/>
      </c>
      <c r="DL35" s="51">
        <f>IF(CO35=1,$CI35/(1+($CH$111+시나리오!$A$16/10000)/2)^(CP35-1),0)</f>
        <v/>
      </c>
      <c r="DM35" s="51">
        <f>IF(CO35=1,$CI35/(1+($CH$111+시나리오!$A$17/10000)/2)^(CP35-1),0)</f>
        <v/>
      </c>
      <c r="DN35" s="51">
        <f>IF(CO35=1,$CI35/(1+($CH$111+시나리오!$A$18/10000)/2)^(CP35-1),0)</f>
        <v/>
      </c>
      <c r="DO35" s="51">
        <f>IF(CO35=1,$CI35/(1+($CH$111+시나리오!$A$19/10000)/2)^(CP35-1),0)</f>
        <v/>
      </c>
      <c r="DP35" s="51">
        <f>IF(CO35=1,$CI35/(1+($CH$111+시나리오!$A$20/10000)/2)^(CP35-1),0)</f>
        <v/>
      </c>
      <c r="DQ35" s="51">
        <f>IF(CO35=1,$CI35/(1+($CH$111+시나리오!$A$21/10000)/2)^(CP35-1),0)</f>
        <v/>
      </c>
      <c r="DR35" s="51">
        <f>IF(CO35=1,$CI35/(1+($CH$111+시나리오!$A$22/10000)/2)^(CP35-1),0)</f>
        <v/>
      </c>
      <c r="DS35" s="51">
        <f>IF(CO35=1,$CI35/(1+($CH$111+시나리오!$A$23/10000)/2)^(CP35-1),0)</f>
        <v/>
      </c>
      <c r="DT35" s="51">
        <f>IF(CO35=1,$CI35/(1+($CH$111+시나리오!$A$24/10000)/2)^(CP35-1),0)</f>
        <v/>
      </c>
    </row>
    <row r="36">
      <c r="A36" s="49" t="n">
        <v>22</v>
      </c>
      <c r="B36" s="50">
        <f>EDATE($B$2,-6*(62-$A36))</f>
        <v/>
      </c>
      <c r="C36" s="51">
        <f>IF(AND(B36&gt;$B$3,B36&lt;=$B$2),IF(B36=$B$2,$B$5+100,$B$5),0)</f>
        <v/>
      </c>
      <c r="D36" s="49">
        <f>IF(AND($C36&gt;0,B36&gt;$B$6),1,0)</f>
        <v/>
      </c>
      <c r="E36" s="49">
        <f>IF(D36=1,SUM($D$15:D36),"")</f>
        <v/>
      </c>
      <c r="F36" s="51">
        <f>IF(D36=1,$C36/(1+$B$8/2)^(E36-1),0)</f>
        <v/>
      </c>
      <c r="G36" s="51">
        <f>IF(D36=1,$C36/(1+($B$8+0.0001)/2)^(E36-1),0)</f>
        <v/>
      </c>
      <c r="H36" s="51">
        <f>IF(D36=1,$C36/(1+($B$8-0.0001)/2)^(E36-1),0)</f>
        <v/>
      </c>
      <c r="I36" s="49">
        <f>IF(AND($C36&gt;0,B36&gt;$B$7),1,0)</f>
        <v/>
      </c>
      <c r="J36" s="49">
        <f>IF(I36=1,SUM($I$15:I36),"")</f>
        <v/>
      </c>
      <c r="K36" s="51">
        <f>IF(I36=1,$C36/(1+$B$104/2)^(J36-1),0)</f>
        <v/>
      </c>
      <c r="L36" s="51">
        <f>IF(I36=1,$C36/(1+($B$104+0.0001)/2)^(J36-1),0)</f>
        <v/>
      </c>
      <c r="M36" s="51">
        <f>IF(I36=1,$C36/(1+($B$104-0.0001)/2)^(J36-1),0)</f>
        <v/>
      </c>
      <c r="N36" s="51">
        <f>IF(I36=1,$C36/(1+$B$109/2)^(J36-1),0)</f>
        <v/>
      </c>
      <c r="O36" s="51">
        <f>IF(I36=1,$C36/(1+$B$111/2)^(J36-1),0)</f>
        <v/>
      </c>
      <c r="P36" s="51">
        <f>IF(I36=1,$C36/(1+($B$111+0.0001)/2)^(J36-1),0)</f>
        <v/>
      </c>
      <c r="Q36" s="51">
        <f>IF(I36=1,$C36/(1+($B$111-0.0001)/2)^(J36-1),0)</f>
        <v/>
      </c>
      <c r="R36" s="51">
        <f>IF(AND($C36&gt;0,B36&gt;$B$6,B36&lt;=$B$7),$C36*(1+$B$10*($B$7-B36)/365),0)</f>
        <v/>
      </c>
      <c r="S36" s="51">
        <f>IF(I36=1,$C36/(1+($B$111+손익!$B$24/10000)/2)^(J36-1),0)</f>
        <v/>
      </c>
      <c r="T36" s="51">
        <f>IF(I36=1,$C36/(1+($B$111+시나리오!$A$4/10000)/2)^(J36-1),0)</f>
        <v/>
      </c>
      <c r="U36" s="51">
        <f>IF(I36=1,$C36/(1+($B$111+시나리오!$A$5/10000)/2)^(J36-1),0)</f>
        <v/>
      </c>
      <c r="V36" s="51">
        <f>IF(I36=1,$C36/(1+($B$111+시나리오!$A$6/10000)/2)^(J36-1),0)</f>
        <v/>
      </c>
      <c r="W36" s="51">
        <f>IF(I36=1,$C36/(1+($B$111+시나리오!$A$7/10000)/2)^(J36-1),0)</f>
        <v/>
      </c>
      <c r="X36" s="51">
        <f>IF(I36=1,$C36/(1+($B$111+시나리오!$A$8/10000)/2)^(J36-1),0)</f>
        <v/>
      </c>
      <c r="Y36" s="51">
        <f>IF(I36=1,$C36/(1+($B$111+시나리오!$A$9/10000)/2)^(J36-1),0)</f>
        <v/>
      </c>
      <c r="Z36" s="51">
        <f>IF(I36=1,$C36/(1+($B$111+시나리오!$A$10/10000)/2)^(J36-1),0)</f>
        <v/>
      </c>
      <c r="AA36" s="51">
        <f>IF(I36=1,$C36/(1+($B$111+시나리오!$A$11/10000)/2)^(J36-1),0)</f>
        <v/>
      </c>
      <c r="AB36" s="51">
        <f>IF(I36=1,$C36/(1+($B$111+시나리오!$A$12/10000)/2)^(J36-1),0)</f>
        <v/>
      </c>
      <c r="AC36" s="51">
        <f>IF(I36=1,$C36/(1+($B$111+시나리오!$A$13/10000)/2)^(J36-1),0)</f>
        <v/>
      </c>
      <c r="AD36" s="51">
        <f>IF(I36=1,$C36/(1+($B$111+시나리오!$A$14/10000)/2)^(J36-1),0)</f>
        <v/>
      </c>
      <c r="AE36" s="51">
        <f>IF(I36=1,$C36/(1+($B$111+시나리오!$A$15/10000)/2)^(J36-1),0)</f>
        <v/>
      </c>
      <c r="AF36" s="51">
        <f>IF(I36=1,$C36/(1+($B$111+시나리오!$A$16/10000)/2)^(J36-1),0)</f>
        <v/>
      </c>
      <c r="AG36" s="51">
        <f>IF(I36=1,$C36/(1+($B$111+시나리오!$A$17/10000)/2)^(J36-1),0)</f>
        <v/>
      </c>
      <c r="AH36" s="51">
        <f>IF(I36=1,$C36/(1+($B$111+시나리오!$A$18/10000)/2)^(J36-1),0)</f>
        <v/>
      </c>
      <c r="AI36" s="51">
        <f>IF(I36=1,$C36/(1+($B$111+시나리오!$A$19/10000)/2)^(J36-1),0)</f>
        <v/>
      </c>
      <c r="AJ36" s="51">
        <f>IF(I36=1,$C36/(1+($B$111+시나리오!$A$20/10000)/2)^(J36-1),0)</f>
        <v/>
      </c>
      <c r="AK36" s="51">
        <f>IF(I36=1,$C36/(1+($B$111+시나리오!$A$21/10000)/2)^(J36-1),0)</f>
        <v/>
      </c>
      <c r="AL36" s="51">
        <f>IF(I36=1,$C36/(1+($B$111+시나리오!$A$22/10000)/2)^(J36-1),0)</f>
        <v/>
      </c>
      <c r="AM36" s="51">
        <f>IF(I36=1,$C36/(1+($B$111+시나리오!$A$23/10000)/2)^(J36-1),0)</f>
        <v/>
      </c>
      <c r="AN36" s="51">
        <f>IF(I36=1,$C36/(1+($B$111+시나리오!$A$24/10000)/2)^(J36-1),0)</f>
        <v/>
      </c>
      <c r="AQ36" s="49" t="n">
        <v>22</v>
      </c>
      <c r="AR36" s="50">
        <f>EDATE($AR$2,-6*(62-$AQ36))</f>
        <v/>
      </c>
      <c r="AS36" s="51">
        <f>IF(AND(AR36&gt;$AR$3,AR36&lt;=$AR$2),IF(AR36=$AR$2,$AR$5+100,$AR$5),0)</f>
        <v/>
      </c>
      <c r="AT36" s="49">
        <f>IF(AND($AS36&gt;0,AR36&gt;$AR$6),1,0)</f>
        <v/>
      </c>
      <c r="AU36" s="49">
        <f>IF(AT36=1,SUM($AT$15:AT36),"")</f>
        <v/>
      </c>
      <c r="AV36" s="51">
        <f>IF(AT36=1,$AS36/(1+$AR$8/2)^(AU36-1),0)</f>
        <v/>
      </c>
      <c r="AW36" s="51">
        <f>IF(AT36=1,$AS36/(1+($AR$8+0.0001)/2)^(AU36-1),0)</f>
        <v/>
      </c>
      <c r="AX36" s="51">
        <f>IF(AT36=1,$AS36/(1+($AR$8-0.0001)/2)^(AU36-1),0)</f>
        <v/>
      </c>
      <c r="AY36" s="49">
        <f>IF(AND($AS36&gt;0,AR36&gt;$AR$7),1,0)</f>
        <v/>
      </c>
      <c r="AZ36" s="49">
        <f>IF(AY36=1,SUM($AY$15:AY36),"")</f>
        <v/>
      </c>
      <c r="BA36" s="51">
        <f>IF(AY36=1,$AS36/(1+$AR$104/2)^(AZ36-1),0)</f>
        <v/>
      </c>
      <c r="BB36" s="51">
        <f>IF(AY36=1,$AS36/(1+($AR$104+0.0001)/2)^(AZ36-1),0)</f>
        <v/>
      </c>
      <c r="BC36" s="51">
        <f>IF(AY36=1,$AS36/(1+($AR$104-0.0001)/2)^(AZ36-1),0)</f>
        <v/>
      </c>
      <c r="BD36" s="51">
        <f>IF(AY36=1,$AS36/(1+$AR$109/2)^(AZ36-1),0)</f>
        <v/>
      </c>
      <c r="BE36" s="51">
        <f>IF(AY36=1,$AS36/(1+$AR$111/2)^(AZ36-1),0)</f>
        <v/>
      </c>
      <c r="BF36" s="51">
        <f>IF(AY36=1,$AS36/(1+($AR$111+0.0001)/2)^(AZ36-1),0)</f>
        <v/>
      </c>
      <c r="BG36" s="51">
        <f>IF(AY36=1,$AS36/(1+($AR$111-0.0001)/2)^(AZ36-1),0)</f>
        <v/>
      </c>
      <c r="BH36" s="51">
        <f>IF(AND($AS36&gt;0,AR36&gt;$AR$6,AR36&lt;=$AR$7),$AS36*(1+$AR$10*($AR$7-AR36)/365),0)</f>
        <v/>
      </c>
      <c r="BI36" s="51">
        <f>IF(AY36=1,$AS36/(1+($AR$111+손익!$B$24/10000)/2)^(AZ36-1),0)</f>
        <v/>
      </c>
      <c r="BJ36" s="51">
        <f>IF(AY36=1,$AS36/(1+($AR$111+시나리오!$A$4/10000)/2)^(AZ36-1),0)</f>
        <v/>
      </c>
      <c r="BK36" s="51">
        <f>IF(AY36=1,$AS36/(1+($AR$111+시나리오!$A$5/10000)/2)^(AZ36-1),0)</f>
        <v/>
      </c>
      <c r="BL36" s="51">
        <f>IF(AY36=1,$AS36/(1+($AR$111+시나리오!$A$6/10000)/2)^(AZ36-1),0)</f>
        <v/>
      </c>
      <c r="BM36" s="51">
        <f>IF(AY36=1,$AS36/(1+($AR$111+시나리오!$A$7/10000)/2)^(AZ36-1),0)</f>
        <v/>
      </c>
      <c r="BN36" s="51">
        <f>IF(AY36=1,$AS36/(1+($AR$111+시나리오!$A$8/10000)/2)^(AZ36-1),0)</f>
        <v/>
      </c>
      <c r="BO36" s="51">
        <f>IF(AY36=1,$AS36/(1+($AR$111+시나리오!$A$9/10000)/2)^(AZ36-1),0)</f>
        <v/>
      </c>
      <c r="BP36" s="51">
        <f>IF(AY36=1,$AS36/(1+($AR$111+시나리오!$A$10/10000)/2)^(AZ36-1),0)</f>
        <v/>
      </c>
      <c r="BQ36" s="51">
        <f>IF(AY36=1,$AS36/(1+($AR$111+시나리오!$A$11/10000)/2)^(AZ36-1),0)</f>
        <v/>
      </c>
      <c r="BR36" s="51">
        <f>IF(AY36=1,$AS36/(1+($AR$111+시나리오!$A$12/10000)/2)^(AZ36-1),0)</f>
        <v/>
      </c>
      <c r="BS36" s="51">
        <f>IF(AY36=1,$AS36/(1+($AR$111+시나리오!$A$13/10000)/2)^(AZ36-1),0)</f>
        <v/>
      </c>
      <c r="BT36" s="51">
        <f>IF(AY36=1,$AS36/(1+($AR$111+시나리오!$A$14/10000)/2)^(AZ36-1),0)</f>
        <v/>
      </c>
      <c r="BU36" s="51">
        <f>IF(AY36=1,$AS36/(1+($AR$111+시나리오!$A$15/10000)/2)^(AZ36-1),0)</f>
        <v/>
      </c>
      <c r="BV36" s="51">
        <f>IF(AY36=1,$AS36/(1+($AR$111+시나리오!$A$16/10000)/2)^(AZ36-1),0)</f>
        <v/>
      </c>
      <c r="BW36" s="51">
        <f>IF(AY36=1,$AS36/(1+($AR$111+시나리오!$A$17/10000)/2)^(AZ36-1),0)</f>
        <v/>
      </c>
      <c r="BX36" s="51">
        <f>IF(AY36=1,$AS36/(1+($AR$111+시나리오!$A$18/10000)/2)^(AZ36-1),0)</f>
        <v/>
      </c>
      <c r="BY36" s="51">
        <f>IF(AY36=1,$AS36/(1+($AR$111+시나리오!$A$19/10000)/2)^(AZ36-1),0)</f>
        <v/>
      </c>
      <c r="BZ36" s="51">
        <f>IF(AY36=1,$AS36/(1+($AR$111+시나리오!$A$20/10000)/2)^(AZ36-1),0)</f>
        <v/>
      </c>
      <c r="CA36" s="51">
        <f>IF(AY36=1,$AS36/(1+($AR$111+시나리오!$A$21/10000)/2)^(AZ36-1),0)</f>
        <v/>
      </c>
      <c r="CB36" s="51">
        <f>IF(AY36=1,$AS36/(1+($AR$111+시나리오!$A$22/10000)/2)^(AZ36-1),0)</f>
        <v/>
      </c>
      <c r="CC36" s="51">
        <f>IF(AY36=1,$AS36/(1+($AR$111+시나리오!$A$23/10000)/2)^(AZ36-1),0)</f>
        <v/>
      </c>
      <c r="CD36" s="51">
        <f>IF(AY36=1,$AS36/(1+($AR$111+시나리오!$A$24/10000)/2)^(AZ36-1),0)</f>
        <v/>
      </c>
      <c r="CG36" s="49" t="n">
        <v>22</v>
      </c>
      <c r="CH36" s="50">
        <f>EDATE($CH$2,-6*(62-$CG36))</f>
        <v/>
      </c>
      <c r="CI36" s="51">
        <f>IF(AND(CH36&gt;$CH$3,CH36&lt;=$CH$2),IF(CH36=$CH$2,$CH$5+100,$CH$5),0)</f>
        <v/>
      </c>
      <c r="CJ36" s="49">
        <f>IF(AND($CI36&gt;0,CH36&gt;$CH$6),1,0)</f>
        <v/>
      </c>
      <c r="CK36" s="49">
        <f>IF(CJ36=1,SUM($CJ$15:CJ36),"")</f>
        <v/>
      </c>
      <c r="CL36" s="51">
        <f>IF(CJ36=1,$CI36/(1+$CH$8/2)^(CK36-1),0)</f>
        <v/>
      </c>
      <c r="CM36" s="51">
        <f>IF(CJ36=1,$CI36/(1+($CH$8+0.0001)/2)^(CK36-1),0)</f>
        <v/>
      </c>
      <c r="CN36" s="51">
        <f>IF(CJ36=1,$CI36/(1+($CH$8-0.0001)/2)^(CK36-1),0)</f>
        <v/>
      </c>
      <c r="CO36" s="49">
        <f>IF(AND($CI36&gt;0,CH36&gt;$CH$7),1,0)</f>
        <v/>
      </c>
      <c r="CP36" s="49">
        <f>IF(CO36=1,SUM($CO$15:CO36),"")</f>
        <v/>
      </c>
      <c r="CQ36" s="51">
        <f>IF(CO36=1,$CI36/(1+$CH$104/2)^(CP36-1),0)</f>
        <v/>
      </c>
      <c r="CR36" s="51">
        <f>IF(CO36=1,$CI36/(1+($CH$104+0.0001)/2)^(CP36-1),0)</f>
        <v/>
      </c>
      <c r="CS36" s="51">
        <f>IF(CO36=1,$CI36/(1+($CH$104-0.0001)/2)^(CP36-1),0)</f>
        <v/>
      </c>
      <c r="CT36" s="51">
        <f>IF(CO36=1,$CI36/(1+$CH$109/2)^(CP36-1),0)</f>
        <v/>
      </c>
      <c r="CU36" s="51">
        <f>IF(CO36=1,$CI36/(1+$CH$111/2)^(CP36-1),0)</f>
        <v/>
      </c>
      <c r="CV36" s="51">
        <f>IF(CO36=1,$CI36/(1+($CH$111+0.0001)/2)^(CP36-1),0)</f>
        <v/>
      </c>
      <c r="CW36" s="51">
        <f>IF(CO36=1,$CI36/(1+($CH$111-0.0001)/2)^(CP36-1),0)</f>
        <v/>
      </c>
      <c r="CX36" s="51">
        <f>IF(AND($CI36&gt;0,CH36&gt;$CH$6,CH36&lt;=$CH$7),$CI36*(1+$CH$10*($CH$7-CH36)/365),0)</f>
        <v/>
      </c>
      <c r="CY36" s="51">
        <f>IF(CO36=1,$CI36/(1+($CH$111+손익!$B$24/10000)/2)^(CP36-1),0)</f>
        <v/>
      </c>
      <c r="CZ36" s="51">
        <f>IF(CO36=1,$CI36/(1+($CH$111+시나리오!$A$4/10000)/2)^(CP36-1),0)</f>
        <v/>
      </c>
      <c r="DA36" s="51">
        <f>IF(CO36=1,$CI36/(1+($CH$111+시나리오!$A$5/10000)/2)^(CP36-1),0)</f>
        <v/>
      </c>
      <c r="DB36" s="51">
        <f>IF(CO36=1,$CI36/(1+($CH$111+시나리오!$A$6/10000)/2)^(CP36-1),0)</f>
        <v/>
      </c>
      <c r="DC36" s="51">
        <f>IF(CO36=1,$CI36/(1+($CH$111+시나리오!$A$7/10000)/2)^(CP36-1),0)</f>
        <v/>
      </c>
      <c r="DD36" s="51">
        <f>IF(CO36=1,$CI36/(1+($CH$111+시나리오!$A$8/10000)/2)^(CP36-1),0)</f>
        <v/>
      </c>
      <c r="DE36" s="51">
        <f>IF(CO36=1,$CI36/(1+($CH$111+시나리오!$A$9/10000)/2)^(CP36-1),0)</f>
        <v/>
      </c>
      <c r="DF36" s="51">
        <f>IF(CO36=1,$CI36/(1+($CH$111+시나리오!$A$10/10000)/2)^(CP36-1),0)</f>
        <v/>
      </c>
      <c r="DG36" s="51">
        <f>IF(CO36=1,$CI36/(1+($CH$111+시나리오!$A$11/10000)/2)^(CP36-1),0)</f>
        <v/>
      </c>
      <c r="DH36" s="51">
        <f>IF(CO36=1,$CI36/(1+($CH$111+시나리오!$A$12/10000)/2)^(CP36-1),0)</f>
        <v/>
      </c>
      <c r="DI36" s="51">
        <f>IF(CO36=1,$CI36/(1+($CH$111+시나리오!$A$13/10000)/2)^(CP36-1),0)</f>
        <v/>
      </c>
      <c r="DJ36" s="51">
        <f>IF(CO36=1,$CI36/(1+($CH$111+시나리오!$A$14/10000)/2)^(CP36-1),0)</f>
        <v/>
      </c>
      <c r="DK36" s="51">
        <f>IF(CO36=1,$CI36/(1+($CH$111+시나리오!$A$15/10000)/2)^(CP36-1),0)</f>
        <v/>
      </c>
      <c r="DL36" s="51">
        <f>IF(CO36=1,$CI36/(1+($CH$111+시나리오!$A$16/10000)/2)^(CP36-1),0)</f>
        <v/>
      </c>
      <c r="DM36" s="51">
        <f>IF(CO36=1,$CI36/(1+($CH$111+시나리오!$A$17/10000)/2)^(CP36-1),0)</f>
        <v/>
      </c>
      <c r="DN36" s="51">
        <f>IF(CO36=1,$CI36/(1+($CH$111+시나리오!$A$18/10000)/2)^(CP36-1),0)</f>
        <v/>
      </c>
      <c r="DO36" s="51">
        <f>IF(CO36=1,$CI36/(1+($CH$111+시나리오!$A$19/10000)/2)^(CP36-1),0)</f>
        <v/>
      </c>
      <c r="DP36" s="51">
        <f>IF(CO36=1,$CI36/(1+($CH$111+시나리오!$A$20/10000)/2)^(CP36-1),0)</f>
        <v/>
      </c>
      <c r="DQ36" s="51">
        <f>IF(CO36=1,$CI36/(1+($CH$111+시나리오!$A$21/10000)/2)^(CP36-1),0)</f>
        <v/>
      </c>
      <c r="DR36" s="51">
        <f>IF(CO36=1,$CI36/(1+($CH$111+시나리오!$A$22/10000)/2)^(CP36-1),0)</f>
        <v/>
      </c>
      <c r="DS36" s="51">
        <f>IF(CO36=1,$CI36/(1+($CH$111+시나리오!$A$23/10000)/2)^(CP36-1),0)</f>
        <v/>
      </c>
      <c r="DT36" s="51">
        <f>IF(CO36=1,$CI36/(1+($CH$111+시나리오!$A$24/10000)/2)^(CP36-1),0)</f>
        <v/>
      </c>
    </row>
    <row r="37">
      <c r="A37" s="49" t="n">
        <v>23</v>
      </c>
      <c r="B37" s="50">
        <f>EDATE($B$2,-6*(62-$A37))</f>
        <v/>
      </c>
      <c r="C37" s="51">
        <f>IF(AND(B37&gt;$B$3,B37&lt;=$B$2),IF(B37=$B$2,$B$5+100,$B$5),0)</f>
        <v/>
      </c>
      <c r="D37" s="49">
        <f>IF(AND($C37&gt;0,B37&gt;$B$6),1,0)</f>
        <v/>
      </c>
      <c r="E37" s="49">
        <f>IF(D37=1,SUM($D$15:D37),"")</f>
        <v/>
      </c>
      <c r="F37" s="51">
        <f>IF(D37=1,$C37/(1+$B$8/2)^(E37-1),0)</f>
        <v/>
      </c>
      <c r="G37" s="51">
        <f>IF(D37=1,$C37/(1+($B$8+0.0001)/2)^(E37-1),0)</f>
        <v/>
      </c>
      <c r="H37" s="51">
        <f>IF(D37=1,$C37/(1+($B$8-0.0001)/2)^(E37-1),0)</f>
        <v/>
      </c>
      <c r="I37" s="49">
        <f>IF(AND($C37&gt;0,B37&gt;$B$7),1,0)</f>
        <v/>
      </c>
      <c r="J37" s="49">
        <f>IF(I37=1,SUM($I$15:I37),"")</f>
        <v/>
      </c>
      <c r="K37" s="51">
        <f>IF(I37=1,$C37/(1+$B$104/2)^(J37-1),0)</f>
        <v/>
      </c>
      <c r="L37" s="51">
        <f>IF(I37=1,$C37/(1+($B$104+0.0001)/2)^(J37-1),0)</f>
        <v/>
      </c>
      <c r="M37" s="51">
        <f>IF(I37=1,$C37/(1+($B$104-0.0001)/2)^(J37-1),0)</f>
        <v/>
      </c>
      <c r="N37" s="51">
        <f>IF(I37=1,$C37/(1+$B$109/2)^(J37-1),0)</f>
        <v/>
      </c>
      <c r="O37" s="51">
        <f>IF(I37=1,$C37/(1+$B$111/2)^(J37-1),0)</f>
        <v/>
      </c>
      <c r="P37" s="51">
        <f>IF(I37=1,$C37/(1+($B$111+0.0001)/2)^(J37-1),0)</f>
        <v/>
      </c>
      <c r="Q37" s="51">
        <f>IF(I37=1,$C37/(1+($B$111-0.0001)/2)^(J37-1),0)</f>
        <v/>
      </c>
      <c r="R37" s="51">
        <f>IF(AND($C37&gt;0,B37&gt;$B$6,B37&lt;=$B$7),$C37*(1+$B$10*($B$7-B37)/365),0)</f>
        <v/>
      </c>
      <c r="S37" s="51">
        <f>IF(I37=1,$C37/(1+($B$111+손익!$B$24/10000)/2)^(J37-1),0)</f>
        <v/>
      </c>
      <c r="T37" s="51">
        <f>IF(I37=1,$C37/(1+($B$111+시나리오!$A$4/10000)/2)^(J37-1),0)</f>
        <v/>
      </c>
      <c r="U37" s="51">
        <f>IF(I37=1,$C37/(1+($B$111+시나리오!$A$5/10000)/2)^(J37-1),0)</f>
        <v/>
      </c>
      <c r="V37" s="51">
        <f>IF(I37=1,$C37/(1+($B$111+시나리오!$A$6/10000)/2)^(J37-1),0)</f>
        <v/>
      </c>
      <c r="W37" s="51">
        <f>IF(I37=1,$C37/(1+($B$111+시나리오!$A$7/10000)/2)^(J37-1),0)</f>
        <v/>
      </c>
      <c r="X37" s="51">
        <f>IF(I37=1,$C37/(1+($B$111+시나리오!$A$8/10000)/2)^(J37-1),0)</f>
        <v/>
      </c>
      <c r="Y37" s="51">
        <f>IF(I37=1,$C37/(1+($B$111+시나리오!$A$9/10000)/2)^(J37-1),0)</f>
        <v/>
      </c>
      <c r="Z37" s="51">
        <f>IF(I37=1,$C37/(1+($B$111+시나리오!$A$10/10000)/2)^(J37-1),0)</f>
        <v/>
      </c>
      <c r="AA37" s="51">
        <f>IF(I37=1,$C37/(1+($B$111+시나리오!$A$11/10000)/2)^(J37-1),0)</f>
        <v/>
      </c>
      <c r="AB37" s="51">
        <f>IF(I37=1,$C37/(1+($B$111+시나리오!$A$12/10000)/2)^(J37-1),0)</f>
        <v/>
      </c>
      <c r="AC37" s="51">
        <f>IF(I37=1,$C37/(1+($B$111+시나리오!$A$13/10000)/2)^(J37-1),0)</f>
        <v/>
      </c>
      <c r="AD37" s="51">
        <f>IF(I37=1,$C37/(1+($B$111+시나리오!$A$14/10000)/2)^(J37-1),0)</f>
        <v/>
      </c>
      <c r="AE37" s="51">
        <f>IF(I37=1,$C37/(1+($B$111+시나리오!$A$15/10000)/2)^(J37-1),0)</f>
        <v/>
      </c>
      <c r="AF37" s="51">
        <f>IF(I37=1,$C37/(1+($B$111+시나리오!$A$16/10000)/2)^(J37-1),0)</f>
        <v/>
      </c>
      <c r="AG37" s="51">
        <f>IF(I37=1,$C37/(1+($B$111+시나리오!$A$17/10000)/2)^(J37-1),0)</f>
        <v/>
      </c>
      <c r="AH37" s="51">
        <f>IF(I37=1,$C37/(1+($B$111+시나리오!$A$18/10000)/2)^(J37-1),0)</f>
        <v/>
      </c>
      <c r="AI37" s="51">
        <f>IF(I37=1,$C37/(1+($B$111+시나리오!$A$19/10000)/2)^(J37-1),0)</f>
        <v/>
      </c>
      <c r="AJ37" s="51">
        <f>IF(I37=1,$C37/(1+($B$111+시나리오!$A$20/10000)/2)^(J37-1),0)</f>
        <v/>
      </c>
      <c r="AK37" s="51">
        <f>IF(I37=1,$C37/(1+($B$111+시나리오!$A$21/10000)/2)^(J37-1),0)</f>
        <v/>
      </c>
      <c r="AL37" s="51">
        <f>IF(I37=1,$C37/(1+($B$111+시나리오!$A$22/10000)/2)^(J37-1),0)</f>
        <v/>
      </c>
      <c r="AM37" s="51">
        <f>IF(I37=1,$C37/(1+($B$111+시나리오!$A$23/10000)/2)^(J37-1),0)</f>
        <v/>
      </c>
      <c r="AN37" s="51">
        <f>IF(I37=1,$C37/(1+($B$111+시나리오!$A$24/10000)/2)^(J37-1),0)</f>
        <v/>
      </c>
      <c r="AQ37" s="49" t="n">
        <v>23</v>
      </c>
      <c r="AR37" s="50">
        <f>EDATE($AR$2,-6*(62-$AQ37))</f>
        <v/>
      </c>
      <c r="AS37" s="51">
        <f>IF(AND(AR37&gt;$AR$3,AR37&lt;=$AR$2),IF(AR37=$AR$2,$AR$5+100,$AR$5),0)</f>
        <v/>
      </c>
      <c r="AT37" s="49">
        <f>IF(AND($AS37&gt;0,AR37&gt;$AR$6),1,0)</f>
        <v/>
      </c>
      <c r="AU37" s="49">
        <f>IF(AT37=1,SUM($AT$15:AT37),"")</f>
        <v/>
      </c>
      <c r="AV37" s="51">
        <f>IF(AT37=1,$AS37/(1+$AR$8/2)^(AU37-1),0)</f>
        <v/>
      </c>
      <c r="AW37" s="51">
        <f>IF(AT37=1,$AS37/(1+($AR$8+0.0001)/2)^(AU37-1),0)</f>
        <v/>
      </c>
      <c r="AX37" s="51">
        <f>IF(AT37=1,$AS37/(1+($AR$8-0.0001)/2)^(AU37-1),0)</f>
        <v/>
      </c>
      <c r="AY37" s="49">
        <f>IF(AND($AS37&gt;0,AR37&gt;$AR$7),1,0)</f>
        <v/>
      </c>
      <c r="AZ37" s="49">
        <f>IF(AY37=1,SUM($AY$15:AY37),"")</f>
        <v/>
      </c>
      <c r="BA37" s="51">
        <f>IF(AY37=1,$AS37/(1+$AR$104/2)^(AZ37-1),0)</f>
        <v/>
      </c>
      <c r="BB37" s="51">
        <f>IF(AY37=1,$AS37/(1+($AR$104+0.0001)/2)^(AZ37-1),0)</f>
        <v/>
      </c>
      <c r="BC37" s="51">
        <f>IF(AY37=1,$AS37/(1+($AR$104-0.0001)/2)^(AZ37-1),0)</f>
        <v/>
      </c>
      <c r="BD37" s="51">
        <f>IF(AY37=1,$AS37/(1+$AR$109/2)^(AZ37-1),0)</f>
        <v/>
      </c>
      <c r="BE37" s="51">
        <f>IF(AY37=1,$AS37/(1+$AR$111/2)^(AZ37-1),0)</f>
        <v/>
      </c>
      <c r="BF37" s="51">
        <f>IF(AY37=1,$AS37/(1+($AR$111+0.0001)/2)^(AZ37-1),0)</f>
        <v/>
      </c>
      <c r="BG37" s="51">
        <f>IF(AY37=1,$AS37/(1+($AR$111-0.0001)/2)^(AZ37-1),0)</f>
        <v/>
      </c>
      <c r="BH37" s="51">
        <f>IF(AND($AS37&gt;0,AR37&gt;$AR$6,AR37&lt;=$AR$7),$AS37*(1+$AR$10*($AR$7-AR37)/365),0)</f>
        <v/>
      </c>
      <c r="BI37" s="51">
        <f>IF(AY37=1,$AS37/(1+($AR$111+손익!$B$24/10000)/2)^(AZ37-1),0)</f>
        <v/>
      </c>
      <c r="BJ37" s="51">
        <f>IF(AY37=1,$AS37/(1+($AR$111+시나리오!$A$4/10000)/2)^(AZ37-1),0)</f>
        <v/>
      </c>
      <c r="BK37" s="51">
        <f>IF(AY37=1,$AS37/(1+($AR$111+시나리오!$A$5/10000)/2)^(AZ37-1),0)</f>
        <v/>
      </c>
      <c r="BL37" s="51">
        <f>IF(AY37=1,$AS37/(1+($AR$111+시나리오!$A$6/10000)/2)^(AZ37-1),0)</f>
        <v/>
      </c>
      <c r="BM37" s="51">
        <f>IF(AY37=1,$AS37/(1+($AR$111+시나리오!$A$7/10000)/2)^(AZ37-1),0)</f>
        <v/>
      </c>
      <c r="BN37" s="51">
        <f>IF(AY37=1,$AS37/(1+($AR$111+시나리오!$A$8/10000)/2)^(AZ37-1),0)</f>
        <v/>
      </c>
      <c r="BO37" s="51">
        <f>IF(AY37=1,$AS37/(1+($AR$111+시나리오!$A$9/10000)/2)^(AZ37-1),0)</f>
        <v/>
      </c>
      <c r="BP37" s="51">
        <f>IF(AY37=1,$AS37/(1+($AR$111+시나리오!$A$10/10000)/2)^(AZ37-1),0)</f>
        <v/>
      </c>
      <c r="BQ37" s="51">
        <f>IF(AY37=1,$AS37/(1+($AR$111+시나리오!$A$11/10000)/2)^(AZ37-1),0)</f>
        <v/>
      </c>
      <c r="BR37" s="51">
        <f>IF(AY37=1,$AS37/(1+($AR$111+시나리오!$A$12/10000)/2)^(AZ37-1),0)</f>
        <v/>
      </c>
      <c r="BS37" s="51">
        <f>IF(AY37=1,$AS37/(1+($AR$111+시나리오!$A$13/10000)/2)^(AZ37-1),0)</f>
        <v/>
      </c>
      <c r="BT37" s="51">
        <f>IF(AY37=1,$AS37/(1+($AR$111+시나리오!$A$14/10000)/2)^(AZ37-1),0)</f>
        <v/>
      </c>
      <c r="BU37" s="51">
        <f>IF(AY37=1,$AS37/(1+($AR$111+시나리오!$A$15/10000)/2)^(AZ37-1),0)</f>
        <v/>
      </c>
      <c r="BV37" s="51">
        <f>IF(AY37=1,$AS37/(1+($AR$111+시나리오!$A$16/10000)/2)^(AZ37-1),0)</f>
        <v/>
      </c>
      <c r="BW37" s="51">
        <f>IF(AY37=1,$AS37/(1+($AR$111+시나리오!$A$17/10000)/2)^(AZ37-1),0)</f>
        <v/>
      </c>
      <c r="BX37" s="51">
        <f>IF(AY37=1,$AS37/(1+($AR$111+시나리오!$A$18/10000)/2)^(AZ37-1),0)</f>
        <v/>
      </c>
      <c r="BY37" s="51">
        <f>IF(AY37=1,$AS37/(1+($AR$111+시나리오!$A$19/10000)/2)^(AZ37-1),0)</f>
        <v/>
      </c>
      <c r="BZ37" s="51">
        <f>IF(AY37=1,$AS37/(1+($AR$111+시나리오!$A$20/10000)/2)^(AZ37-1),0)</f>
        <v/>
      </c>
      <c r="CA37" s="51">
        <f>IF(AY37=1,$AS37/(1+($AR$111+시나리오!$A$21/10000)/2)^(AZ37-1),0)</f>
        <v/>
      </c>
      <c r="CB37" s="51">
        <f>IF(AY37=1,$AS37/(1+($AR$111+시나리오!$A$22/10000)/2)^(AZ37-1),0)</f>
        <v/>
      </c>
      <c r="CC37" s="51">
        <f>IF(AY37=1,$AS37/(1+($AR$111+시나리오!$A$23/10000)/2)^(AZ37-1),0)</f>
        <v/>
      </c>
      <c r="CD37" s="51">
        <f>IF(AY37=1,$AS37/(1+($AR$111+시나리오!$A$24/10000)/2)^(AZ37-1),0)</f>
        <v/>
      </c>
      <c r="CG37" s="49" t="n">
        <v>23</v>
      </c>
      <c r="CH37" s="50">
        <f>EDATE($CH$2,-6*(62-$CG37))</f>
        <v/>
      </c>
      <c r="CI37" s="51">
        <f>IF(AND(CH37&gt;$CH$3,CH37&lt;=$CH$2),IF(CH37=$CH$2,$CH$5+100,$CH$5),0)</f>
        <v/>
      </c>
      <c r="CJ37" s="49">
        <f>IF(AND($CI37&gt;0,CH37&gt;$CH$6),1,0)</f>
        <v/>
      </c>
      <c r="CK37" s="49">
        <f>IF(CJ37=1,SUM($CJ$15:CJ37),"")</f>
        <v/>
      </c>
      <c r="CL37" s="51">
        <f>IF(CJ37=1,$CI37/(1+$CH$8/2)^(CK37-1),0)</f>
        <v/>
      </c>
      <c r="CM37" s="51">
        <f>IF(CJ37=1,$CI37/(1+($CH$8+0.0001)/2)^(CK37-1),0)</f>
        <v/>
      </c>
      <c r="CN37" s="51">
        <f>IF(CJ37=1,$CI37/(1+($CH$8-0.0001)/2)^(CK37-1),0)</f>
        <v/>
      </c>
      <c r="CO37" s="49">
        <f>IF(AND($CI37&gt;0,CH37&gt;$CH$7),1,0)</f>
        <v/>
      </c>
      <c r="CP37" s="49">
        <f>IF(CO37=1,SUM($CO$15:CO37),"")</f>
        <v/>
      </c>
      <c r="CQ37" s="51">
        <f>IF(CO37=1,$CI37/(1+$CH$104/2)^(CP37-1),0)</f>
        <v/>
      </c>
      <c r="CR37" s="51">
        <f>IF(CO37=1,$CI37/(1+($CH$104+0.0001)/2)^(CP37-1),0)</f>
        <v/>
      </c>
      <c r="CS37" s="51">
        <f>IF(CO37=1,$CI37/(1+($CH$104-0.0001)/2)^(CP37-1),0)</f>
        <v/>
      </c>
      <c r="CT37" s="51">
        <f>IF(CO37=1,$CI37/(1+$CH$109/2)^(CP37-1),0)</f>
        <v/>
      </c>
      <c r="CU37" s="51">
        <f>IF(CO37=1,$CI37/(1+$CH$111/2)^(CP37-1),0)</f>
        <v/>
      </c>
      <c r="CV37" s="51">
        <f>IF(CO37=1,$CI37/(1+($CH$111+0.0001)/2)^(CP37-1),0)</f>
        <v/>
      </c>
      <c r="CW37" s="51">
        <f>IF(CO37=1,$CI37/(1+($CH$111-0.0001)/2)^(CP37-1),0)</f>
        <v/>
      </c>
      <c r="CX37" s="51">
        <f>IF(AND($CI37&gt;0,CH37&gt;$CH$6,CH37&lt;=$CH$7),$CI37*(1+$CH$10*($CH$7-CH37)/365),0)</f>
        <v/>
      </c>
      <c r="CY37" s="51">
        <f>IF(CO37=1,$CI37/(1+($CH$111+손익!$B$24/10000)/2)^(CP37-1),0)</f>
        <v/>
      </c>
      <c r="CZ37" s="51">
        <f>IF(CO37=1,$CI37/(1+($CH$111+시나리오!$A$4/10000)/2)^(CP37-1),0)</f>
        <v/>
      </c>
      <c r="DA37" s="51">
        <f>IF(CO37=1,$CI37/(1+($CH$111+시나리오!$A$5/10000)/2)^(CP37-1),0)</f>
        <v/>
      </c>
      <c r="DB37" s="51">
        <f>IF(CO37=1,$CI37/(1+($CH$111+시나리오!$A$6/10000)/2)^(CP37-1),0)</f>
        <v/>
      </c>
      <c r="DC37" s="51">
        <f>IF(CO37=1,$CI37/(1+($CH$111+시나리오!$A$7/10000)/2)^(CP37-1),0)</f>
        <v/>
      </c>
      <c r="DD37" s="51">
        <f>IF(CO37=1,$CI37/(1+($CH$111+시나리오!$A$8/10000)/2)^(CP37-1),0)</f>
        <v/>
      </c>
      <c r="DE37" s="51">
        <f>IF(CO37=1,$CI37/(1+($CH$111+시나리오!$A$9/10000)/2)^(CP37-1),0)</f>
        <v/>
      </c>
      <c r="DF37" s="51">
        <f>IF(CO37=1,$CI37/(1+($CH$111+시나리오!$A$10/10000)/2)^(CP37-1),0)</f>
        <v/>
      </c>
      <c r="DG37" s="51">
        <f>IF(CO37=1,$CI37/(1+($CH$111+시나리오!$A$11/10000)/2)^(CP37-1),0)</f>
        <v/>
      </c>
      <c r="DH37" s="51">
        <f>IF(CO37=1,$CI37/(1+($CH$111+시나리오!$A$12/10000)/2)^(CP37-1),0)</f>
        <v/>
      </c>
      <c r="DI37" s="51">
        <f>IF(CO37=1,$CI37/(1+($CH$111+시나리오!$A$13/10000)/2)^(CP37-1),0)</f>
        <v/>
      </c>
      <c r="DJ37" s="51">
        <f>IF(CO37=1,$CI37/(1+($CH$111+시나리오!$A$14/10000)/2)^(CP37-1),0)</f>
        <v/>
      </c>
      <c r="DK37" s="51">
        <f>IF(CO37=1,$CI37/(1+($CH$111+시나리오!$A$15/10000)/2)^(CP37-1),0)</f>
        <v/>
      </c>
      <c r="DL37" s="51">
        <f>IF(CO37=1,$CI37/(1+($CH$111+시나리오!$A$16/10000)/2)^(CP37-1),0)</f>
        <v/>
      </c>
      <c r="DM37" s="51">
        <f>IF(CO37=1,$CI37/(1+($CH$111+시나리오!$A$17/10000)/2)^(CP37-1),0)</f>
        <v/>
      </c>
      <c r="DN37" s="51">
        <f>IF(CO37=1,$CI37/(1+($CH$111+시나리오!$A$18/10000)/2)^(CP37-1),0)</f>
        <v/>
      </c>
      <c r="DO37" s="51">
        <f>IF(CO37=1,$CI37/(1+($CH$111+시나리오!$A$19/10000)/2)^(CP37-1),0)</f>
        <v/>
      </c>
      <c r="DP37" s="51">
        <f>IF(CO37=1,$CI37/(1+($CH$111+시나리오!$A$20/10000)/2)^(CP37-1),0)</f>
        <v/>
      </c>
      <c r="DQ37" s="51">
        <f>IF(CO37=1,$CI37/(1+($CH$111+시나리오!$A$21/10000)/2)^(CP37-1),0)</f>
        <v/>
      </c>
      <c r="DR37" s="51">
        <f>IF(CO37=1,$CI37/(1+($CH$111+시나리오!$A$22/10000)/2)^(CP37-1),0)</f>
        <v/>
      </c>
      <c r="DS37" s="51">
        <f>IF(CO37=1,$CI37/(1+($CH$111+시나리오!$A$23/10000)/2)^(CP37-1),0)</f>
        <v/>
      </c>
      <c r="DT37" s="51">
        <f>IF(CO37=1,$CI37/(1+($CH$111+시나리오!$A$24/10000)/2)^(CP37-1),0)</f>
        <v/>
      </c>
    </row>
    <row r="38">
      <c r="A38" s="49" t="n">
        <v>24</v>
      </c>
      <c r="B38" s="50">
        <f>EDATE($B$2,-6*(62-$A38))</f>
        <v/>
      </c>
      <c r="C38" s="51">
        <f>IF(AND(B38&gt;$B$3,B38&lt;=$B$2),IF(B38=$B$2,$B$5+100,$B$5),0)</f>
        <v/>
      </c>
      <c r="D38" s="49">
        <f>IF(AND($C38&gt;0,B38&gt;$B$6),1,0)</f>
        <v/>
      </c>
      <c r="E38" s="49">
        <f>IF(D38=1,SUM($D$15:D38),"")</f>
        <v/>
      </c>
      <c r="F38" s="51">
        <f>IF(D38=1,$C38/(1+$B$8/2)^(E38-1),0)</f>
        <v/>
      </c>
      <c r="G38" s="51">
        <f>IF(D38=1,$C38/(1+($B$8+0.0001)/2)^(E38-1),0)</f>
        <v/>
      </c>
      <c r="H38" s="51">
        <f>IF(D38=1,$C38/(1+($B$8-0.0001)/2)^(E38-1),0)</f>
        <v/>
      </c>
      <c r="I38" s="49">
        <f>IF(AND($C38&gt;0,B38&gt;$B$7),1,0)</f>
        <v/>
      </c>
      <c r="J38" s="49">
        <f>IF(I38=1,SUM($I$15:I38),"")</f>
        <v/>
      </c>
      <c r="K38" s="51">
        <f>IF(I38=1,$C38/(1+$B$104/2)^(J38-1),0)</f>
        <v/>
      </c>
      <c r="L38" s="51">
        <f>IF(I38=1,$C38/(1+($B$104+0.0001)/2)^(J38-1),0)</f>
        <v/>
      </c>
      <c r="M38" s="51">
        <f>IF(I38=1,$C38/(1+($B$104-0.0001)/2)^(J38-1),0)</f>
        <v/>
      </c>
      <c r="N38" s="51">
        <f>IF(I38=1,$C38/(1+$B$109/2)^(J38-1),0)</f>
        <v/>
      </c>
      <c r="O38" s="51">
        <f>IF(I38=1,$C38/(1+$B$111/2)^(J38-1),0)</f>
        <v/>
      </c>
      <c r="P38" s="51">
        <f>IF(I38=1,$C38/(1+($B$111+0.0001)/2)^(J38-1),0)</f>
        <v/>
      </c>
      <c r="Q38" s="51">
        <f>IF(I38=1,$C38/(1+($B$111-0.0001)/2)^(J38-1),0)</f>
        <v/>
      </c>
      <c r="R38" s="51">
        <f>IF(AND($C38&gt;0,B38&gt;$B$6,B38&lt;=$B$7),$C38*(1+$B$10*($B$7-B38)/365),0)</f>
        <v/>
      </c>
      <c r="S38" s="51">
        <f>IF(I38=1,$C38/(1+($B$111+손익!$B$24/10000)/2)^(J38-1),0)</f>
        <v/>
      </c>
      <c r="T38" s="51">
        <f>IF(I38=1,$C38/(1+($B$111+시나리오!$A$4/10000)/2)^(J38-1),0)</f>
        <v/>
      </c>
      <c r="U38" s="51">
        <f>IF(I38=1,$C38/(1+($B$111+시나리오!$A$5/10000)/2)^(J38-1),0)</f>
        <v/>
      </c>
      <c r="V38" s="51">
        <f>IF(I38=1,$C38/(1+($B$111+시나리오!$A$6/10000)/2)^(J38-1),0)</f>
        <v/>
      </c>
      <c r="W38" s="51">
        <f>IF(I38=1,$C38/(1+($B$111+시나리오!$A$7/10000)/2)^(J38-1),0)</f>
        <v/>
      </c>
      <c r="X38" s="51">
        <f>IF(I38=1,$C38/(1+($B$111+시나리오!$A$8/10000)/2)^(J38-1),0)</f>
        <v/>
      </c>
      <c r="Y38" s="51">
        <f>IF(I38=1,$C38/(1+($B$111+시나리오!$A$9/10000)/2)^(J38-1),0)</f>
        <v/>
      </c>
      <c r="Z38" s="51">
        <f>IF(I38=1,$C38/(1+($B$111+시나리오!$A$10/10000)/2)^(J38-1),0)</f>
        <v/>
      </c>
      <c r="AA38" s="51">
        <f>IF(I38=1,$C38/(1+($B$111+시나리오!$A$11/10000)/2)^(J38-1),0)</f>
        <v/>
      </c>
      <c r="AB38" s="51">
        <f>IF(I38=1,$C38/(1+($B$111+시나리오!$A$12/10000)/2)^(J38-1),0)</f>
        <v/>
      </c>
      <c r="AC38" s="51">
        <f>IF(I38=1,$C38/(1+($B$111+시나리오!$A$13/10000)/2)^(J38-1),0)</f>
        <v/>
      </c>
      <c r="AD38" s="51">
        <f>IF(I38=1,$C38/(1+($B$111+시나리오!$A$14/10000)/2)^(J38-1),0)</f>
        <v/>
      </c>
      <c r="AE38" s="51">
        <f>IF(I38=1,$C38/(1+($B$111+시나리오!$A$15/10000)/2)^(J38-1),0)</f>
        <v/>
      </c>
      <c r="AF38" s="51">
        <f>IF(I38=1,$C38/(1+($B$111+시나리오!$A$16/10000)/2)^(J38-1),0)</f>
        <v/>
      </c>
      <c r="AG38" s="51">
        <f>IF(I38=1,$C38/(1+($B$111+시나리오!$A$17/10000)/2)^(J38-1),0)</f>
        <v/>
      </c>
      <c r="AH38" s="51">
        <f>IF(I38=1,$C38/(1+($B$111+시나리오!$A$18/10000)/2)^(J38-1),0)</f>
        <v/>
      </c>
      <c r="AI38" s="51">
        <f>IF(I38=1,$C38/(1+($B$111+시나리오!$A$19/10000)/2)^(J38-1),0)</f>
        <v/>
      </c>
      <c r="AJ38" s="51">
        <f>IF(I38=1,$C38/(1+($B$111+시나리오!$A$20/10000)/2)^(J38-1),0)</f>
        <v/>
      </c>
      <c r="AK38" s="51">
        <f>IF(I38=1,$C38/(1+($B$111+시나리오!$A$21/10000)/2)^(J38-1),0)</f>
        <v/>
      </c>
      <c r="AL38" s="51">
        <f>IF(I38=1,$C38/(1+($B$111+시나리오!$A$22/10000)/2)^(J38-1),0)</f>
        <v/>
      </c>
      <c r="AM38" s="51">
        <f>IF(I38=1,$C38/(1+($B$111+시나리오!$A$23/10000)/2)^(J38-1),0)</f>
        <v/>
      </c>
      <c r="AN38" s="51">
        <f>IF(I38=1,$C38/(1+($B$111+시나리오!$A$24/10000)/2)^(J38-1),0)</f>
        <v/>
      </c>
      <c r="AQ38" s="49" t="n">
        <v>24</v>
      </c>
      <c r="AR38" s="50">
        <f>EDATE($AR$2,-6*(62-$AQ38))</f>
        <v/>
      </c>
      <c r="AS38" s="51">
        <f>IF(AND(AR38&gt;$AR$3,AR38&lt;=$AR$2),IF(AR38=$AR$2,$AR$5+100,$AR$5),0)</f>
        <v/>
      </c>
      <c r="AT38" s="49">
        <f>IF(AND($AS38&gt;0,AR38&gt;$AR$6),1,0)</f>
        <v/>
      </c>
      <c r="AU38" s="49">
        <f>IF(AT38=1,SUM($AT$15:AT38),"")</f>
        <v/>
      </c>
      <c r="AV38" s="51">
        <f>IF(AT38=1,$AS38/(1+$AR$8/2)^(AU38-1),0)</f>
        <v/>
      </c>
      <c r="AW38" s="51">
        <f>IF(AT38=1,$AS38/(1+($AR$8+0.0001)/2)^(AU38-1),0)</f>
        <v/>
      </c>
      <c r="AX38" s="51">
        <f>IF(AT38=1,$AS38/(1+($AR$8-0.0001)/2)^(AU38-1),0)</f>
        <v/>
      </c>
      <c r="AY38" s="49">
        <f>IF(AND($AS38&gt;0,AR38&gt;$AR$7),1,0)</f>
        <v/>
      </c>
      <c r="AZ38" s="49">
        <f>IF(AY38=1,SUM($AY$15:AY38),"")</f>
        <v/>
      </c>
      <c r="BA38" s="51">
        <f>IF(AY38=1,$AS38/(1+$AR$104/2)^(AZ38-1),0)</f>
        <v/>
      </c>
      <c r="BB38" s="51">
        <f>IF(AY38=1,$AS38/(1+($AR$104+0.0001)/2)^(AZ38-1),0)</f>
        <v/>
      </c>
      <c r="BC38" s="51">
        <f>IF(AY38=1,$AS38/(1+($AR$104-0.0001)/2)^(AZ38-1),0)</f>
        <v/>
      </c>
      <c r="BD38" s="51">
        <f>IF(AY38=1,$AS38/(1+$AR$109/2)^(AZ38-1),0)</f>
        <v/>
      </c>
      <c r="BE38" s="51">
        <f>IF(AY38=1,$AS38/(1+$AR$111/2)^(AZ38-1),0)</f>
        <v/>
      </c>
      <c r="BF38" s="51">
        <f>IF(AY38=1,$AS38/(1+($AR$111+0.0001)/2)^(AZ38-1),0)</f>
        <v/>
      </c>
      <c r="BG38" s="51">
        <f>IF(AY38=1,$AS38/(1+($AR$111-0.0001)/2)^(AZ38-1),0)</f>
        <v/>
      </c>
      <c r="BH38" s="51">
        <f>IF(AND($AS38&gt;0,AR38&gt;$AR$6,AR38&lt;=$AR$7),$AS38*(1+$AR$10*($AR$7-AR38)/365),0)</f>
        <v/>
      </c>
      <c r="BI38" s="51">
        <f>IF(AY38=1,$AS38/(1+($AR$111+손익!$B$24/10000)/2)^(AZ38-1),0)</f>
        <v/>
      </c>
      <c r="BJ38" s="51">
        <f>IF(AY38=1,$AS38/(1+($AR$111+시나리오!$A$4/10000)/2)^(AZ38-1),0)</f>
        <v/>
      </c>
      <c r="BK38" s="51">
        <f>IF(AY38=1,$AS38/(1+($AR$111+시나리오!$A$5/10000)/2)^(AZ38-1),0)</f>
        <v/>
      </c>
      <c r="BL38" s="51">
        <f>IF(AY38=1,$AS38/(1+($AR$111+시나리오!$A$6/10000)/2)^(AZ38-1),0)</f>
        <v/>
      </c>
      <c r="BM38" s="51">
        <f>IF(AY38=1,$AS38/(1+($AR$111+시나리오!$A$7/10000)/2)^(AZ38-1),0)</f>
        <v/>
      </c>
      <c r="BN38" s="51">
        <f>IF(AY38=1,$AS38/(1+($AR$111+시나리오!$A$8/10000)/2)^(AZ38-1),0)</f>
        <v/>
      </c>
      <c r="BO38" s="51">
        <f>IF(AY38=1,$AS38/(1+($AR$111+시나리오!$A$9/10000)/2)^(AZ38-1),0)</f>
        <v/>
      </c>
      <c r="BP38" s="51">
        <f>IF(AY38=1,$AS38/(1+($AR$111+시나리오!$A$10/10000)/2)^(AZ38-1),0)</f>
        <v/>
      </c>
      <c r="BQ38" s="51">
        <f>IF(AY38=1,$AS38/(1+($AR$111+시나리오!$A$11/10000)/2)^(AZ38-1),0)</f>
        <v/>
      </c>
      <c r="BR38" s="51">
        <f>IF(AY38=1,$AS38/(1+($AR$111+시나리오!$A$12/10000)/2)^(AZ38-1),0)</f>
        <v/>
      </c>
      <c r="BS38" s="51">
        <f>IF(AY38=1,$AS38/(1+($AR$111+시나리오!$A$13/10000)/2)^(AZ38-1),0)</f>
        <v/>
      </c>
      <c r="BT38" s="51">
        <f>IF(AY38=1,$AS38/(1+($AR$111+시나리오!$A$14/10000)/2)^(AZ38-1),0)</f>
        <v/>
      </c>
      <c r="BU38" s="51">
        <f>IF(AY38=1,$AS38/(1+($AR$111+시나리오!$A$15/10000)/2)^(AZ38-1),0)</f>
        <v/>
      </c>
      <c r="BV38" s="51">
        <f>IF(AY38=1,$AS38/(1+($AR$111+시나리오!$A$16/10000)/2)^(AZ38-1),0)</f>
        <v/>
      </c>
      <c r="BW38" s="51">
        <f>IF(AY38=1,$AS38/(1+($AR$111+시나리오!$A$17/10000)/2)^(AZ38-1),0)</f>
        <v/>
      </c>
      <c r="BX38" s="51">
        <f>IF(AY38=1,$AS38/(1+($AR$111+시나리오!$A$18/10000)/2)^(AZ38-1),0)</f>
        <v/>
      </c>
      <c r="BY38" s="51">
        <f>IF(AY38=1,$AS38/(1+($AR$111+시나리오!$A$19/10000)/2)^(AZ38-1),0)</f>
        <v/>
      </c>
      <c r="BZ38" s="51">
        <f>IF(AY38=1,$AS38/(1+($AR$111+시나리오!$A$20/10000)/2)^(AZ38-1),0)</f>
        <v/>
      </c>
      <c r="CA38" s="51">
        <f>IF(AY38=1,$AS38/(1+($AR$111+시나리오!$A$21/10000)/2)^(AZ38-1),0)</f>
        <v/>
      </c>
      <c r="CB38" s="51">
        <f>IF(AY38=1,$AS38/(1+($AR$111+시나리오!$A$22/10000)/2)^(AZ38-1),0)</f>
        <v/>
      </c>
      <c r="CC38" s="51">
        <f>IF(AY38=1,$AS38/(1+($AR$111+시나리오!$A$23/10000)/2)^(AZ38-1),0)</f>
        <v/>
      </c>
      <c r="CD38" s="51">
        <f>IF(AY38=1,$AS38/(1+($AR$111+시나리오!$A$24/10000)/2)^(AZ38-1),0)</f>
        <v/>
      </c>
      <c r="CG38" s="49" t="n">
        <v>24</v>
      </c>
      <c r="CH38" s="50">
        <f>EDATE($CH$2,-6*(62-$CG38))</f>
        <v/>
      </c>
      <c r="CI38" s="51">
        <f>IF(AND(CH38&gt;$CH$3,CH38&lt;=$CH$2),IF(CH38=$CH$2,$CH$5+100,$CH$5),0)</f>
        <v/>
      </c>
      <c r="CJ38" s="49">
        <f>IF(AND($CI38&gt;0,CH38&gt;$CH$6),1,0)</f>
        <v/>
      </c>
      <c r="CK38" s="49">
        <f>IF(CJ38=1,SUM($CJ$15:CJ38),"")</f>
        <v/>
      </c>
      <c r="CL38" s="51">
        <f>IF(CJ38=1,$CI38/(1+$CH$8/2)^(CK38-1),0)</f>
        <v/>
      </c>
      <c r="CM38" s="51">
        <f>IF(CJ38=1,$CI38/(1+($CH$8+0.0001)/2)^(CK38-1),0)</f>
        <v/>
      </c>
      <c r="CN38" s="51">
        <f>IF(CJ38=1,$CI38/(1+($CH$8-0.0001)/2)^(CK38-1),0)</f>
        <v/>
      </c>
      <c r="CO38" s="49">
        <f>IF(AND($CI38&gt;0,CH38&gt;$CH$7),1,0)</f>
        <v/>
      </c>
      <c r="CP38" s="49">
        <f>IF(CO38=1,SUM($CO$15:CO38),"")</f>
        <v/>
      </c>
      <c r="CQ38" s="51">
        <f>IF(CO38=1,$CI38/(1+$CH$104/2)^(CP38-1),0)</f>
        <v/>
      </c>
      <c r="CR38" s="51">
        <f>IF(CO38=1,$CI38/(1+($CH$104+0.0001)/2)^(CP38-1),0)</f>
        <v/>
      </c>
      <c r="CS38" s="51">
        <f>IF(CO38=1,$CI38/(1+($CH$104-0.0001)/2)^(CP38-1),0)</f>
        <v/>
      </c>
      <c r="CT38" s="51">
        <f>IF(CO38=1,$CI38/(1+$CH$109/2)^(CP38-1),0)</f>
        <v/>
      </c>
      <c r="CU38" s="51">
        <f>IF(CO38=1,$CI38/(1+$CH$111/2)^(CP38-1),0)</f>
        <v/>
      </c>
      <c r="CV38" s="51">
        <f>IF(CO38=1,$CI38/(1+($CH$111+0.0001)/2)^(CP38-1),0)</f>
        <v/>
      </c>
      <c r="CW38" s="51">
        <f>IF(CO38=1,$CI38/(1+($CH$111-0.0001)/2)^(CP38-1),0)</f>
        <v/>
      </c>
      <c r="CX38" s="51">
        <f>IF(AND($CI38&gt;0,CH38&gt;$CH$6,CH38&lt;=$CH$7),$CI38*(1+$CH$10*($CH$7-CH38)/365),0)</f>
        <v/>
      </c>
      <c r="CY38" s="51">
        <f>IF(CO38=1,$CI38/(1+($CH$111+손익!$B$24/10000)/2)^(CP38-1),0)</f>
        <v/>
      </c>
      <c r="CZ38" s="51">
        <f>IF(CO38=1,$CI38/(1+($CH$111+시나리오!$A$4/10000)/2)^(CP38-1),0)</f>
        <v/>
      </c>
      <c r="DA38" s="51">
        <f>IF(CO38=1,$CI38/(1+($CH$111+시나리오!$A$5/10000)/2)^(CP38-1),0)</f>
        <v/>
      </c>
      <c r="DB38" s="51">
        <f>IF(CO38=1,$CI38/(1+($CH$111+시나리오!$A$6/10000)/2)^(CP38-1),0)</f>
        <v/>
      </c>
      <c r="DC38" s="51">
        <f>IF(CO38=1,$CI38/(1+($CH$111+시나리오!$A$7/10000)/2)^(CP38-1),0)</f>
        <v/>
      </c>
      <c r="DD38" s="51">
        <f>IF(CO38=1,$CI38/(1+($CH$111+시나리오!$A$8/10000)/2)^(CP38-1),0)</f>
        <v/>
      </c>
      <c r="DE38" s="51">
        <f>IF(CO38=1,$CI38/(1+($CH$111+시나리오!$A$9/10000)/2)^(CP38-1),0)</f>
        <v/>
      </c>
      <c r="DF38" s="51">
        <f>IF(CO38=1,$CI38/(1+($CH$111+시나리오!$A$10/10000)/2)^(CP38-1),0)</f>
        <v/>
      </c>
      <c r="DG38" s="51">
        <f>IF(CO38=1,$CI38/(1+($CH$111+시나리오!$A$11/10000)/2)^(CP38-1),0)</f>
        <v/>
      </c>
      <c r="DH38" s="51">
        <f>IF(CO38=1,$CI38/(1+($CH$111+시나리오!$A$12/10000)/2)^(CP38-1),0)</f>
        <v/>
      </c>
      <c r="DI38" s="51">
        <f>IF(CO38=1,$CI38/(1+($CH$111+시나리오!$A$13/10000)/2)^(CP38-1),0)</f>
        <v/>
      </c>
      <c r="DJ38" s="51">
        <f>IF(CO38=1,$CI38/(1+($CH$111+시나리오!$A$14/10000)/2)^(CP38-1),0)</f>
        <v/>
      </c>
      <c r="DK38" s="51">
        <f>IF(CO38=1,$CI38/(1+($CH$111+시나리오!$A$15/10000)/2)^(CP38-1),0)</f>
        <v/>
      </c>
      <c r="DL38" s="51">
        <f>IF(CO38=1,$CI38/(1+($CH$111+시나리오!$A$16/10000)/2)^(CP38-1),0)</f>
        <v/>
      </c>
      <c r="DM38" s="51">
        <f>IF(CO38=1,$CI38/(1+($CH$111+시나리오!$A$17/10000)/2)^(CP38-1),0)</f>
        <v/>
      </c>
      <c r="DN38" s="51">
        <f>IF(CO38=1,$CI38/(1+($CH$111+시나리오!$A$18/10000)/2)^(CP38-1),0)</f>
        <v/>
      </c>
      <c r="DO38" s="51">
        <f>IF(CO38=1,$CI38/(1+($CH$111+시나리오!$A$19/10000)/2)^(CP38-1),0)</f>
        <v/>
      </c>
      <c r="DP38" s="51">
        <f>IF(CO38=1,$CI38/(1+($CH$111+시나리오!$A$20/10000)/2)^(CP38-1),0)</f>
        <v/>
      </c>
      <c r="DQ38" s="51">
        <f>IF(CO38=1,$CI38/(1+($CH$111+시나리오!$A$21/10000)/2)^(CP38-1),0)</f>
        <v/>
      </c>
      <c r="DR38" s="51">
        <f>IF(CO38=1,$CI38/(1+($CH$111+시나리오!$A$22/10000)/2)^(CP38-1),0)</f>
        <v/>
      </c>
      <c r="DS38" s="51">
        <f>IF(CO38=1,$CI38/(1+($CH$111+시나리오!$A$23/10000)/2)^(CP38-1),0)</f>
        <v/>
      </c>
      <c r="DT38" s="51">
        <f>IF(CO38=1,$CI38/(1+($CH$111+시나리오!$A$24/10000)/2)^(CP38-1),0)</f>
        <v/>
      </c>
    </row>
    <row r="39">
      <c r="A39" s="49" t="n">
        <v>25</v>
      </c>
      <c r="B39" s="50">
        <f>EDATE($B$2,-6*(62-$A39))</f>
        <v/>
      </c>
      <c r="C39" s="51">
        <f>IF(AND(B39&gt;$B$3,B39&lt;=$B$2),IF(B39=$B$2,$B$5+100,$B$5),0)</f>
        <v/>
      </c>
      <c r="D39" s="49">
        <f>IF(AND($C39&gt;0,B39&gt;$B$6),1,0)</f>
        <v/>
      </c>
      <c r="E39" s="49">
        <f>IF(D39=1,SUM($D$15:D39),"")</f>
        <v/>
      </c>
      <c r="F39" s="51">
        <f>IF(D39=1,$C39/(1+$B$8/2)^(E39-1),0)</f>
        <v/>
      </c>
      <c r="G39" s="51">
        <f>IF(D39=1,$C39/(1+($B$8+0.0001)/2)^(E39-1),0)</f>
        <v/>
      </c>
      <c r="H39" s="51">
        <f>IF(D39=1,$C39/(1+($B$8-0.0001)/2)^(E39-1),0)</f>
        <v/>
      </c>
      <c r="I39" s="49">
        <f>IF(AND($C39&gt;0,B39&gt;$B$7),1,0)</f>
        <v/>
      </c>
      <c r="J39" s="49">
        <f>IF(I39=1,SUM($I$15:I39),"")</f>
        <v/>
      </c>
      <c r="K39" s="51">
        <f>IF(I39=1,$C39/(1+$B$104/2)^(J39-1),0)</f>
        <v/>
      </c>
      <c r="L39" s="51">
        <f>IF(I39=1,$C39/(1+($B$104+0.0001)/2)^(J39-1),0)</f>
        <v/>
      </c>
      <c r="M39" s="51">
        <f>IF(I39=1,$C39/(1+($B$104-0.0001)/2)^(J39-1),0)</f>
        <v/>
      </c>
      <c r="N39" s="51">
        <f>IF(I39=1,$C39/(1+$B$109/2)^(J39-1),0)</f>
        <v/>
      </c>
      <c r="O39" s="51">
        <f>IF(I39=1,$C39/(1+$B$111/2)^(J39-1),0)</f>
        <v/>
      </c>
      <c r="P39" s="51">
        <f>IF(I39=1,$C39/(1+($B$111+0.0001)/2)^(J39-1),0)</f>
        <v/>
      </c>
      <c r="Q39" s="51">
        <f>IF(I39=1,$C39/(1+($B$111-0.0001)/2)^(J39-1),0)</f>
        <v/>
      </c>
      <c r="R39" s="51">
        <f>IF(AND($C39&gt;0,B39&gt;$B$6,B39&lt;=$B$7),$C39*(1+$B$10*($B$7-B39)/365),0)</f>
        <v/>
      </c>
      <c r="S39" s="51">
        <f>IF(I39=1,$C39/(1+($B$111+손익!$B$24/10000)/2)^(J39-1),0)</f>
        <v/>
      </c>
      <c r="T39" s="51">
        <f>IF(I39=1,$C39/(1+($B$111+시나리오!$A$4/10000)/2)^(J39-1),0)</f>
        <v/>
      </c>
      <c r="U39" s="51">
        <f>IF(I39=1,$C39/(1+($B$111+시나리오!$A$5/10000)/2)^(J39-1),0)</f>
        <v/>
      </c>
      <c r="V39" s="51">
        <f>IF(I39=1,$C39/(1+($B$111+시나리오!$A$6/10000)/2)^(J39-1),0)</f>
        <v/>
      </c>
      <c r="W39" s="51">
        <f>IF(I39=1,$C39/(1+($B$111+시나리오!$A$7/10000)/2)^(J39-1),0)</f>
        <v/>
      </c>
      <c r="X39" s="51">
        <f>IF(I39=1,$C39/(1+($B$111+시나리오!$A$8/10000)/2)^(J39-1),0)</f>
        <v/>
      </c>
      <c r="Y39" s="51">
        <f>IF(I39=1,$C39/(1+($B$111+시나리오!$A$9/10000)/2)^(J39-1),0)</f>
        <v/>
      </c>
      <c r="Z39" s="51">
        <f>IF(I39=1,$C39/(1+($B$111+시나리오!$A$10/10000)/2)^(J39-1),0)</f>
        <v/>
      </c>
      <c r="AA39" s="51">
        <f>IF(I39=1,$C39/(1+($B$111+시나리오!$A$11/10000)/2)^(J39-1),0)</f>
        <v/>
      </c>
      <c r="AB39" s="51">
        <f>IF(I39=1,$C39/(1+($B$111+시나리오!$A$12/10000)/2)^(J39-1),0)</f>
        <v/>
      </c>
      <c r="AC39" s="51">
        <f>IF(I39=1,$C39/(1+($B$111+시나리오!$A$13/10000)/2)^(J39-1),0)</f>
        <v/>
      </c>
      <c r="AD39" s="51">
        <f>IF(I39=1,$C39/(1+($B$111+시나리오!$A$14/10000)/2)^(J39-1),0)</f>
        <v/>
      </c>
      <c r="AE39" s="51">
        <f>IF(I39=1,$C39/(1+($B$111+시나리오!$A$15/10000)/2)^(J39-1),0)</f>
        <v/>
      </c>
      <c r="AF39" s="51">
        <f>IF(I39=1,$C39/(1+($B$111+시나리오!$A$16/10000)/2)^(J39-1),0)</f>
        <v/>
      </c>
      <c r="AG39" s="51">
        <f>IF(I39=1,$C39/(1+($B$111+시나리오!$A$17/10000)/2)^(J39-1),0)</f>
        <v/>
      </c>
      <c r="AH39" s="51">
        <f>IF(I39=1,$C39/(1+($B$111+시나리오!$A$18/10000)/2)^(J39-1),0)</f>
        <v/>
      </c>
      <c r="AI39" s="51">
        <f>IF(I39=1,$C39/(1+($B$111+시나리오!$A$19/10000)/2)^(J39-1),0)</f>
        <v/>
      </c>
      <c r="AJ39" s="51">
        <f>IF(I39=1,$C39/(1+($B$111+시나리오!$A$20/10000)/2)^(J39-1),0)</f>
        <v/>
      </c>
      <c r="AK39" s="51">
        <f>IF(I39=1,$C39/(1+($B$111+시나리오!$A$21/10000)/2)^(J39-1),0)</f>
        <v/>
      </c>
      <c r="AL39" s="51">
        <f>IF(I39=1,$C39/(1+($B$111+시나리오!$A$22/10000)/2)^(J39-1),0)</f>
        <v/>
      </c>
      <c r="AM39" s="51">
        <f>IF(I39=1,$C39/(1+($B$111+시나리오!$A$23/10000)/2)^(J39-1),0)</f>
        <v/>
      </c>
      <c r="AN39" s="51">
        <f>IF(I39=1,$C39/(1+($B$111+시나리오!$A$24/10000)/2)^(J39-1),0)</f>
        <v/>
      </c>
      <c r="AQ39" s="49" t="n">
        <v>25</v>
      </c>
      <c r="AR39" s="50">
        <f>EDATE($AR$2,-6*(62-$AQ39))</f>
        <v/>
      </c>
      <c r="AS39" s="51">
        <f>IF(AND(AR39&gt;$AR$3,AR39&lt;=$AR$2),IF(AR39=$AR$2,$AR$5+100,$AR$5),0)</f>
        <v/>
      </c>
      <c r="AT39" s="49">
        <f>IF(AND($AS39&gt;0,AR39&gt;$AR$6),1,0)</f>
        <v/>
      </c>
      <c r="AU39" s="49">
        <f>IF(AT39=1,SUM($AT$15:AT39),"")</f>
        <v/>
      </c>
      <c r="AV39" s="51">
        <f>IF(AT39=1,$AS39/(1+$AR$8/2)^(AU39-1),0)</f>
        <v/>
      </c>
      <c r="AW39" s="51">
        <f>IF(AT39=1,$AS39/(1+($AR$8+0.0001)/2)^(AU39-1),0)</f>
        <v/>
      </c>
      <c r="AX39" s="51">
        <f>IF(AT39=1,$AS39/(1+($AR$8-0.0001)/2)^(AU39-1),0)</f>
        <v/>
      </c>
      <c r="AY39" s="49">
        <f>IF(AND($AS39&gt;0,AR39&gt;$AR$7),1,0)</f>
        <v/>
      </c>
      <c r="AZ39" s="49">
        <f>IF(AY39=1,SUM($AY$15:AY39),"")</f>
        <v/>
      </c>
      <c r="BA39" s="51">
        <f>IF(AY39=1,$AS39/(1+$AR$104/2)^(AZ39-1),0)</f>
        <v/>
      </c>
      <c r="BB39" s="51">
        <f>IF(AY39=1,$AS39/(1+($AR$104+0.0001)/2)^(AZ39-1),0)</f>
        <v/>
      </c>
      <c r="BC39" s="51">
        <f>IF(AY39=1,$AS39/(1+($AR$104-0.0001)/2)^(AZ39-1),0)</f>
        <v/>
      </c>
      <c r="BD39" s="51">
        <f>IF(AY39=1,$AS39/(1+$AR$109/2)^(AZ39-1),0)</f>
        <v/>
      </c>
      <c r="BE39" s="51">
        <f>IF(AY39=1,$AS39/(1+$AR$111/2)^(AZ39-1),0)</f>
        <v/>
      </c>
      <c r="BF39" s="51">
        <f>IF(AY39=1,$AS39/(1+($AR$111+0.0001)/2)^(AZ39-1),0)</f>
        <v/>
      </c>
      <c r="BG39" s="51">
        <f>IF(AY39=1,$AS39/(1+($AR$111-0.0001)/2)^(AZ39-1),0)</f>
        <v/>
      </c>
      <c r="BH39" s="51">
        <f>IF(AND($AS39&gt;0,AR39&gt;$AR$6,AR39&lt;=$AR$7),$AS39*(1+$AR$10*($AR$7-AR39)/365),0)</f>
        <v/>
      </c>
      <c r="BI39" s="51">
        <f>IF(AY39=1,$AS39/(1+($AR$111+손익!$B$24/10000)/2)^(AZ39-1),0)</f>
        <v/>
      </c>
      <c r="BJ39" s="51">
        <f>IF(AY39=1,$AS39/(1+($AR$111+시나리오!$A$4/10000)/2)^(AZ39-1),0)</f>
        <v/>
      </c>
      <c r="BK39" s="51">
        <f>IF(AY39=1,$AS39/(1+($AR$111+시나리오!$A$5/10000)/2)^(AZ39-1),0)</f>
        <v/>
      </c>
      <c r="BL39" s="51">
        <f>IF(AY39=1,$AS39/(1+($AR$111+시나리오!$A$6/10000)/2)^(AZ39-1),0)</f>
        <v/>
      </c>
      <c r="BM39" s="51">
        <f>IF(AY39=1,$AS39/(1+($AR$111+시나리오!$A$7/10000)/2)^(AZ39-1),0)</f>
        <v/>
      </c>
      <c r="BN39" s="51">
        <f>IF(AY39=1,$AS39/(1+($AR$111+시나리오!$A$8/10000)/2)^(AZ39-1),0)</f>
        <v/>
      </c>
      <c r="BO39" s="51">
        <f>IF(AY39=1,$AS39/(1+($AR$111+시나리오!$A$9/10000)/2)^(AZ39-1),0)</f>
        <v/>
      </c>
      <c r="BP39" s="51">
        <f>IF(AY39=1,$AS39/(1+($AR$111+시나리오!$A$10/10000)/2)^(AZ39-1),0)</f>
        <v/>
      </c>
      <c r="BQ39" s="51">
        <f>IF(AY39=1,$AS39/(1+($AR$111+시나리오!$A$11/10000)/2)^(AZ39-1),0)</f>
        <v/>
      </c>
      <c r="BR39" s="51">
        <f>IF(AY39=1,$AS39/(1+($AR$111+시나리오!$A$12/10000)/2)^(AZ39-1),0)</f>
        <v/>
      </c>
      <c r="BS39" s="51">
        <f>IF(AY39=1,$AS39/(1+($AR$111+시나리오!$A$13/10000)/2)^(AZ39-1),0)</f>
        <v/>
      </c>
      <c r="BT39" s="51">
        <f>IF(AY39=1,$AS39/(1+($AR$111+시나리오!$A$14/10000)/2)^(AZ39-1),0)</f>
        <v/>
      </c>
      <c r="BU39" s="51">
        <f>IF(AY39=1,$AS39/(1+($AR$111+시나리오!$A$15/10000)/2)^(AZ39-1),0)</f>
        <v/>
      </c>
      <c r="BV39" s="51">
        <f>IF(AY39=1,$AS39/(1+($AR$111+시나리오!$A$16/10000)/2)^(AZ39-1),0)</f>
        <v/>
      </c>
      <c r="BW39" s="51">
        <f>IF(AY39=1,$AS39/(1+($AR$111+시나리오!$A$17/10000)/2)^(AZ39-1),0)</f>
        <v/>
      </c>
      <c r="BX39" s="51">
        <f>IF(AY39=1,$AS39/(1+($AR$111+시나리오!$A$18/10000)/2)^(AZ39-1),0)</f>
        <v/>
      </c>
      <c r="BY39" s="51">
        <f>IF(AY39=1,$AS39/(1+($AR$111+시나리오!$A$19/10000)/2)^(AZ39-1),0)</f>
        <v/>
      </c>
      <c r="BZ39" s="51">
        <f>IF(AY39=1,$AS39/(1+($AR$111+시나리오!$A$20/10000)/2)^(AZ39-1),0)</f>
        <v/>
      </c>
      <c r="CA39" s="51">
        <f>IF(AY39=1,$AS39/(1+($AR$111+시나리오!$A$21/10000)/2)^(AZ39-1),0)</f>
        <v/>
      </c>
      <c r="CB39" s="51">
        <f>IF(AY39=1,$AS39/(1+($AR$111+시나리오!$A$22/10000)/2)^(AZ39-1),0)</f>
        <v/>
      </c>
      <c r="CC39" s="51">
        <f>IF(AY39=1,$AS39/(1+($AR$111+시나리오!$A$23/10000)/2)^(AZ39-1),0)</f>
        <v/>
      </c>
      <c r="CD39" s="51">
        <f>IF(AY39=1,$AS39/(1+($AR$111+시나리오!$A$24/10000)/2)^(AZ39-1),0)</f>
        <v/>
      </c>
      <c r="CG39" s="49" t="n">
        <v>25</v>
      </c>
      <c r="CH39" s="50">
        <f>EDATE($CH$2,-6*(62-$CG39))</f>
        <v/>
      </c>
      <c r="CI39" s="51">
        <f>IF(AND(CH39&gt;$CH$3,CH39&lt;=$CH$2),IF(CH39=$CH$2,$CH$5+100,$CH$5),0)</f>
        <v/>
      </c>
      <c r="CJ39" s="49">
        <f>IF(AND($CI39&gt;0,CH39&gt;$CH$6),1,0)</f>
        <v/>
      </c>
      <c r="CK39" s="49">
        <f>IF(CJ39=1,SUM($CJ$15:CJ39),"")</f>
        <v/>
      </c>
      <c r="CL39" s="51">
        <f>IF(CJ39=1,$CI39/(1+$CH$8/2)^(CK39-1),0)</f>
        <v/>
      </c>
      <c r="CM39" s="51">
        <f>IF(CJ39=1,$CI39/(1+($CH$8+0.0001)/2)^(CK39-1),0)</f>
        <v/>
      </c>
      <c r="CN39" s="51">
        <f>IF(CJ39=1,$CI39/(1+($CH$8-0.0001)/2)^(CK39-1),0)</f>
        <v/>
      </c>
      <c r="CO39" s="49">
        <f>IF(AND($CI39&gt;0,CH39&gt;$CH$7),1,0)</f>
        <v/>
      </c>
      <c r="CP39" s="49">
        <f>IF(CO39=1,SUM($CO$15:CO39),"")</f>
        <v/>
      </c>
      <c r="CQ39" s="51">
        <f>IF(CO39=1,$CI39/(1+$CH$104/2)^(CP39-1),0)</f>
        <v/>
      </c>
      <c r="CR39" s="51">
        <f>IF(CO39=1,$CI39/(1+($CH$104+0.0001)/2)^(CP39-1),0)</f>
        <v/>
      </c>
      <c r="CS39" s="51">
        <f>IF(CO39=1,$CI39/(1+($CH$104-0.0001)/2)^(CP39-1),0)</f>
        <v/>
      </c>
      <c r="CT39" s="51">
        <f>IF(CO39=1,$CI39/(1+$CH$109/2)^(CP39-1),0)</f>
        <v/>
      </c>
      <c r="CU39" s="51">
        <f>IF(CO39=1,$CI39/(1+$CH$111/2)^(CP39-1),0)</f>
        <v/>
      </c>
      <c r="CV39" s="51">
        <f>IF(CO39=1,$CI39/(1+($CH$111+0.0001)/2)^(CP39-1),0)</f>
        <v/>
      </c>
      <c r="CW39" s="51">
        <f>IF(CO39=1,$CI39/(1+($CH$111-0.0001)/2)^(CP39-1),0)</f>
        <v/>
      </c>
      <c r="CX39" s="51">
        <f>IF(AND($CI39&gt;0,CH39&gt;$CH$6,CH39&lt;=$CH$7),$CI39*(1+$CH$10*($CH$7-CH39)/365),0)</f>
        <v/>
      </c>
      <c r="CY39" s="51">
        <f>IF(CO39=1,$CI39/(1+($CH$111+손익!$B$24/10000)/2)^(CP39-1),0)</f>
        <v/>
      </c>
      <c r="CZ39" s="51">
        <f>IF(CO39=1,$CI39/(1+($CH$111+시나리오!$A$4/10000)/2)^(CP39-1),0)</f>
        <v/>
      </c>
      <c r="DA39" s="51">
        <f>IF(CO39=1,$CI39/(1+($CH$111+시나리오!$A$5/10000)/2)^(CP39-1),0)</f>
        <v/>
      </c>
      <c r="DB39" s="51">
        <f>IF(CO39=1,$CI39/(1+($CH$111+시나리오!$A$6/10000)/2)^(CP39-1),0)</f>
        <v/>
      </c>
      <c r="DC39" s="51">
        <f>IF(CO39=1,$CI39/(1+($CH$111+시나리오!$A$7/10000)/2)^(CP39-1),0)</f>
        <v/>
      </c>
      <c r="DD39" s="51">
        <f>IF(CO39=1,$CI39/(1+($CH$111+시나리오!$A$8/10000)/2)^(CP39-1),0)</f>
        <v/>
      </c>
      <c r="DE39" s="51">
        <f>IF(CO39=1,$CI39/(1+($CH$111+시나리오!$A$9/10000)/2)^(CP39-1),0)</f>
        <v/>
      </c>
      <c r="DF39" s="51">
        <f>IF(CO39=1,$CI39/(1+($CH$111+시나리오!$A$10/10000)/2)^(CP39-1),0)</f>
        <v/>
      </c>
      <c r="DG39" s="51">
        <f>IF(CO39=1,$CI39/(1+($CH$111+시나리오!$A$11/10000)/2)^(CP39-1),0)</f>
        <v/>
      </c>
      <c r="DH39" s="51">
        <f>IF(CO39=1,$CI39/(1+($CH$111+시나리오!$A$12/10000)/2)^(CP39-1),0)</f>
        <v/>
      </c>
      <c r="DI39" s="51">
        <f>IF(CO39=1,$CI39/(1+($CH$111+시나리오!$A$13/10000)/2)^(CP39-1),0)</f>
        <v/>
      </c>
      <c r="DJ39" s="51">
        <f>IF(CO39=1,$CI39/(1+($CH$111+시나리오!$A$14/10000)/2)^(CP39-1),0)</f>
        <v/>
      </c>
      <c r="DK39" s="51">
        <f>IF(CO39=1,$CI39/(1+($CH$111+시나리오!$A$15/10000)/2)^(CP39-1),0)</f>
        <v/>
      </c>
      <c r="DL39" s="51">
        <f>IF(CO39=1,$CI39/(1+($CH$111+시나리오!$A$16/10000)/2)^(CP39-1),0)</f>
        <v/>
      </c>
      <c r="DM39" s="51">
        <f>IF(CO39=1,$CI39/(1+($CH$111+시나리오!$A$17/10000)/2)^(CP39-1),0)</f>
        <v/>
      </c>
      <c r="DN39" s="51">
        <f>IF(CO39=1,$CI39/(1+($CH$111+시나리오!$A$18/10000)/2)^(CP39-1),0)</f>
        <v/>
      </c>
      <c r="DO39" s="51">
        <f>IF(CO39=1,$CI39/(1+($CH$111+시나리오!$A$19/10000)/2)^(CP39-1),0)</f>
        <v/>
      </c>
      <c r="DP39" s="51">
        <f>IF(CO39=1,$CI39/(1+($CH$111+시나리오!$A$20/10000)/2)^(CP39-1),0)</f>
        <v/>
      </c>
      <c r="DQ39" s="51">
        <f>IF(CO39=1,$CI39/(1+($CH$111+시나리오!$A$21/10000)/2)^(CP39-1),0)</f>
        <v/>
      </c>
      <c r="DR39" s="51">
        <f>IF(CO39=1,$CI39/(1+($CH$111+시나리오!$A$22/10000)/2)^(CP39-1),0)</f>
        <v/>
      </c>
      <c r="DS39" s="51">
        <f>IF(CO39=1,$CI39/(1+($CH$111+시나리오!$A$23/10000)/2)^(CP39-1),0)</f>
        <v/>
      </c>
      <c r="DT39" s="51">
        <f>IF(CO39=1,$CI39/(1+($CH$111+시나리오!$A$24/10000)/2)^(CP39-1),0)</f>
        <v/>
      </c>
    </row>
    <row r="40">
      <c r="A40" s="49" t="n">
        <v>26</v>
      </c>
      <c r="B40" s="50">
        <f>EDATE($B$2,-6*(62-$A40))</f>
        <v/>
      </c>
      <c r="C40" s="51">
        <f>IF(AND(B40&gt;$B$3,B40&lt;=$B$2),IF(B40=$B$2,$B$5+100,$B$5),0)</f>
        <v/>
      </c>
      <c r="D40" s="49">
        <f>IF(AND($C40&gt;0,B40&gt;$B$6),1,0)</f>
        <v/>
      </c>
      <c r="E40" s="49">
        <f>IF(D40=1,SUM($D$15:D40),"")</f>
        <v/>
      </c>
      <c r="F40" s="51">
        <f>IF(D40=1,$C40/(1+$B$8/2)^(E40-1),0)</f>
        <v/>
      </c>
      <c r="G40" s="51">
        <f>IF(D40=1,$C40/(1+($B$8+0.0001)/2)^(E40-1),0)</f>
        <v/>
      </c>
      <c r="H40" s="51">
        <f>IF(D40=1,$C40/(1+($B$8-0.0001)/2)^(E40-1),0)</f>
        <v/>
      </c>
      <c r="I40" s="49">
        <f>IF(AND($C40&gt;0,B40&gt;$B$7),1,0)</f>
        <v/>
      </c>
      <c r="J40" s="49">
        <f>IF(I40=1,SUM($I$15:I40),"")</f>
        <v/>
      </c>
      <c r="K40" s="51">
        <f>IF(I40=1,$C40/(1+$B$104/2)^(J40-1),0)</f>
        <v/>
      </c>
      <c r="L40" s="51">
        <f>IF(I40=1,$C40/(1+($B$104+0.0001)/2)^(J40-1),0)</f>
        <v/>
      </c>
      <c r="M40" s="51">
        <f>IF(I40=1,$C40/(1+($B$104-0.0001)/2)^(J40-1),0)</f>
        <v/>
      </c>
      <c r="N40" s="51">
        <f>IF(I40=1,$C40/(1+$B$109/2)^(J40-1),0)</f>
        <v/>
      </c>
      <c r="O40" s="51">
        <f>IF(I40=1,$C40/(1+$B$111/2)^(J40-1),0)</f>
        <v/>
      </c>
      <c r="P40" s="51">
        <f>IF(I40=1,$C40/(1+($B$111+0.0001)/2)^(J40-1),0)</f>
        <v/>
      </c>
      <c r="Q40" s="51">
        <f>IF(I40=1,$C40/(1+($B$111-0.0001)/2)^(J40-1),0)</f>
        <v/>
      </c>
      <c r="R40" s="51">
        <f>IF(AND($C40&gt;0,B40&gt;$B$6,B40&lt;=$B$7),$C40*(1+$B$10*($B$7-B40)/365),0)</f>
        <v/>
      </c>
      <c r="S40" s="51">
        <f>IF(I40=1,$C40/(1+($B$111+손익!$B$24/10000)/2)^(J40-1),0)</f>
        <v/>
      </c>
      <c r="T40" s="51">
        <f>IF(I40=1,$C40/(1+($B$111+시나리오!$A$4/10000)/2)^(J40-1),0)</f>
        <v/>
      </c>
      <c r="U40" s="51">
        <f>IF(I40=1,$C40/(1+($B$111+시나리오!$A$5/10000)/2)^(J40-1),0)</f>
        <v/>
      </c>
      <c r="V40" s="51">
        <f>IF(I40=1,$C40/(1+($B$111+시나리오!$A$6/10000)/2)^(J40-1),0)</f>
        <v/>
      </c>
      <c r="W40" s="51">
        <f>IF(I40=1,$C40/(1+($B$111+시나리오!$A$7/10000)/2)^(J40-1),0)</f>
        <v/>
      </c>
      <c r="X40" s="51">
        <f>IF(I40=1,$C40/(1+($B$111+시나리오!$A$8/10000)/2)^(J40-1),0)</f>
        <v/>
      </c>
      <c r="Y40" s="51">
        <f>IF(I40=1,$C40/(1+($B$111+시나리오!$A$9/10000)/2)^(J40-1),0)</f>
        <v/>
      </c>
      <c r="Z40" s="51">
        <f>IF(I40=1,$C40/(1+($B$111+시나리오!$A$10/10000)/2)^(J40-1),0)</f>
        <v/>
      </c>
      <c r="AA40" s="51">
        <f>IF(I40=1,$C40/(1+($B$111+시나리오!$A$11/10000)/2)^(J40-1),0)</f>
        <v/>
      </c>
      <c r="AB40" s="51">
        <f>IF(I40=1,$C40/(1+($B$111+시나리오!$A$12/10000)/2)^(J40-1),0)</f>
        <v/>
      </c>
      <c r="AC40" s="51">
        <f>IF(I40=1,$C40/(1+($B$111+시나리오!$A$13/10000)/2)^(J40-1),0)</f>
        <v/>
      </c>
      <c r="AD40" s="51">
        <f>IF(I40=1,$C40/(1+($B$111+시나리오!$A$14/10000)/2)^(J40-1),0)</f>
        <v/>
      </c>
      <c r="AE40" s="51">
        <f>IF(I40=1,$C40/(1+($B$111+시나리오!$A$15/10000)/2)^(J40-1),0)</f>
        <v/>
      </c>
      <c r="AF40" s="51">
        <f>IF(I40=1,$C40/(1+($B$111+시나리오!$A$16/10000)/2)^(J40-1),0)</f>
        <v/>
      </c>
      <c r="AG40" s="51">
        <f>IF(I40=1,$C40/(1+($B$111+시나리오!$A$17/10000)/2)^(J40-1),0)</f>
        <v/>
      </c>
      <c r="AH40" s="51">
        <f>IF(I40=1,$C40/(1+($B$111+시나리오!$A$18/10000)/2)^(J40-1),0)</f>
        <v/>
      </c>
      <c r="AI40" s="51">
        <f>IF(I40=1,$C40/(1+($B$111+시나리오!$A$19/10000)/2)^(J40-1),0)</f>
        <v/>
      </c>
      <c r="AJ40" s="51">
        <f>IF(I40=1,$C40/(1+($B$111+시나리오!$A$20/10000)/2)^(J40-1),0)</f>
        <v/>
      </c>
      <c r="AK40" s="51">
        <f>IF(I40=1,$C40/(1+($B$111+시나리오!$A$21/10000)/2)^(J40-1),0)</f>
        <v/>
      </c>
      <c r="AL40" s="51">
        <f>IF(I40=1,$C40/(1+($B$111+시나리오!$A$22/10000)/2)^(J40-1),0)</f>
        <v/>
      </c>
      <c r="AM40" s="51">
        <f>IF(I40=1,$C40/(1+($B$111+시나리오!$A$23/10000)/2)^(J40-1),0)</f>
        <v/>
      </c>
      <c r="AN40" s="51">
        <f>IF(I40=1,$C40/(1+($B$111+시나리오!$A$24/10000)/2)^(J40-1),0)</f>
        <v/>
      </c>
      <c r="AQ40" s="49" t="n">
        <v>26</v>
      </c>
      <c r="AR40" s="50">
        <f>EDATE($AR$2,-6*(62-$AQ40))</f>
        <v/>
      </c>
      <c r="AS40" s="51">
        <f>IF(AND(AR40&gt;$AR$3,AR40&lt;=$AR$2),IF(AR40=$AR$2,$AR$5+100,$AR$5),0)</f>
        <v/>
      </c>
      <c r="AT40" s="49">
        <f>IF(AND($AS40&gt;0,AR40&gt;$AR$6),1,0)</f>
        <v/>
      </c>
      <c r="AU40" s="49">
        <f>IF(AT40=1,SUM($AT$15:AT40),"")</f>
        <v/>
      </c>
      <c r="AV40" s="51">
        <f>IF(AT40=1,$AS40/(1+$AR$8/2)^(AU40-1),0)</f>
        <v/>
      </c>
      <c r="AW40" s="51">
        <f>IF(AT40=1,$AS40/(1+($AR$8+0.0001)/2)^(AU40-1),0)</f>
        <v/>
      </c>
      <c r="AX40" s="51">
        <f>IF(AT40=1,$AS40/(1+($AR$8-0.0001)/2)^(AU40-1),0)</f>
        <v/>
      </c>
      <c r="AY40" s="49">
        <f>IF(AND($AS40&gt;0,AR40&gt;$AR$7),1,0)</f>
        <v/>
      </c>
      <c r="AZ40" s="49">
        <f>IF(AY40=1,SUM($AY$15:AY40),"")</f>
        <v/>
      </c>
      <c r="BA40" s="51">
        <f>IF(AY40=1,$AS40/(1+$AR$104/2)^(AZ40-1),0)</f>
        <v/>
      </c>
      <c r="BB40" s="51">
        <f>IF(AY40=1,$AS40/(1+($AR$104+0.0001)/2)^(AZ40-1),0)</f>
        <v/>
      </c>
      <c r="BC40" s="51">
        <f>IF(AY40=1,$AS40/(1+($AR$104-0.0001)/2)^(AZ40-1),0)</f>
        <v/>
      </c>
      <c r="BD40" s="51">
        <f>IF(AY40=1,$AS40/(1+$AR$109/2)^(AZ40-1),0)</f>
        <v/>
      </c>
      <c r="BE40" s="51">
        <f>IF(AY40=1,$AS40/(1+$AR$111/2)^(AZ40-1),0)</f>
        <v/>
      </c>
      <c r="BF40" s="51">
        <f>IF(AY40=1,$AS40/(1+($AR$111+0.0001)/2)^(AZ40-1),0)</f>
        <v/>
      </c>
      <c r="BG40" s="51">
        <f>IF(AY40=1,$AS40/(1+($AR$111-0.0001)/2)^(AZ40-1),0)</f>
        <v/>
      </c>
      <c r="BH40" s="51">
        <f>IF(AND($AS40&gt;0,AR40&gt;$AR$6,AR40&lt;=$AR$7),$AS40*(1+$AR$10*($AR$7-AR40)/365),0)</f>
        <v/>
      </c>
      <c r="BI40" s="51">
        <f>IF(AY40=1,$AS40/(1+($AR$111+손익!$B$24/10000)/2)^(AZ40-1),0)</f>
        <v/>
      </c>
      <c r="BJ40" s="51">
        <f>IF(AY40=1,$AS40/(1+($AR$111+시나리오!$A$4/10000)/2)^(AZ40-1),0)</f>
        <v/>
      </c>
      <c r="BK40" s="51">
        <f>IF(AY40=1,$AS40/(1+($AR$111+시나리오!$A$5/10000)/2)^(AZ40-1),0)</f>
        <v/>
      </c>
      <c r="BL40" s="51">
        <f>IF(AY40=1,$AS40/(1+($AR$111+시나리오!$A$6/10000)/2)^(AZ40-1),0)</f>
        <v/>
      </c>
      <c r="BM40" s="51">
        <f>IF(AY40=1,$AS40/(1+($AR$111+시나리오!$A$7/10000)/2)^(AZ40-1),0)</f>
        <v/>
      </c>
      <c r="BN40" s="51">
        <f>IF(AY40=1,$AS40/(1+($AR$111+시나리오!$A$8/10000)/2)^(AZ40-1),0)</f>
        <v/>
      </c>
      <c r="BO40" s="51">
        <f>IF(AY40=1,$AS40/(1+($AR$111+시나리오!$A$9/10000)/2)^(AZ40-1),0)</f>
        <v/>
      </c>
      <c r="BP40" s="51">
        <f>IF(AY40=1,$AS40/(1+($AR$111+시나리오!$A$10/10000)/2)^(AZ40-1),0)</f>
        <v/>
      </c>
      <c r="BQ40" s="51">
        <f>IF(AY40=1,$AS40/(1+($AR$111+시나리오!$A$11/10000)/2)^(AZ40-1),0)</f>
        <v/>
      </c>
      <c r="BR40" s="51">
        <f>IF(AY40=1,$AS40/(1+($AR$111+시나리오!$A$12/10000)/2)^(AZ40-1),0)</f>
        <v/>
      </c>
      <c r="BS40" s="51">
        <f>IF(AY40=1,$AS40/(1+($AR$111+시나리오!$A$13/10000)/2)^(AZ40-1),0)</f>
        <v/>
      </c>
      <c r="BT40" s="51">
        <f>IF(AY40=1,$AS40/(1+($AR$111+시나리오!$A$14/10000)/2)^(AZ40-1),0)</f>
        <v/>
      </c>
      <c r="BU40" s="51">
        <f>IF(AY40=1,$AS40/(1+($AR$111+시나리오!$A$15/10000)/2)^(AZ40-1),0)</f>
        <v/>
      </c>
      <c r="BV40" s="51">
        <f>IF(AY40=1,$AS40/(1+($AR$111+시나리오!$A$16/10000)/2)^(AZ40-1),0)</f>
        <v/>
      </c>
      <c r="BW40" s="51">
        <f>IF(AY40=1,$AS40/(1+($AR$111+시나리오!$A$17/10000)/2)^(AZ40-1),0)</f>
        <v/>
      </c>
      <c r="BX40" s="51">
        <f>IF(AY40=1,$AS40/(1+($AR$111+시나리오!$A$18/10000)/2)^(AZ40-1),0)</f>
        <v/>
      </c>
      <c r="BY40" s="51">
        <f>IF(AY40=1,$AS40/(1+($AR$111+시나리오!$A$19/10000)/2)^(AZ40-1),0)</f>
        <v/>
      </c>
      <c r="BZ40" s="51">
        <f>IF(AY40=1,$AS40/(1+($AR$111+시나리오!$A$20/10000)/2)^(AZ40-1),0)</f>
        <v/>
      </c>
      <c r="CA40" s="51">
        <f>IF(AY40=1,$AS40/(1+($AR$111+시나리오!$A$21/10000)/2)^(AZ40-1),0)</f>
        <v/>
      </c>
      <c r="CB40" s="51">
        <f>IF(AY40=1,$AS40/(1+($AR$111+시나리오!$A$22/10000)/2)^(AZ40-1),0)</f>
        <v/>
      </c>
      <c r="CC40" s="51">
        <f>IF(AY40=1,$AS40/(1+($AR$111+시나리오!$A$23/10000)/2)^(AZ40-1),0)</f>
        <v/>
      </c>
      <c r="CD40" s="51">
        <f>IF(AY40=1,$AS40/(1+($AR$111+시나리오!$A$24/10000)/2)^(AZ40-1),0)</f>
        <v/>
      </c>
      <c r="CG40" s="49" t="n">
        <v>26</v>
      </c>
      <c r="CH40" s="50">
        <f>EDATE($CH$2,-6*(62-$CG40))</f>
        <v/>
      </c>
      <c r="CI40" s="51">
        <f>IF(AND(CH40&gt;$CH$3,CH40&lt;=$CH$2),IF(CH40=$CH$2,$CH$5+100,$CH$5),0)</f>
        <v/>
      </c>
      <c r="CJ40" s="49">
        <f>IF(AND($CI40&gt;0,CH40&gt;$CH$6),1,0)</f>
        <v/>
      </c>
      <c r="CK40" s="49">
        <f>IF(CJ40=1,SUM($CJ$15:CJ40),"")</f>
        <v/>
      </c>
      <c r="CL40" s="51">
        <f>IF(CJ40=1,$CI40/(1+$CH$8/2)^(CK40-1),0)</f>
        <v/>
      </c>
      <c r="CM40" s="51">
        <f>IF(CJ40=1,$CI40/(1+($CH$8+0.0001)/2)^(CK40-1),0)</f>
        <v/>
      </c>
      <c r="CN40" s="51">
        <f>IF(CJ40=1,$CI40/(1+($CH$8-0.0001)/2)^(CK40-1),0)</f>
        <v/>
      </c>
      <c r="CO40" s="49">
        <f>IF(AND($CI40&gt;0,CH40&gt;$CH$7),1,0)</f>
        <v/>
      </c>
      <c r="CP40" s="49">
        <f>IF(CO40=1,SUM($CO$15:CO40),"")</f>
        <v/>
      </c>
      <c r="CQ40" s="51">
        <f>IF(CO40=1,$CI40/(1+$CH$104/2)^(CP40-1),0)</f>
        <v/>
      </c>
      <c r="CR40" s="51">
        <f>IF(CO40=1,$CI40/(1+($CH$104+0.0001)/2)^(CP40-1),0)</f>
        <v/>
      </c>
      <c r="CS40" s="51">
        <f>IF(CO40=1,$CI40/(1+($CH$104-0.0001)/2)^(CP40-1),0)</f>
        <v/>
      </c>
      <c r="CT40" s="51">
        <f>IF(CO40=1,$CI40/(1+$CH$109/2)^(CP40-1),0)</f>
        <v/>
      </c>
      <c r="CU40" s="51">
        <f>IF(CO40=1,$CI40/(1+$CH$111/2)^(CP40-1),0)</f>
        <v/>
      </c>
      <c r="CV40" s="51">
        <f>IF(CO40=1,$CI40/(1+($CH$111+0.0001)/2)^(CP40-1),0)</f>
        <v/>
      </c>
      <c r="CW40" s="51">
        <f>IF(CO40=1,$CI40/(1+($CH$111-0.0001)/2)^(CP40-1),0)</f>
        <v/>
      </c>
      <c r="CX40" s="51">
        <f>IF(AND($CI40&gt;0,CH40&gt;$CH$6,CH40&lt;=$CH$7),$CI40*(1+$CH$10*($CH$7-CH40)/365),0)</f>
        <v/>
      </c>
      <c r="CY40" s="51">
        <f>IF(CO40=1,$CI40/(1+($CH$111+손익!$B$24/10000)/2)^(CP40-1),0)</f>
        <v/>
      </c>
      <c r="CZ40" s="51">
        <f>IF(CO40=1,$CI40/(1+($CH$111+시나리오!$A$4/10000)/2)^(CP40-1),0)</f>
        <v/>
      </c>
      <c r="DA40" s="51">
        <f>IF(CO40=1,$CI40/(1+($CH$111+시나리오!$A$5/10000)/2)^(CP40-1),0)</f>
        <v/>
      </c>
      <c r="DB40" s="51">
        <f>IF(CO40=1,$CI40/(1+($CH$111+시나리오!$A$6/10000)/2)^(CP40-1),0)</f>
        <v/>
      </c>
      <c r="DC40" s="51">
        <f>IF(CO40=1,$CI40/(1+($CH$111+시나리오!$A$7/10000)/2)^(CP40-1),0)</f>
        <v/>
      </c>
      <c r="DD40" s="51">
        <f>IF(CO40=1,$CI40/(1+($CH$111+시나리오!$A$8/10000)/2)^(CP40-1),0)</f>
        <v/>
      </c>
      <c r="DE40" s="51">
        <f>IF(CO40=1,$CI40/(1+($CH$111+시나리오!$A$9/10000)/2)^(CP40-1),0)</f>
        <v/>
      </c>
      <c r="DF40" s="51">
        <f>IF(CO40=1,$CI40/(1+($CH$111+시나리오!$A$10/10000)/2)^(CP40-1),0)</f>
        <v/>
      </c>
      <c r="DG40" s="51">
        <f>IF(CO40=1,$CI40/(1+($CH$111+시나리오!$A$11/10000)/2)^(CP40-1),0)</f>
        <v/>
      </c>
      <c r="DH40" s="51">
        <f>IF(CO40=1,$CI40/(1+($CH$111+시나리오!$A$12/10000)/2)^(CP40-1),0)</f>
        <v/>
      </c>
      <c r="DI40" s="51">
        <f>IF(CO40=1,$CI40/(1+($CH$111+시나리오!$A$13/10000)/2)^(CP40-1),0)</f>
        <v/>
      </c>
      <c r="DJ40" s="51">
        <f>IF(CO40=1,$CI40/(1+($CH$111+시나리오!$A$14/10000)/2)^(CP40-1),0)</f>
        <v/>
      </c>
      <c r="DK40" s="51">
        <f>IF(CO40=1,$CI40/(1+($CH$111+시나리오!$A$15/10000)/2)^(CP40-1),0)</f>
        <v/>
      </c>
      <c r="DL40" s="51">
        <f>IF(CO40=1,$CI40/(1+($CH$111+시나리오!$A$16/10000)/2)^(CP40-1),0)</f>
        <v/>
      </c>
      <c r="DM40" s="51">
        <f>IF(CO40=1,$CI40/(1+($CH$111+시나리오!$A$17/10000)/2)^(CP40-1),0)</f>
        <v/>
      </c>
      <c r="DN40" s="51">
        <f>IF(CO40=1,$CI40/(1+($CH$111+시나리오!$A$18/10000)/2)^(CP40-1),0)</f>
        <v/>
      </c>
      <c r="DO40" s="51">
        <f>IF(CO40=1,$CI40/(1+($CH$111+시나리오!$A$19/10000)/2)^(CP40-1),0)</f>
        <v/>
      </c>
      <c r="DP40" s="51">
        <f>IF(CO40=1,$CI40/(1+($CH$111+시나리오!$A$20/10000)/2)^(CP40-1),0)</f>
        <v/>
      </c>
      <c r="DQ40" s="51">
        <f>IF(CO40=1,$CI40/(1+($CH$111+시나리오!$A$21/10000)/2)^(CP40-1),0)</f>
        <v/>
      </c>
      <c r="DR40" s="51">
        <f>IF(CO40=1,$CI40/(1+($CH$111+시나리오!$A$22/10000)/2)^(CP40-1),0)</f>
        <v/>
      </c>
      <c r="DS40" s="51">
        <f>IF(CO40=1,$CI40/(1+($CH$111+시나리오!$A$23/10000)/2)^(CP40-1),0)</f>
        <v/>
      </c>
      <c r="DT40" s="51">
        <f>IF(CO40=1,$CI40/(1+($CH$111+시나리오!$A$24/10000)/2)^(CP40-1),0)</f>
        <v/>
      </c>
    </row>
    <row r="41">
      <c r="A41" s="49" t="n">
        <v>27</v>
      </c>
      <c r="B41" s="50">
        <f>EDATE($B$2,-6*(62-$A41))</f>
        <v/>
      </c>
      <c r="C41" s="51">
        <f>IF(AND(B41&gt;$B$3,B41&lt;=$B$2),IF(B41=$B$2,$B$5+100,$B$5),0)</f>
        <v/>
      </c>
      <c r="D41" s="49">
        <f>IF(AND($C41&gt;0,B41&gt;$B$6),1,0)</f>
        <v/>
      </c>
      <c r="E41" s="49">
        <f>IF(D41=1,SUM($D$15:D41),"")</f>
        <v/>
      </c>
      <c r="F41" s="51">
        <f>IF(D41=1,$C41/(1+$B$8/2)^(E41-1),0)</f>
        <v/>
      </c>
      <c r="G41" s="51">
        <f>IF(D41=1,$C41/(1+($B$8+0.0001)/2)^(E41-1),0)</f>
        <v/>
      </c>
      <c r="H41" s="51">
        <f>IF(D41=1,$C41/(1+($B$8-0.0001)/2)^(E41-1),0)</f>
        <v/>
      </c>
      <c r="I41" s="49">
        <f>IF(AND($C41&gt;0,B41&gt;$B$7),1,0)</f>
        <v/>
      </c>
      <c r="J41" s="49">
        <f>IF(I41=1,SUM($I$15:I41),"")</f>
        <v/>
      </c>
      <c r="K41" s="51">
        <f>IF(I41=1,$C41/(1+$B$104/2)^(J41-1),0)</f>
        <v/>
      </c>
      <c r="L41" s="51">
        <f>IF(I41=1,$C41/(1+($B$104+0.0001)/2)^(J41-1),0)</f>
        <v/>
      </c>
      <c r="M41" s="51">
        <f>IF(I41=1,$C41/(1+($B$104-0.0001)/2)^(J41-1),0)</f>
        <v/>
      </c>
      <c r="N41" s="51">
        <f>IF(I41=1,$C41/(1+$B$109/2)^(J41-1),0)</f>
        <v/>
      </c>
      <c r="O41" s="51">
        <f>IF(I41=1,$C41/(1+$B$111/2)^(J41-1),0)</f>
        <v/>
      </c>
      <c r="P41" s="51">
        <f>IF(I41=1,$C41/(1+($B$111+0.0001)/2)^(J41-1),0)</f>
        <v/>
      </c>
      <c r="Q41" s="51">
        <f>IF(I41=1,$C41/(1+($B$111-0.0001)/2)^(J41-1),0)</f>
        <v/>
      </c>
      <c r="R41" s="51">
        <f>IF(AND($C41&gt;0,B41&gt;$B$6,B41&lt;=$B$7),$C41*(1+$B$10*($B$7-B41)/365),0)</f>
        <v/>
      </c>
      <c r="S41" s="51">
        <f>IF(I41=1,$C41/(1+($B$111+손익!$B$24/10000)/2)^(J41-1),0)</f>
        <v/>
      </c>
      <c r="T41" s="51">
        <f>IF(I41=1,$C41/(1+($B$111+시나리오!$A$4/10000)/2)^(J41-1),0)</f>
        <v/>
      </c>
      <c r="U41" s="51">
        <f>IF(I41=1,$C41/(1+($B$111+시나리오!$A$5/10000)/2)^(J41-1),0)</f>
        <v/>
      </c>
      <c r="V41" s="51">
        <f>IF(I41=1,$C41/(1+($B$111+시나리오!$A$6/10000)/2)^(J41-1),0)</f>
        <v/>
      </c>
      <c r="W41" s="51">
        <f>IF(I41=1,$C41/(1+($B$111+시나리오!$A$7/10000)/2)^(J41-1),0)</f>
        <v/>
      </c>
      <c r="X41" s="51">
        <f>IF(I41=1,$C41/(1+($B$111+시나리오!$A$8/10000)/2)^(J41-1),0)</f>
        <v/>
      </c>
      <c r="Y41" s="51">
        <f>IF(I41=1,$C41/(1+($B$111+시나리오!$A$9/10000)/2)^(J41-1),0)</f>
        <v/>
      </c>
      <c r="Z41" s="51">
        <f>IF(I41=1,$C41/(1+($B$111+시나리오!$A$10/10000)/2)^(J41-1),0)</f>
        <v/>
      </c>
      <c r="AA41" s="51">
        <f>IF(I41=1,$C41/(1+($B$111+시나리오!$A$11/10000)/2)^(J41-1),0)</f>
        <v/>
      </c>
      <c r="AB41" s="51">
        <f>IF(I41=1,$C41/(1+($B$111+시나리오!$A$12/10000)/2)^(J41-1),0)</f>
        <v/>
      </c>
      <c r="AC41" s="51">
        <f>IF(I41=1,$C41/(1+($B$111+시나리오!$A$13/10000)/2)^(J41-1),0)</f>
        <v/>
      </c>
      <c r="AD41" s="51">
        <f>IF(I41=1,$C41/(1+($B$111+시나리오!$A$14/10000)/2)^(J41-1),0)</f>
        <v/>
      </c>
      <c r="AE41" s="51">
        <f>IF(I41=1,$C41/(1+($B$111+시나리오!$A$15/10000)/2)^(J41-1),0)</f>
        <v/>
      </c>
      <c r="AF41" s="51">
        <f>IF(I41=1,$C41/(1+($B$111+시나리오!$A$16/10000)/2)^(J41-1),0)</f>
        <v/>
      </c>
      <c r="AG41" s="51">
        <f>IF(I41=1,$C41/(1+($B$111+시나리오!$A$17/10000)/2)^(J41-1),0)</f>
        <v/>
      </c>
      <c r="AH41" s="51">
        <f>IF(I41=1,$C41/(1+($B$111+시나리오!$A$18/10000)/2)^(J41-1),0)</f>
        <v/>
      </c>
      <c r="AI41" s="51">
        <f>IF(I41=1,$C41/(1+($B$111+시나리오!$A$19/10000)/2)^(J41-1),0)</f>
        <v/>
      </c>
      <c r="AJ41" s="51">
        <f>IF(I41=1,$C41/(1+($B$111+시나리오!$A$20/10000)/2)^(J41-1),0)</f>
        <v/>
      </c>
      <c r="AK41" s="51">
        <f>IF(I41=1,$C41/(1+($B$111+시나리오!$A$21/10000)/2)^(J41-1),0)</f>
        <v/>
      </c>
      <c r="AL41" s="51">
        <f>IF(I41=1,$C41/(1+($B$111+시나리오!$A$22/10000)/2)^(J41-1),0)</f>
        <v/>
      </c>
      <c r="AM41" s="51">
        <f>IF(I41=1,$C41/(1+($B$111+시나리오!$A$23/10000)/2)^(J41-1),0)</f>
        <v/>
      </c>
      <c r="AN41" s="51">
        <f>IF(I41=1,$C41/(1+($B$111+시나리오!$A$24/10000)/2)^(J41-1),0)</f>
        <v/>
      </c>
      <c r="AQ41" s="49" t="n">
        <v>27</v>
      </c>
      <c r="AR41" s="50">
        <f>EDATE($AR$2,-6*(62-$AQ41))</f>
        <v/>
      </c>
      <c r="AS41" s="51">
        <f>IF(AND(AR41&gt;$AR$3,AR41&lt;=$AR$2),IF(AR41=$AR$2,$AR$5+100,$AR$5),0)</f>
        <v/>
      </c>
      <c r="AT41" s="49">
        <f>IF(AND($AS41&gt;0,AR41&gt;$AR$6),1,0)</f>
        <v/>
      </c>
      <c r="AU41" s="49">
        <f>IF(AT41=1,SUM($AT$15:AT41),"")</f>
        <v/>
      </c>
      <c r="AV41" s="51">
        <f>IF(AT41=1,$AS41/(1+$AR$8/2)^(AU41-1),0)</f>
        <v/>
      </c>
      <c r="AW41" s="51">
        <f>IF(AT41=1,$AS41/(1+($AR$8+0.0001)/2)^(AU41-1),0)</f>
        <v/>
      </c>
      <c r="AX41" s="51">
        <f>IF(AT41=1,$AS41/(1+($AR$8-0.0001)/2)^(AU41-1),0)</f>
        <v/>
      </c>
      <c r="AY41" s="49">
        <f>IF(AND($AS41&gt;0,AR41&gt;$AR$7),1,0)</f>
        <v/>
      </c>
      <c r="AZ41" s="49">
        <f>IF(AY41=1,SUM($AY$15:AY41),"")</f>
        <v/>
      </c>
      <c r="BA41" s="51">
        <f>IF(AY41=1,$AS41/(1+$AR$104/2)^(AZ41-1),0)</f>
        <v/>
      </c>
      <c r="BB41" s="51">
        <f>IF(AY41=1,$AS41/(1+($AR$104+0.0001)/2)^(AZ41-1),0)</f>
        <v/>
      </c>
      <c r="BC41" s="51">
        <f>IF(AY41=1,$AS41/(1+($AR$104-0.0001)/2)^(AZ41-1),0)</f>
        <v/>
      </c>
      <c r="BD41" s="51">
        <f>IF(AY41=1,$AS41/(1+$AR$109/2)^(AZ41-1),0)</f>
        <v/>
      </c>
      <c r="BE41" s="51">
        <f>IF(AY41=1,$AS41/(1+$AR$111/2)^(AZ41-1),0)</f>
        <v/>
      </c>
      <c r="BF41" s="51">
        <f>IF(AY41=1,$AS41/(1+($AR$111+0.0001)/2)^(AZ41-1),0)</f>
        <v/>
      </c>
      <c r="BG41" s="51">
        <f>IF(AY41=1,$AS41/(1+($AR$111-0.0001)/2)^(AZ41-1),0)</f>
        <v/>
      </c>
      <c r="BH41" s="51">
        <f>IF(AND($AS41&gt;0,AR41&gt;$AR$6,AR41&lt;=$AR$7),$AS41*(1+$AR$10*($AR$7-AR41)/365),0)</f>
        <v/>
      </c>
      <c r="BI41" s="51">
        <f>IF(AY41=1,$AS41/(1+($AR$111+손익!$B$24/10000)/2)^(AZ41-1),0)</f>
        <v/>
      </c>
      <c r="BJ41" s="51">
        <f>IF(AY41=1,$AS41/(1+($AR$111+시나리오!$A$4/10000)/2)^(AZ41-1),0)</f>
        <v/>
      </c>
      <c r="BK41" s="51">
        <f>IF(AY41=1,$AS41/(1+($AR$111+시나리오!$A$5/10000)/2)^(AZ41-1),0)</f>
        <v/>
      </c>
      <c r="BL41" s="51">
        <f>IF(AY41=1,$AS41/(1+($AR$111+시나리오!$A$6/10000)/2)^(AZ41-1),0)</f>
        <v/>
      </c>
      <c r="BM41" s="51">
        <f>IF(AY41=1,$AS41/(1+($AR$111+시나리오!$A$7/10000)/2)^(AZ41-1),0)</f>
        <v/>
      </c>
      <c r="BN41" s="51">
        <f>IF(AY41=1,$AS41/(1+($AR$111+시나리오!$A$8/10000)/2)^(AZ41-1),0)</f>
        <v/>
      </c>
      <c r="BO41" s="51">
        <f>IF(AY41=1,$AS41/(1+($AR$111+시나리오!$A$9/10000)/2)^(AZ41-1),0)</f>
        <v/>
      </c>
      <c r="BP41" s="51">
        <f>IF(AY41=1,$AS41/(1+($AR$111+시나리오!$A$10/10000)/2)^(AZ41-1),0)</f>
        <v/>
      </c>
      <c r="BQ41" s="51">
        <f>IF(AY41=1,$AS41/(1+($AR$111+시나리오!$A$11/10000)/2)^(AZ41-1),0)</f>
        <v/>
      </c>
      <c r="BR41" s="51">
        <f>IF(AY41=1,$AS41/(1+($AR$111+시나리오!$A$12/10000)/2)^(AZ41-1),0)</f>
        <v/>
      </c>
      <c r="BS41" s="51">
        <f>IF(AY41=1,$AS41/(1+($AR$111+시나리오!$A$13/10000)/2)^(AZ41-1),0)</f>
        <v/>
      </c>
      <c r="BT41" s="51">
        <f>IF(AY41=1,$AS41/(1+($AR$111+시나리오!$A$14/10000)/2)^(AZ41-1),0)</f>
        <v/>
      </c>
      <c r="BU41" s="51">
        <f>IF(AY41=1,$AS41/(1+($AR$111+시나리오!$A$15/10000)/2)^(AZ41-1),0)</f>
        <v/>
      </c>
      <c r="BV41" s="51">
        <f>IF(AY41=1,$AS41/(1+($AR$111+시나리오!$A$16/10000)/2)^(AZ41-1),0)</f>
        <v/>
      </c>
      <c r="BW41" s="51">
        <f>IF(AY41=1,$AS41/(1+($AR$111+시나리오!$A$17/10000)/2)^(AZ41-1),0)</f>
        <v/>
      </c>
      <c r="BX41" s="51">
        <f>IF(AY41=1,$AS41/(1+($AR$111+시나리오!$A$18/10000)/2)^(AZ41-1),0)</f>
        <v/>
      </c>
      <c r="BY41" s="51">
        <f>IF(AY41=1,$AS41/(1+($AR$111+시나리오!$A$19/10000)/2)^(AZ41-1),0)</f>
        <v/>
      </c>
      <c r="BZ41" s="51">
        <f>IF(AY41=1,$AS41/(1+($AR$111+시나리오!$A$20/10000)/2)^(AZ41-1),0)</f>
        <v/>
      </c>
      <c r="CA41" s="51">
        <f>IF(AY41=1,$AS41/(1+($AR$111+시나리오!$A$21/10000)/2)^(AZ41-1),0)</f>
        <v/>
      </c>
      <c r="CB41" s="51">
        <f>IF(AY41=1,$AS41/(1+($AR$111+시나리오!$A$22/10000)/2)^(AZ41-1),0)</f>
        <v/>
      </c>
      <c r="CC41" s="51">
        <f>IF(AY41=1,$AS41/(1+($AR$111+시나리오!$A$23/10000)/2)^(AZ41-1),0)</f>
        <v/>
      </c>
      <c r="CD41" s="51">
        <f>IF(AY41=1,$AS41/(1+($AR$111+시나리오!$A$24/10000)/2)^(AZ41-1),0)</f>
        <v/>
      </c>
      <c r="CG41" s="49" t="n">
        <v>27</v>
      </c>
      <c r="CH41" s="50">
        <f>EDATE($CH$2,-6*(62-$CG41))</f>
        <v/>
      </c>
      <c r="CI41" s="51">
        <f>IF(AND(CH41&gt;$CH$3,CH41&lt;=$CH$2),IF(CH41=$CH$2,$CH$5+100,$CH$5),0)</f>
        <v/>
      </c>
      <c r="CJ41" s="49">
        <f>IF(AND($CI41&gt;0,CH41&gt;$CH$6),1,0)</f>
        <v/>
      </c>
      <c r="CK41" s="49">
        <f>IF(CJ41=1,SUM($CJ$15:CJ41),"")</f>
        <v/>
      </c>
      <c r="CL41" s="51">
        <f>IF(CJ41=1,$CI41/(1+$CH$8/2)^(CK41-1),0)</f>
        <v/>
      </c>
      <c r="CM41" s="51">
        <f>IF(CJ41=1,$CI41/(1+($CH$8+0.0001)/2)^(CK41-1),0)</f>
        <v/>
      </c>
      <c r="CN41" s="51">
        <f>IF(CJ41=1,$CI41/(1+($CH$8-0.0001)/2)^(CK41-1),0)</f>
        <v/>
      </c>
      <c r="CO41" s="49">
        <f>IF(AND($CI41&gt;0,CH41&gt;$CH$7),1,0)</f>
        <v/>
      </c>
      <c r="CP41" s="49">
        <f>IF(CO41=1,SUM($CO$15:CO41),"")</f>
        <v/>
      </c>
      <c r="CQ41" s="51">
        <f>IF(CO41=1,$CI41/(1+$CH$104/2)^(CP41-1),0)</f>
        <v/>
      </c>
      <c r="CR41" s="51">
        <f>IF(CO41=1,$CI41/(1+($CH$104+0.0001)/2)^(CP41-1),0)</f>
        <v/>
      </c>
      <c r="CS41" s="51">
        <f>IF(CO41=1,$CI41/(1+($CH$104-0.0001)/2)^(CP41-1),0)</f>
        <v/>
      </c>
      <c r="CT41" s="51">
        <f>IF(CO41=1,$CI41/(1+$CH$109/2)^(CP41-1),0)</f>
        <v/>
      </c>
      <c r="CU41" s="51">
        <f>IF(CO41=1,$CI41/(1+$CH$111/2)^(CP41-1),0)</f>
        <v/>
      </c>
      <c r="CV41" s="51">
        <f>IF(CO41=1,$CI41/(1+($CH$111+0.0001)/2)^(CP41-1),0)</f>
        <v/>
      </c>
      <c r="CW41" s="51">
        <f>IF(CO41=1,$CI41/(1+($CH$111-0.0001)/2)^(CP41-1),0)</f>
        <v/>
      </c>
      <c r="CX41" s="51">
        <f>IF(AND($CI41&gt;0,CH41&gt;$CH$6,CH41&lt;=$CH$7),$CI41*(1+$CH$10*($CH$7-CH41)/365),0)</f>
        <v/>
      </c>
      <c r="CY41" s="51">
        <f>IF(CO41=1,$CI41/(1+($CH$111+손익!$B$24/10000)/2)^(CP41-1),0)</f>
        <v/>
      </c>
      <c r="CZ41" s="51">
        <f>IF(CO41=1,$CI41/(1+($CH$111+시나리오!$A$4/10000)/2)^(CP41-1),0)</f>
        <v/>
      </c>
      <c r="DA41" s="51">
        <f>IF(CO41=1,$CI41/(1+($CH$111+시나리오!$A$5/10000)/2)^(CP41-1),0)</f>
        <v/>
      </c>
      <c r="DB41" s="51">
        <f>IF(CO41=1,$CI41/(1+($CH$111+시나리오!$A$6/10000)/2)^(CP41-1),0)</f>
        <v/>
      </c>
      <c r="DC41" s="51">
        <f>IF(CO41=1,$CI41/(1+($CH$111+시나리오!$A$7/10000)/2)^(CP41-1),0)</f>
        <v/>
      </c>
      <c r="DD41" s="51">
        <f>IF(CO41=1,$CI41/(1+($CH$111+시나리오!$A$8/10000)/2)^(CP41-1),0)</f>
        <v/>
      </c>
      <c r="DE41" s="51">
        <f>IF(CO41=1,$CI41/(1+($CH$111+시나리오!$A$9/10000)/2)^(CP41-1),0)</f>
        <v/>
      </c>
      <c r="DF41" s="51">
        <f>IF(CO41=1,$CI41/(1+($CH$111+시나리오!$A$10/10000)/2)^(CP41-1),0)</f>
        <v/>
      </c>
      <c r="DG41" s="51">
        <f>IF(CO41=1,$CI41/(1+($CH$111+시나리오!$A$11/10000)/2)^(CP41-1),0)</f>
        <v/>
      </c>
      <c r="DH41" s="51">
        <f>IF(CO41=1,$CI41/(1+($CH$111+시나리오!$A$12/10000)/2)^(CP41-1),0)</f>
        <v/>
      </c>
      <c r="DI41" s="51">
        <f>IF(CO41=1,$CI41/(1+($CH$111+시나리오!$A$13/10000)/2)^(CP41-1),0)</f>
        <v/>
      </c>
      <c r="DJ41" s="51">
        <f>IF(CO41=1,$CI41/(1+($CH$111+시나리오!$A$14/10000)/2)^(CP41-1),0)</f>
        <v/>
      </c>
      <c r="DK41" s="51">
        <f>IF(CO41=1,$CI41/(1+($CH$111+시나리오!$A$15/10000)/2)^(CP41-1),0)</f>
        <v/>
      </c>
      <c r="DL41" s="51">
        <f>IF(CO41=1,$CI41/(1+($CH$111+시나리오!$A$16/10000)/2)^(CP41-1),0)</f>
        <v/>
      </c>
      <c r="DM41" s="51">
        <f>IF(CO41=1,$CI41/(1+($CH$111+시나리오!$A$17/10000)/2)^(CP41-1),0)</f>
        <v/>
      </c>
      <c r="DN41" s="51">
        <f>IF(CO41=1,$CI41/(1+($CH$111+시나리오!$A$18/10000)/2)^(CP41-1),0)</f>
        <v/>
      </c>
      <c r="DO41" s="51">
        <f>IF(CO41=1,$CI41/(1+($CH$111+시나리오!$A$19/10000)/2)^(CP41-1),0)</f>
        <v/>
      </c>
      <c r="DP41" s="51">
        <f>IF(CO41=1,$CI41/(1+($CH$111+시나리오!$A$20/10000)/2)^(CP41-1),0)</f>
        <v/>
      </c>
      <c r="DQ41" s="51">
        <f>IF(CO41=1,$CI41/(1+($CH$111+시나리오!$A$21/10000)/2)^(CP41-1),0)</f>
        <v/>
      </c>
      <c r="DR41" s="51">
        <f>IF(CO41=1,$CI41/(1+($CH$111+시나리오!$A$22/10000)/2)^(CP41-1),0)</f>
        <v/>
      </c>
      <c r="DS41" s="51">
        <f>IF(CO41=1,$CI41/(1+($CH$111+시나리오!$A$23/10000)/2)^(CP41-1),0)</f>
        <v/>
      </c>
      <c r="DT41" s="51">
        <f>IF(CO41=1,$CI41/(1+($CH$111+시나리오!$A$24/10000)/2)^(CP41-1),0)</f>
        <v/>
      </c>
    </row>
    <row r="42">
      <c r="A42" s="49" t="n">
        <v>28</v>
      </c>
      <c r="B42" s="50">
        <f>EDATE($B$2,-6*(62-$A42))</f>
        <v/>
      </c>
      <c r="C42" s="51">
        <f>IF(AND(B42&gt;$B$3,B42&lt;=$B$2),IF(B42=$B$2,$B$5+100,$B$5),0)</f>
        <v/>
      </c>
      <c r="D42" s="49">
        <f>IF(AND($C42&gt;0,B42&gt;$B$6),1,0)</f>
        <v/>
      </c>
      <c r="E42" s="49">
        <f>IF(D42=1,SUM($D$15:D42),"")</f>
        <v/>
      </c>
      <c r="F42" s="51">
        <f>IF(D42=1,$C42/(1+$B$8/2)^(E42-1),0)</f>
        <v/>
      </c>
      <c r="G42" s="51">
        <f>IF(D42=1,$C42/(1+($B$8+0.0001)/2)^(E42-1),0)</f>
        <v/>
      </c>
      <c r="H42" s="51">
        <f>IF(D42=1,$C42/(1+($B$8-0.0001)/2)^(E42-1),0)</f>
        <v/>
      </c>
      <c r="I42" s="49">
        <f>IF(AND($C42&gt;0,B42&gt;$B$7),1,0)</f>
        <v/>
      </c>
      <c r="J42" s="49">
        <f>IF(I42=1,SUM($I$15:I42),"")</f>
        <v/>
      </c>
      <c r="K42" s="51">
        <f>IF(I42=1,$C42/(1+$B$104/2)^(J42-1),0)</f>
        <v/>
      </c>
      <c r="L42" s="51">
        <f>IF(I42=1,$C42/(1+($B$104+0.0001)/2)^(J42-1),0)</f>
        <v/>
      </c>
      <c r="M42" s="51">
        <f>IF(I42=1,$C42/(1+($B$104-0.0001)/2)^(J42-1),0)</f>
        <v/>
      </c>
      <c r="N42" s="51">
        <f>IF(I42=1,$C42/(1+$B$109/2)^(J42-1),0)</f>
        <v/>
      </c>
      <c r="O42" s="51">
        <f>IF(I42=1,$C42/(1+$B$111/2)^(J42-1),0)</f>
        <v/>
      </c>
      <c r="P42" s="51">
        <f>IF(I42=1,$C42/(1+($B$111+0.0001)/2)^(J42-1),0)</f>
        <v/>
      </c>
      <c r="Q42" s="51">
        <f>IF(I42=1,$C42/(1+($B$111-0.0001)/2)^(J42-1),0)</f>
        <v/>
      </c>
      <c r="R42" s="51">
        <f>IF(AND($C42&gt;0,B42&gt;$B$6,B42&lt;=$B$7),$C42*(1+$B$10*($B$7-B42)/365),0)</f>
        <v/>
      </c>
      <c r="S42" s="51">
        <f>IF(I42=1,$C42/(1+($B$111+손익!$B$24/10000)/2)^(J42-1),0)</f>
        <v/>
      </c>
      <c r="T42" s="51">
        <f>IF(I42=1,$C42/(1+($B$111+시나리오!$A$4/10000)/2)^(J42-1),0)</f>
        <v/>
      </c>
      <c r="U42" s="51">
        <f>IF(I42=1,$C42/(1+($B$111+시나리오!$A$5/10000)/2)^(J42-1),0)</f>
        <v/>
      </c>
      <c r="V42" s="51">
        <f>IF(I42=1,$C42/(1+($B$111+시나리오!$A$6/10000)/2)^(J42-1),0)</f>
        <v/>
      </c>
      <c r="W42" s="51">
        <f>IF(I42=1,$C42/(1+($B$111+시나리오!$A$7/10000)/2)^(J42-1),0)</f>
        <v/>
      </c>
      <c r="X42" s="51">
        <f>IF(I42=1,$C42/(1+($B$111+시나리오!$A$8/10000)/2)^(J42-1),0)</f>
        <v/>
      </c>
      <c r="Y42" s="51">
        <f>IF(I42=1,$C42/(1+($B$111+시나리오!$A$9/10000)/2)^(J42-1),0)</f>
        <v/>
      </c>
      <c r="Z42" s="51">
        <f>IF(I42=1,$C42/(1+($B$111+시나리오!$A$10/10000)/2)^(J42-1),0)</f>
        <v/>
      </c>
      <c r="AA42" s="51">
        <f>IF(I42=1,$C42/(1+($B$111+시나리오!$A$11/10000)/2)^(J42-1),0)</f>
        <v/>
      </c>
      <c r="AB42" s="51">
        <f>IF(I42=1,$C42/(1+($B$111+시나리오!$A$12/10000)/2)^(J42-1),0)</f>
        <v/>
      </c>
      <c r="AC42" s="51">
        <f>IF(I42=1,$C42/(1+($B$111+시나리오!$A$13/10000)/2)^(J42-1),0)</f>
        <v/>
      </c>
      <c r="AD42" s="51">
        <f>IF(I42=1,$C42/(1+($B$111+시나리오!$A$14/10000)/2)^(J42-1),0)</f>
        <v/>
      </c>
      <c r="AE42" s="51">
        <f>IF(I42=1,$C42/(1+($B$111+시나리오!$A$15/10000)/2)^(J42-1),0)</f>
        <v/>
      </c>
      <c r="AF42" s="51">
        <f>IF(I42=1,$C42/(1+($B$111+시나리오!$A$16/10000)/2)^(J42-1),0)</f>
        <v/>
      </c>
      <c r="AG42" s="51">
        <f>IF(I42=1,$C42/(1+($B$111+시나리오!$A$17/10000)/2)^(J42-1),0)</f>
        <v/>
      </c>
      <c r="AH42" s="51">
        <f>IF(I42=1,$C42/(1+($B$111+시나리오!$A$18/10000)/2)^(J42-1),0)</f>
        <v/>
      </c>
      <c r="AI42" s="51">
        <f>IF(I42=1,$C42/(1+($B$111+시나리오!$A$19/10000)/2)^(J42-1),0)</f>
        <v/>
      </c>
      <c r="AJ42" s="51">
        <f>IF(I42=1,$C42/(1+($B$111+시나리오!$A$20/10000)/2)^(J42-1),0)</f>
        <v/>
      </c>
      <c r="AK42" s="51">
        <f>IF(I42=1,$C42/(1+($B$111+시나리오!$A$21/10000)/2)^(J42-1),0)</f>
        <v/>
      </c>
      <c r="AL42" s="51">
        <f>IF(I42=1,$C42/(1+($B$111+시나리오!$A$22/10000)/2)^(J42-1),0)</f>
        <v/>
      </c>
      <c r="AM42" s="51">
        <f>IF(I42=1,$C42/(1+($B$111+시나리오!$A$23/10000)/2)^(J42-1),0)</f>
        <v/>
      </c>
      <c r="AN42" s="51">
        <f>IF(I42=1,$C42/(1+($B$111+시나리오!$A$24/10000)/2)^(J42-1),0)</f>
        <v/>
      </c>
      <c r="AQ42" s="49" t="n">
        <v>28</v>
      </c>
      <c r="AR42" s="50">
        <f>EDATE($AR$2,-6*(62-$AQ42))</f>
        <v/>
      </c>
      <c r="AS42" s="51">
        <f>IF(AND(AR42&gt;$AR$3,AR42&lt;=$AR$2),IF(AR42=$AR$2,$AR$5+100,$AR$5),0)</f>
        <v/>
      </c>
      <c r="AT42" s="49">
        <f>IF(AND($AS42&gt;0,AR42&gt;$AR$6),1,0)</f>
        <v/>
      </c>
      <c r="AU42" s="49">
        <f>IF(AT42=1,SUM($AT$15:AT42),"")</f>
        <v/>
      </c>
      <c r="AV42" s="51">
        <f>IF(AT42=1,$AS42/(1+$AR$8/2)^(AU42-1),0)</f>
        <v/>
      </c>
      <c r="AW42" s="51">
        <f>IF(AT42=1,$AS42/(1+($AR$8+0.0001)/2)^(AU42-1),0)</f>
        <v/>
      </c>
      <c r="AX42" s="51">
        <f>IF(AT42=1,$AS42/(1+($AR$8-0.0001)/2)^(AU42-1),0)</f>
        <v/>
      </c>
      <c r="AY42" s="49">
        <f>IF(AND($AS42&gt;0,AR42&gt;$AR$7),1,0)</f>
        <v/>
      </c>
      <c r="AZ42" s="49">
        <f>IF(AY42=1,SUM($AY$15:AY42),"")</f>
        <v/>
      </c>
      <c r="BA42" s="51">
        <f>IF(AY42=1,$AS42/(1+$AR$104/2)^(AZ42-1),0)</f>
        <v/>
      </c>
      <c r="BB42" s="51">
        <f>IF(AY42=1,$AS42/(1+($AR$104+0.0001)/2)^(AZ42-1),0)</f>
        <v/>
      </c>
      <c r="BC42" s="51">
        <f>IF(AY42=1,$AS42/(1+($AR$104-0.0001)/2)^(AZ42-1),0)</f>
        <v/>
      </c>
      <c r="BD42" s="51">
        <f>IF(AY42=1,$AS42/(1+$AR$109/2)^(AZ42-1),0)</f>
        <v/>
      </c>
      <c r="BE42" s="51">
        <f>IF(AY42=1,$AS42/(1+$AR$111/2)^(AZ42-1),0)</f>
        <v/>
      </c>
      <c r="BF42" s="51">
        <f>IF(AY42=1,$AS42/(1+($AR$111+0.0001)/2)^(AZ42-1),0)</f>
        <v/>
      </c>
      <c r="BG42" s="51">
        <f>IF(AY42=1,$AS42/(1+($AR$111-0.0001)/2)^(AZ42-1),0)</f>
        <v/>
      </c>
      <c r="BH42" s="51">
        <f>IF(AND($AS42&gt;0,AR42&gt;$AR$6,AR42&lt;=$AR$7),$AS42*(1+$AR$10*($AR$7-AR42)/365),0)</f>
        <v/>
      </c>
      <c r="BI42" s="51">
        <f>IF(AY42=1,$AS42/(1+($AR$111+손익!$B$24/10000)/2)^(AZ42-1),0)</f>
        <v/>
      </c>
      <c r="BJ42" s="51">
        <f>IF(AY42=1,$AS42/(1+($AR$111+시나리오!$A$4/10000)/2)^(AZ42-1),0)</f>
        <v/>
      </c>
      <c r="BK42" s="51">
        <f>IF(AY42=1,$AS42/(1+($AR$111+시나리오!$A$5/10000)/2)^(AZ42-1),0)</f>
        <v/>
      </c>
      <c r="BL42" s="51">
        <f>IF(AY42=1,$AS42/(1+($AR$111+시나리오!$A$6/10000)/2)^(AZ42-1),0)</f>
        <v/>
      </c>
      <c r="BM42" s="51">
        <f>IF(AY42=1,$AS42/(1+($AR$111+시나리오!$A$7/10000)/2)^(AZ42-1),0)</f>
        <v/>
      </c>
      <c r="BN42" s="51">
        <f>IF(AY42=1,$AS42/(1+($AR$111+시나리오!$A$8/10000)/2)^(AZ42-1),0)</f>
        <v/>
      </c>
      <c r="BO42" s="51">
        <f>IF(AY42=1,$AS42/(1+($AR$111+시나리오!$A$9/10000)/2)^(AZ42-1),0)</f>
        <v/>
      </c>
      <c r="BP42" s="51">
        <f>IF(AY42=1,$AS42/(1+($AR$111+시나리오!$A$10/10000)/2)^(AZ42-1),0)</f>
        <v/>
      </c>
      <c r="BQ42" s="51">
        <f>IF(AY42=1,$AS42/(1+($AR$111+시나리오!$A$11/10000)/2)^(AZ42-1),0)</f>
        <v/>
      </c>
      <c r="BR42" s="51">
        <f>IF(AY42=1,$AS42/(1+($AR$111+시나리오!$A$12/10000)/2)^(AZ42-1),0)</f>
        <v/>
      </c>
      <c r="BS42" s="51">
        <f>IF(AY42=1,$AS42/(1+($AR$111+시나리오!$A$13/10000)/2)^(AZ42-1),0)</f>
        <v/>
      </c>
      <c r="BT42" s="51">
        <f>IF(AY42=1,$AS42/(1+($AR$111+시나리오!$A$14/10000)/2)^(AZ42-1),0)</f>
        <v/>
      </c>
      <c r="BU42" s="51">
        <f>IF(AY42=1,$AS42/(1+($AR$111+시나리오!$A$15/10000)/2)^(AZ42-1),0)</f>
        <v/>
      </c>
      <c r="BV42" s="51">
        <f>IF(AY42=1,$AS42/(1+($AR$111+시나리오!$A$16/10000)/2)^(AZ42-1),0)</f>
        <v/>
      </c>
      <c r="BW42" s="51">
        <f>IF(AY42=1,$AS42/(1+($AR$111+시나리오!$A$17/10000)/2)^(AZ42-1),0)</f>
        <v/>
      </c>
      <c r="BX42" s="51">
        <f>IF(AY42=1,$AS42/(1+($AR$111+시나리오!$A$18/10000)/2)^(AZ42-1),0)</f>
        <v/>
      </c>
      <c r="BY42" s="51">
        <f>IF(AY42=1,$AS42/(1+($AR$111+시나리오!$A$19/10000)/2)^(AZ42-1),0)</f>
        <v/>
      </c>
      <c r="BZ42" s="51">
        <f>IF(AY42=1,$AS42/(1+($AR$111+시나리오!$A$20/10000)/2)^(AZ42-1),0)</f>
        <v/>
      </c>
      <c r="CA42" s="51">
        <f>IF(AY42=1,$AS42/(1+($AR$111+시나리오!$A$21/10000)/2)^(AZ42-1),0)</f>
        <v/>
      </c>
      <c r="CB42" s="51">
        <f>IF(AY42=1,$AS42/(1+($AR$111+시나리오!$A$22/10000)/2)^(AZ42-1),0)</f>
        <v/>
      </c>
      <c r="CC42" s="51">
        <f>IF(AY42=1,$AS42/(1+($AR$111+시나리오!$A$23/10000)/2)^(AZ42-1),0)</f>
        <v/>
      </c>
      <c r="CD42" s="51">
        <f>IF(AY42=1,$AS42/(1+($AR$111+시나리오!$A$24/10000)/2)^(AZ42-1),0)</f>
        <v/>
      </c>
      <c r="CG42" s="49" t="n">
        <v>28</v>
      </c>
      <c r="CH42" s="50">
        <f>EDATE($CH$2,-6*(62-$CG42))</f>
        <v/>
      </c>
      <c r="CI42" s="51">
        <f>IF(AND(CH42&gt;$CH$3,CH42&lt;=$CH$2),IF(CH42=$CH$2,$CH$5+100,$CH$5),0)</f>
        <v/>
      </c>
      <c r="CJ42" s="49">
        <f>IF(AND($CI42&gt;0,CH42&gt;$CH$6),1,0)</f>
        <v/>
      </c>
      <c r="CK42" s="49">
        <f>IF(CJ42=1,SUM($CJ$15:CJ42),"")</f>
        <v/>
      </c>
      <c r="CL42" s="51">
        <f>IF(CJ42=1,$CI42/(1+$CH$8/2)^(CK42-1),0)</f>
        <v/>
      </c>
      <c r="CM42" s="51">
        <f>IF(CJ42=1,$CI42/(1+($CH$8+0.0001)/2)^(CK42-1),0)</f>
        <v/>
      </c>
      <c r="CN42" s="51">
        <f>IF(CJ42=1,$CI42/(1+($CH$8-0.0001)/2)^(CK42-1),0)</f>
        <v/>
      </c>
      <c r="CO42" s="49">
        <f>IF(AND($CI42&gt;0,CH42&gt;$CH$7),1,0)</f>
        <v/>
      </c>
      <c r="CP42" s="49">
        <f>IF(CO42=1,SUM($CO$15:CO42),"")</f>
        <v/>
      </c>
      <c r="CQ42" s="51">
        <f>IF(CO42=1,$CI42/(1+$CH$104/2)^(CP42-1),0)</f>
        <v/>
      </c>
      <c r="CR42" s="51">
        <f>IF(CO42=1,$CI42/(1+($CH$104+0.0001)/2)^(CP42-1),0)</f>
        <v/>
      </c>
      <c r="CS42" s="51">
        <f>IF(CO42=1,$CI42/(1+($CH$104-0.0001)/2)^(CP42-1),0)</f>
        <v/>
      </c>
      <c r="CT42" s="51">
        <f>IF(CO42=1,$CI42/(1+$CH$109/2)^(CP42-1),0)</f>
        <v/>
      </c>
      <c r="CU42" s="51">
        <f>IF(CO42=1,$CI42/(1+$CH$111/2)^(CP42-1),0)</f>
        <v/>
      </c>
      <c r="CV42" s="51">
        <f>IF(CO42=1,$CI42/(1+($CH$111+0.0001)/2)^(CP42-1),0)</f>
        <v/>
      </c>
      <c r="CW42" s="51">
        <f>IF(CO42=1,$CI42/(1+($CH$111-0.0001)/2)^(CP42-1),0)</f>
        <v/>
      </c>
      <c r="CX42" s="51">
        <f>IF(AND($CI42&gt;0,CH42&gt;$CH$6,CH42&lt;=$CH$7),$CI42*(1+$CH$10*($CH$7-CH42)/365),0)</f>
        <v/>
      </c>
      <c r="CY42" s="51">
        <f>IF(CO42=1,$CI42/(1+($CH$111+손익!$B$24/10000)/2)^(CP42-1),0)</f>
        <v/>
      </c>
      <c r="CZ42" s="51">
        <f>IF(CO42=1,$CI42/(1+($CH$111+시나리오!$A$4/10000)/2)^(CP42-1),0)</f>
        <v/>
      </c>
      <c r="DA42" s="51">
        <f>IF(CO42=1,$CI42/(1+($CH$111+시나리오!$A$5/10000)/2)^(CP42-1),0)</f>
        <v/>
      </c>
      <c r="DB42" s="51">
        <f>IF(CO42=1,$CI42/(1+($CH$111+시나리오!$A$6/10000)/2)^(CP42-1),0)</f>
        <v/>
      </c>
      <c r="DC42" s="51">
        <f>IF(CO42=1,$CI42/(1+($CH$111+시나리오!$A$7/10000)/2)^(CP42-1),0)</f>
        <v/>
      </c>
      <c r="DD42" s="51">
        <f>IF(CO42=1,$CI42/(1+($CH$111+시나리오!$A$8/10000)/2)^(CP42-1),0)</f>
        <v/>
      </c>
      <c r="DE42" s="51">
        <f>IF(CO42=1,$CI42/(1+($CH$111+시나리오!$A$9/10000)/2)^(CP42-1),0)</f>
        <v/>
      </c>
      <c r="DF42" s="51">
        <f>IF(CO42=1,$CI42/(1+($CH$111+시나리오!$A$10/10000)/2)^(CP42-1),0)</f>
        <v/>
      </c>
      <c r="DG42" s="51">
        <f>IF(CO42=1,$CI42/(1+($CH$111+시나리오!$A$11/10000)/2)^(CP42-1),0)</f>
        <v/>
      </c>
      <c r="DH42" s="51">
        <f>IF(CO42=1,$CI42/(1+($CH$111+시나리오!$A$12/10000)/2)^(CP42-1),0)</f>
        <v/>
      </c>
      <c r="DI42" s="51">
        <f>IF(CO42=1,$CI42/(1+($CH$111+시나리오!$A$13/10000)/2)^(CP42-1),0)</f>
        <v/>
      </c>
      <c r="DJ42" s="51">
        <f>IF(CO42=1,$CI42/(1+($CH$111+시나리오!$A$14/10000)/2)^(CP42-1),0)</f>
        <v/>
      </c>
      <c r="DK42" s="51">
        <f>IF(CO42=1,$CI42/(1+($CH$111+시나리오!$A$15/10000)/2)^(CP42-1),0)</f>
        <v/>
      </c>
      <c r="DL42" s="51">
        <f>IF(CO42=1,$CI42/(1+($CH$111+시나리오!$A$16/10000)/2)^(CP42-1),0)</f>
        <v/>
      </c>
      <c r="DM42" s="51">
        <f>IF(CO42=1,$CI42/(1+($CH$111+시나리오!$A$17/10000)/2)^(CP42-1),0)</f>
        <v/>
      </c>
      <c r="DN42" s="51">
        <f>IF(CO42=1,$CI42/(1+($CH$111+시나리오!$A$18/10000)/2)^(CP42-1),0)</f>
        <v/>
      </c>
      <c r="DO42" s="51">
        <f>IF(CO42=1,$CI42/(1+($CH$111+시나리오!$A$19/10000)/2)^(CP42-1),0)</f>
        <v/>
      </c>
      <c r="DP42" s="51">
        <f>IF(CO42=1,$CI42/(1+($CH$111+시나리오!$A$20/10000)/2)^(CP42-1),0)</f>
        <v/>
      </c>
      <c r="DQ42" s="51">
        <f>IF(CO42=1,$CI42/(1+($CH$111+시나리오!$A$21/10000)/2)^(CP42-1),0)</f>
        <v/>
      </c>
      <c r="DR42" s="51">
        <f>IF(CO42=1,$CI42/(1+($CH$111+시나리오!$A$22/10000)/2)^(CP42-1),0)</f>
        <v/>
      </c>
      <c r="DS42" s="51">
        <f>IF(CO42=1,$CI42/(1+($CH$111+시나리오!$A$23/10000)/2)^(CP42-1),0)</f>
        <v/>
      </c>
      <c r="DT42" s="51">
        <f>IF(CO42=1,$CI42/(1+($CH$111+시나리오!$A$24/10000)/2)^(CP42-1),0)</f>
        <v/>
      </c>
    </row>
    <row r="43">
      <c r="A43" s="49" t="n">
        <v>29</v>
      </c>
      <c r="B43" s="50">
        <f>EDATE($B$2,-6*(62-$A43))</f>
        <v/>
      </c>
      <c r="C43" s="51">
        <f>IF(AND(B43&gt;$B$3,B43&lt;=$B$2),IF(B43=$B$2,$B$5+100,$B$5),0)</f>
        <v/>
      </c>
      <c r="D43" s="49">
        <f>IF(AND($C43&gt;0,B43&gt;$B$6),1,0)</f>
        <v/>
      </c>
      <c r="E43" s="49">
        <f>IF(D43=1,SUM($D$15:D43),"")</f>
        <v/>
      </c>
      <c r="F43" s="51">
        <f>IF(D43=1,$C43/(1+$B$8/2)^(E43-1),0)</f>
        <v/>
      </c>
      <c r="G43" s="51">
        <f>IF(D43=1,$C43/(1+($B$8+0.0001)/2)^(E43-1),0)</f>
        <v/>
      </c>
      <c r="H43" s="51">
        <f>IF(D43=1,$C43/(1+($B$8-0.0001)/2)^(E43-1),0)</f>
        <v/>
      </c>
      <c r="I43" s="49">
        <f>IF(AND($C43&gt;0,B43&gt;$B$7),1,0)</f>
        <v/>
      </c>
      <c r="J43" s="49">
        <f>IF(I43=1,SUM($I$15:I43),"")</f>
        <v/>
      </c>
      <c r="K43" s="51">
        <f>IF(I43=1,$C43/(1+$B$104/2)^(J43-1),0)</f>
        <v/>
      </c>
      <c r="L43" s="51">
        <f>IF(I43=1,$C43/(1+($B$104+0.0001)/2)^(J43-1),0)</f>
        <v/>
      </c>
      <c r="M43" s="51">
        <f>IF(I43=1,$C43/(1+($B$104-0.0001)/2)^(J43-1),0)</f>
        <v/>
      </c>
      <c r="N43" s="51">
        <f>IF(I43=1,$C43/(1+$B$109/2)^(J43-1),0)</f>
        <v/>
      </c>
      <c r="O43" s="51">
        <f>IF(I43=1,$C43/(1+$B$111/2)^(J43-1),0)</f>
        <v/>
      </c>
      <c r="P43" s="51">
        <f>IF(I43=1,$C43/(1+($B$111+0.0001)/2)^(J43-1),0)</f>
        <v/>
      </c>
      <c r="Q43" s="51">
        <f>IF(I43=1,$C43/(1+($B$111-0.0001)/2)^(J43-1),0)</f>
        <v/>
      </c>
      <c r="R43" s="51">
        <f>IF(AND($C43&gt;0,B43&gt;$B$6,B43&lt;=$B$7),$C43*(1+$B$10*($B$7-B43)/365),0)</f>
        <v/>
      </c>
      <c r="S43" s="51">
        <f>IF(I43=1,$C43/(1+($B$111+손익!$B$24/10000)/2)^(J43-1),0)</f>
        <v/>
      </c>
      <c r="T43" s="51">
        <f>IF(I43=1,$C43/(1+($B$111+시나리오!$A$4/10000)/2)^(J43-1),0)</f>
        <v/>
      </c>
      <c r="U43" s="51">
        <f>IF(I43=1,$C43/(1+($B$111+시나리오!$A$5/10000)/2)^(J43-1),0)</f>
        <v/>
      </c>
      <c r="V43" s="51">
        <f>IF(I43=1,$C43/(1+($B$111+시나리오!$A$6/10000)/2)^(J43-1),0)</f>
        <v/>
      </c>
      <c r="W43" s="51">
        <f>IF(I43=1,$C43/(1+($B$111+시나리오!$A$7/10000)/2)^(J43-1),0)</f>
        <v/>
      </c>
      <c r="X43" s="51">
        <f>IF(I43=1,$C43/(1+($B$111+시나리오!$A$8/10000)/2)^(J43-1),0)</f>
        <v/>
      </c>
      <c r="Y43" s="51">
        <f>IF(I43=1,$C43/(1+($B$111+시나리오!$A$9/10000)/2)^(J43-1),0)</f>
        <v/>
      </c>
      <c r="Z43" s="51">
        <f>IF(I43=1,$C43/(1+($B$111+시나리오!$A$10/10000)/2)^(J43-1),0)</f>
        <v/>
      </c>
      <c r="AA43" s="51">
        <f>IF(I43=1,$C43/(1+($B$111+시나리오!$A$11/10000)/2)^(J43-1),0)</f>
        <v/>
      </c>
      <c r="AB43" s="51">
        <f>IF(I43=1,$C43/(1+($B$111+시나리오!$A$12/10000)/2)^(J43-1),0)</f>
        <v/>
      </c>
      <c r="AC43" s="51">
        <f>IF(I43=1,$C43/(1+($B$111+시나리오!$A$13/10000)/2)^(J43-1),0)</f>
        <v/>
      </c>
      <c r="AD43" s="51">
        <f>IF(I43=1,$C43/(1+($B$111+시나리오!$A$14/10000)/2)^(J43-1),0)</f>
        <v/>
      </c>
      <c r="AE43" s="51">
        <f>IF(I43=1,$C43/(1+($B$111+시나리오!$A$15/10000)/2)^(J43-1),0)</f>
        <v/>
      </c>
      <c r="AF43" s="51">
        <f>IF(I43=1,$C43/(1+($B$111+시나리오!$A$16/10000)/2)^(J43-1),0)</f>
        <v/>
      </c>
      <c r="AG43" s="51">
        <f>IF(I43=1,$C43/(1+($B$111+시나리오!$A$17/10000)/2)^(J43-1),0)</f>
        <v/>
      </c>
      <c r="AH43" s="51">
        <f>IF(I43=1,$C43/(1+($B$111+시나리오!$A$18/10000)/2)^(J43-1),0)</f>
        <v/>
      </c>
      <c r="AI43" s="51">
        <f>IF(I43=1,$C43/(1+($B$111+시나리오!$A$19/10000)/2)^(J43-1),0)</f>
        <v/>
      </c>
      <c r="AJ43" s="51">
        <f>IF(I43=1,$C43/(1+($B$111+시나리오!$A$20/10000)/2)^(J43-1),0)</f>
        <v/>
      </c>
      <c r="AK43" s="51">
        <f>IF(I43=1,$C43/(1+($B$111+시나리오!$A$21/10000)/2)^(J43-1),0)</f>
        <v/>
      </c>
      <c r="AL43" s="51">
        <f>IF(I43=1,$C43/(1+($B$111+시나리오!$A$22/10000)/2)^(J43-1),0)</f>
        <v/>
      </c>
      <c r="AM43" s="51">
        <f>IF(I43=1,$C43/(1+($B$111+시나리오!$A$23/10000)/2)^(J43-1),0)</f>
        <v/>
      </c>
      <c r="AN43" s="51">
        <f>IF(I43=1,$C43/(1+($B$111+시나리오!$A$24/10000)/2)^(J43-1),0)</f>
        <v/>
      </c>
      <c r="AQ43" s="49" t="n">
        <v>29</v>
      </c>
      <c r="AR43" s="50">
        <f>EDATE($AR$2,-6*(62-$AQ43))</f>
        <v/>
      </c>
      <c r="AS43" s="51">
        <f>IF(AND(AR43&gt;$AR$3,AR43&lt;=$AR$2),IF(AR43=$AR$2,$AR$5+100,$AR$5),0)</f>
        <v/>
      </c>
      <c r="AT43" s="49">
        <f>IF(AND($AS43&gt;0,AR43&gt;$AR$6),1,0)</f>
        <v/>
      </c>
      <c r="AU43" s="49">
        <f>IF(AT43=1,SUM($AT$15:AT43),"")</f>
        <v/>
      </c>
      <c r="AV43" s="51">
        <f>IF(AT43=1,$AS43/(1+$AR$8/2)^(AU43-1),0)</f>
        <v/>
      </c>
      <c r="AW43" s="51">
        <f>IF(AT43=1,$AS43/(1+($AR$8+0.0001)/2)^(AU43-1),0)</f>
        <v/>
      </c>
      <c r="AX43" s="51">
        <f>IF(AT43=1,$AS43/(1+($AR$8-0.0001)/2)^(AU43-1),0)</f>
        <v/>
      </c>
      <c r="AY43" s="49">
        <f>IF(AND($AS43&gt;0,AR43&gt;$AR$7),1,0)</f>
        <v/>
      </c>
      <c r="AZ43" s="49">
        <f>IF(AY43=1,SUM($AY$15:AY43),"")</f>
        <v/>
      </c>
      <c r="BA43" s="51">
        <f>IF(AY43=1,$AS43/(1+$AR$104/2)^(AZ43-1),0)</f>
        <v/>
      </c>
      <c r="BB43" s="51">
        <f>IF(AY43=1,$AS43/(1+($AR$104+0.0001)/2)^(AZ43-1),0)</f>
        <v/>
      </c>
      <c r="BC43" s="51">
        <f>IF(AY43=1,$AS43/(1+($AR$104-0.0001)/2)^(AZ43-1),0)</f>
        <v/>
      </c>
      <c r="BD43" s="51">
        <f>IF(AY43=1,$AS43/(1+$AR$109/2)^(AZ43-1),0)</f>
        <v/>
      </c>
      <c r="BE43" s="51">
        <f>IF(AY43=1,$AS43/(1+$AR$111/2)^(AZ43-1),0)</f>
        <v/>
      </c>
      <c r="BF43" s="51">
        <f>IF(AY43=1,$AS43/(1+($AR$111+0.0001)/2)^(AZ43-1),0)</f>
        <v/>
      </c>
      <c r="BG43" s="51">
        <f>IF(AY43=1,$AS43/(1+($AR$111-0.0001)/2)^(AZ43-1),0)</f>
        <v/>
      </c>
      <c r="BH43" s="51">
        <f>IF(AND($AS43&gt;0,AR43&gt;$AR$6,AR43&lt;=$AR$7),$AS43*(1+$AR$10*($AR$7-AR43)/365),0)</f>
        <v/>
      </c>
      <c r="BI43" s="51">
        <f>IF(AY43=1,$AS43/(1+($AR$111+손익!$B$24/10000)/2)^(AZ43-1),0)</f>
        <v/>
      </c>
      <c r="BJ43" s="51">
        <f>IF(AY43=1,$AS43/(1+($AR$111+시나리오!$A$4/10000)/2)^(AZ43-1),0)</f>
        <v/>
      </c>
      <c r="BK43" s="51">
        <f>IF(AY43=1,$AS43/(1+($AR$111+시나리오!$A$5/10000)/2)^(AZ43-1),0)</f>
        <v/>
      </c>
      <c r="BL43" s="51">
        <f>IF(AY43=1,$AS43/(1+($AR$111+시나리오!$A$6/10000)/2)^(AZ43-1),0)</f>
        <v/>
      </c>
      <c r="BM43" s="51">
        <f>IF(AY43=1,$AS43/(1+($AR$111+시나리오!$A$7/10000)/2)^(AZ43-1),0)</f>
        <v/>
      </c>
      <c r="BN43" s="51">
        <f>IF(AY43=1,$AS43/(1+($AR$111+시나리오!$A$8/10000)/2)^(AZ43-1),0)</f>
        <v/>
      </c>
      <c r="BO43" s="51">
        <f>IF(AY43=1,$AS43/(1+($AR$111+시나리오!$A$9/10000)/2)^(AZ43-1),0)</f>
        <v/>
      </c>
      <c r="BP43" s="51">
        <f>IF(AY43=1,$AS43/(1+($AR$111+시나리오!$A$10/10000)/2)^(AZ43-1),0)</f>
        <v/>
      </c>
      <c r="BQ43" s="51">
        <f>IF(AY43=1,$AS43/(1+($AR$111+시나리오!$A$11/10000)/2)^(AZ43-1),0)</f>
        <v/>
      </c>
      <c r="BR43" s="51">
        <f>IF(AY43=1,$AS43/(1+($AR$111+시나리오!$A$12/10000)/2)^(AZ43-1),0)</f>
        <v/>
      </c>
      <c r="BS43" s="51">
        <f>IF(AY43=1,$AS43/(1+($AR$111+시나리오!$A$13/10000)/2)^(AZ43-1),0)</f>
        <v/>
      </c>
      <c r="BT43" s="51">
        <f>IF(AY43=1,$AS43/(1+($AR$111+시나리오!$A$14/10000)/2)^(AZ43-1),0)</f>
        <v/>
      </c>
      <c r="BU43" s="51">
        <f>IF(AY43=1,$AS43/(1+($AR$111+시나리오!$A$15/10000)/2)^(AZ43-1),0)</f>
        <v/>
      </c>
      <c r="BV43" s="51">
        <f>IF(AY43=1,$AS43/(1+($AR$111+시나리오!$A$16/10000)/2)^(AZ43-1),0)</f>
        <v/>
      </c>
      <c r="BW43" s="51">
        <f>IF(AY43=1,$AS43/(1+($AR$111+시나리오!$A$17/10000)/2)^(AZ43-1),0)</f>
        <v/>
      </c>
      <c r="BX43" s="51">
        <f>IF(AY43=1,$AS43/(1+($AR$111+시나리오!$A$18/10000)/2)^(AZ43-1),0)</f>
        <v/>
      </c>
      <c r="BY43" s="51">
        <f>IF(AY43=1,$AS43/(1+($AR$111+시나리오!$A$19/10000)/2)^(AZ43-1),0)</f>
        <v/>
      </c>
      <c r="BZ43" s="51">
        <f>IF(AY43=1,$AS43/(1+($AR$111+시나리오!$A$20/10000)/2)^(AZ43-1),0)</f>
        <v/>
      </c>
      <c r="CA43" s="51">
        <f>IF(AY43=1,$AS43/(1+($AR$111+시나리오!$A$21/10000)/2)^(AZ43-1),0)</f>
        <v/>
      </c>
      <c r="CB43" s="51">
        <f>IF(AY43=1,$AS43/(1+($AR$111+시나리오!$A$22/10000)/2)^(AZ43-1),0)</f>
        <v/>
      </c>
      <c r="CC43" s="51">
        <f>IF(AY43=1,$AS43/(1+($AR$111+시나리오!$A$23/10000)/2)^(AZ43-1),0)</f>
        <v/>
      </c>
      <c r="CD43" s="51">
        <f>IF(AY43=1,$AS43/(1+($AR$111+시나리오!$A$24/10000)/2)^(AZ43-1),0)</f>
        <v/>
      </c>
      <c r="CG43" s="49" t="n">
        <v>29</v>
      </c>
      <c r="CH43" s="50">
        <f>EDATE($CH$2,-6*(62-$CG43))</f>
        <v/>
      </c>
      <c r="CI43" s="51">
        <f>IF(AND(CH43&gt;$CH$3,CH43&lt;=$CH$2),IF(CH43=$CH$2,$CH$5+100,$CH$5),0)</f>
        <v/>
      </c>
      <c r="CJ43" s="49">
        <f>IF(AND($CI43&gt;0,CH43&gt;$CH$6),1,0)</f>
        <v/>
      </c>
      <c r="CK43" s="49">
        <f>IF(CJ43=1,SUM($CJ$15:CJ43),"")</f>
        <v/>
      </c>
      <c r="CL43" s="51">
        <f>IF(CJ43=1,$CI43/(1+$CH$8/2)^(CK43-1),0)</f>
        <v/>
      </c>
      <c r="CM43" s="51">
        <f>IF(CJ43=1,$CI43/(1+($CH$8+0.0001)/2)^(CK43-1),0)</f>
        <v/>
      </c>
      <c r="CN43" s="51">
        <f>IF(CJ43=1,$CI43/(1+($CH$8-0.0001)/2)^(CK43-1),0)</f>
        <v/>
      </c>
      <c r="CO43" s="49">
        <f>IF(AND($CI43&gt;0,CH43&gt;$CH$7),1,0)</f>
        <v/>
      </c>
      <c r="CP43" s="49">
        <f>IF(CO43=1,SUM($CO$15:CO43),"")</f>
        <v/>
      </c>
      <c r="CQ43" s="51">
        <f>IF(CO43=1,$CI43/(1+$CH$104/2)^(CP43-1),0)</f>
        <v/>
      </c>
      <c r="CR43" s="51">
        <f>IF(CO43=1,$CI43/(1+($CH$104+0.0001)/2)^(CP43-1),0)</f>
        <v/>
      </c>
      <c r="CS43" s="51">
        <f>IF(CO43=1,$CI43/(1+($CH$104-0.0001)/2)^(CP43-1),0)</f>
        <v/>
      </c>
      <c r="CT43" s="51">
        <f>IF(CO43=1,$CI43/(1+$CH$109/2)^(CP43-1),0)</f>
        <v/>
      </c>
      <c r="CU43" s="51">
        <f>IF(CO43=1,$CI43/(1+$CH$111/2)^(CP43-1),0)</f>
        <v/>
      </c>
      <c r="CV43" s="51">
        <f>IF(CO43=1,$CI43/(1+($CH$111+0.0001)/2)^(CP43-1),0)</f>
        <v/>
      </c>
      <c r="CW43" s="51">
        <f>IF(CO43=1,$CI43/(1+($CH$111-0.0001)/2)^(CP43-1),0)</f>
        <v/>
      </c>
      <c r="CX43" s="51">
        <f>IF(AND($CI43&gt;0,CH43&gt;$CH$6,CH43&lt;=$CH$7),$CI43*(1+$CH$10*($CH$7-CH43)/365),0)</f>
        <v/>
      </c>
      <c r="CY43" s="51">
        <f>IF(CO43=1,$CI43/(1+($CH$111+손익!$B$24/10000)/2)^(CP43-1),0)</f>
        <v/>
      </c>
      <c r="CZ43" s="51">
        <f>IF(CO43=1,$CI43/(1+($CH$111+시나리오!$A$4/10000)/2)^(CP43-1),0)</f>
        <v/>
      </c>
      <c r="DA43" s="51">
        <f>IF(CO43=1,$CI43/(1+($CH$111+시나리오!$A$5/10000)/2)^(CP43-1),0)</f>
        <v/>
      </c>
      <c r="DB43" s="51">
        <f>IF(CO43=1,$CI43/(1+($CH$111+시나리오!$A$6/10000)/2)^(CP43-1),0)</f>
        <v/>
      </c>
      <c r="DC43" s="51">
        <f>IF(CO43=1,$CI43/(1+($CH$111+시나리오!$A$7/10000)/2)^(CP43-1),0)</f>
        <v/>
      </c>
      <c r="DD43" s="51">
        <f>IF(CO43=1,$CI43/(1+($CH$111+시나리오!$A$8/10000)/2)^(CP43-1),0)</f>
        <v/>
      </c>
      <c r="DE43" s="51">
        <f>IF(CO43=1,$CI43/(1+($CH$111+시나리오!$A$9/10000)/2)^(CP43-1),0)</f>
        <v/>
      </c>
      <c r="DF43" s="51">
        <f>IF(CO43=1,$CI43/(1+($CH$111+시나리오!$A$10/10000)/2)^(CP43-1),0)</f>
        <v/>
      </c>
      <c r="DG43" s="51">
        <f>IF(CO43=1,$CI43/(1+($CH$111+시나리오!$A$11/10000)/2)^(CP43-1),0)</f>
        <v/>
      </c>
      <c r="DH43" s="51">
        <f>IF(CO43=1,$CI43/(1+($CH$111+시나리오!$A$12/10000)/2)^(CP43-1),0)</f>
        <v/>
      </c>
      <c r="DI43" s="51">
        <f>IF(CO43=1,$CI43/(1+($CH$111+시나리오!$A$13/10000)/2)^(CP43-1),0)</f>
        <v/>
      </c>
      <c r="DJ43" s="51">
        <f>IF(CO43=1,$CI43/(1+($CH$111+시나리오!$A$14/10000)/2)^(CP43-1),0)</f>
        <v/>
      </c>
      <c r="DK43" s="51">
        <f>IF(CO43=1,$CI43/(1+($CH$111+시나리오!$A$15/10000)/2)^(CP43-1),0)</f>
        <v/>
      </c>
      <c r="DL43" s="51">
        <f>IF(CO43=1,$CI43/(1+($CH$111+시나리오!$A$16/10000)/2)^(CP43-1),0)</f>
        <v/>
      </c>
      <c r="DM43" s="51">
        <f>IF(CO43=1,$CI43/(1+($CH$111+시나리오!$A$17/10000)/2)^(CP43-1),0)</f>
        <v/>
      </c>
      <c r="DN43" s="51">
        <f>IF(CO43=1,$CI43/(1+($CH$111+시나리오!$A$18/10000)/2)^(CP43-1),0)</f>
        <v/>
      </c>
      <c r="DO43" s="51">
        <f>IF(CO43=1,$CI43/(1+($CH$111+시나리오!$A$19/10000)/2)^(CP43-1),0)</f>
        <v/>
      </c>
      <c r="DP43" s="51">
        <f>IF(CO43=1,$CI43/(1+($CH$111+시나리오!$A$20/10000)/2)^(CP43-1),0)</f>
        <v/>
      </c>
      <c r="DQ43" s="51">
        <f>IF(CO43=1,$CI43/(1+($CH$111+시나리오!$A$21/10000)/2)^(CP43-1),0)</f>
        <v/>
      </c>
      <c r="DR43" s="51">
        <f>IF(CO43=1,$CI43/(1+($CH$111+시나리오!$A$22/10000)/2)^(CP43-1),0)</f>
        <v/>
      </c>
      <c r="DS43" s="51">
        <f>IF(CO43=1,$CI43/(1+($CH$111+시나리오!$A$23/10000)/2)^(CP43-1),0)</f>
        <v/>
      </c>
      <c r="DT43" s="51">
        <f>IF(CO43=1,$CI43/(1+($CH$111+시나리오!$A$24/10000)/2)^(CP43-1),0)</f>
        <v/>
      </c>
    </row>
    <row r="44">
      <c r="A44" s="49" t="n">
        <v>30</v>
      </c>
      <c r="B44" s="50">
        <f>EDATE($B$2,-6*(62-$A44))</f>
        <v/>
      </c>
      <c r="C44" s="51">
        <f>IF(AND(B44&gt;$B$3,B44&lt;=$B$2),IF(B44=$B$2,$B$5+100,$B$5),0)</f>
        <v/>
      </c>
      <c r="D44" s="49">
        <f>IF(AND($C44&gt;0,B44&gt;$B$6),1,0)</f>
        <v/>
      </c>
      <c r="E44" s="49">
        <f>IF(D44=1,SUM($D$15:D44),"")</f>
        <v/>
      </c>
      <c r="F44" s="51">
        <f>IF(D44=1,$C44/(1+$B$8/2)^(E44-1),0)</f>
        <v/>
      </c>
      <c r="G44" s="51">
        <f>IF(D44=1,$C44/(1+($B$8+0.0001)/2)^(E44-1),0)</f>
        <v/>
      </c>
      <c r="H44" s="51">
        <f>IF(D44=1,$C44/(1+($B$8-0.0001)/2)^(E44-1),0)</f>
        <v/>
      </c>
      <c r="I44" s="49">
        <f>IF(AND($C44&gt;0,B44&gt;$B$7),1,0)</f>
        <v/>
      </c>
      <c r="J44" s="49">
        <f>IF(I44=1,SUM($I$15:I44),"")</f>
        <v/>
      </c>
      <c r="K44" s="51">
        <f>IF(I44=1,$C44/(1+$B$104/2)^(J44-1),0)</f>
        <v/>
      </c>
      <c r="L44" s="51">
        <f>IF(I44=1,$C44/(1+($B$104+0.0001)/2)^(J44-1),0)</f>
        <v/>
      </c>
      <c r="M44" s="51">
        <f>IF(I44=1,$C44/(1+($B$104-0.0001)/2)^(J44-1),0)</f>
        <v/>
      </c>
      <c r="N44" s="51">
        <f>IF(I44=1,$C44/(1+$B$109/2)^(J44-1),0)</f>
        <v/>
      </c>
      <c r="O44" s="51">
        <f>IF(I44=1,$C44/(1+$B$111/2)^(J44-1),0)</f>
        <v/>
      </c>
      <c r="P44" s="51">
        <f>IF(I44=1,$C44/(1+($B$111+0.0001)/2)^(J44-1),0)</f>
        <v/>
      </c>
      <c r="Q44" s="51">
        <f>IF(I44=1,$C44/(1+($B$111-0.0001)/2)^(J44-1),0)</f>
        <v/>
      </c>
      <c r="R44" s="51">
        <f>IF(AND($C44&gt;0,B44&gt;$B$6,B44&lt;=$B$7),$C44*(1+$B$10*($B$7-B44)/365),0)</f>
        <v/>
      </c>
      <c r="S44" s="51">
        <f>IF(I44=1,$C44/(1+($B$111+손익!$B$24/10000)/2)^(J44-1),0)</f>
        <v/>
      </c>
      <c r="T44" s="51">
        <f>IF(I44=1,$C44/(1+($B$111+시나리오!$A$4/10000)/2)^(J44-1),0)</f>
        <v/>
      </c>
      <c r="U44" s="51">
        <f>IF(I44=1,$C44/(1+($B$111+시나리오!$A$5/10000)/2)^(J44-1),0)</f>
        <v/>
      </c>
      <c r="V44" s="51">
        <f>IF(I44=1,$C44/(1+($B$111+시나리오!$A$6/10000)/2)^(J44-1),0)</f>
        <v/>
      </c>
      <c r="W44" s="51">
        <f>IF(I44=1,$C44/(1+($B$111+시나리오!$A$7/10000)/2)^(J44-1),0)</f>
        <v/>
      </c>
      <c r="X44" s="51">
        <f>IF(I44=1,$C44/(1+($B$111+시나리오!$A$8/10000)/2)^(J44-1),0)</f>
        <v/>
      </c>
      <c r="Y44" s="51">
        <f>IF(I44=1,$C44/(1+($B$111+시나리오!$A$9/10000)/2)^(J44-1),0)</f>
        <v/>
      </c>
      <c r="Z44" s="51">
        <f>IF(I44=1,$C44/(1+($B$111+시나리오!$A$10/10000)/2)^(J44-1),0)</f>
        <v/>
      </c>
      <c r="AA44" s="51">
        <f>IF(I44=1,$C44/(1+($B$111+시나리오!$A$11/10000)/2)^(J44-1),0)</f>
        <v/>
      </c>
      <c r="AB44" s="51">
        <f>IF(I44=1,$C44/(1+($B$111+시나리오!$A$12/10000)/2)^(J44-1),0)</f>
        <v/>
      </c>
      <c r="AC44" s="51">
        <f>IF(I44=1,$C44/(1+($B$111+시나리오!$A$13/10000)/2)^(J44-1),0)</f>
        <v/>
      </c>
      <c r="AD44" s="51">
        <f>IF(I44=1,$C44/(1+($B$111+시나리오!$A$14/10000)/2)^(J44-1),0)</f>
        <v/>
      </c>
      <c r="AE44" s="51">
        <f>IF(I44=1,$C44/(1+($B$111+시나리오!$A$15/10000)/2)^(J44-1),0)</f>
        <v/>
      </c>
      <c r="AF44" s="51">
        <f>IF(I44=1,$C44/(1+($B$111+시나리오!$A$16/10000)/2)^(J44-1),0)</f>
        <v/>
      </c>
      <c r="AG44" s="51">
        <f>IF(I44=1,$C44/(1+($B$111+시나리오!$A$17/10000)/2)^(J44-1),0)</f>
        <v/>
      </c>
      <c r="AH44" s="51">
        <f>IF(I44=1,$C44/(1+($B$111+시나리오!$A$18/10000)/2)^(J44-1),0)</f>
        <v/>
      </c>
      <c r="AI44" s="51">
        <f>IF(I44=1,$C44/(1+($B$111+시나리오!$A$19/10000)/2)^(J44-1),0)</f>
        <v/>
      </c>
      <c r="AJ44" s="51">
        <f>IF(I44=1,$C44/(1+($B$111+시나리오!$A$20/10000)/2)^(J44-1),0)</f>
        <v/>
      </c>
      <c r="AK44" s="51">
        <f>IF(I44=1,$C44/(1+($B$111+시나리오!$A$21/10000)/2)^(J44-1),0)</f>
        <v/>
      </c>
      <c r="AL44" s="51">
        <f>IF(I44=1,$C44/(1+($B$111+시나리오!$A$22/10000)/2)^(J44-1),0)</f>
        <v/>
      </c>
      <c r="AM44" s="51">
        <f>IF(I44=1,$C44/(1+($B$111+시나리오!$A$23/10000)/2)^(J44-1),0)</f>
        <v/>
      </c>
      <c r="AN44" s="51">
        <f>IF(I44=1,$C44/(1+($B$111+시나리오!$A$24/10000)/2)^(J44-1),0)</f>
        <v/>
      </c>
      <c r="AQ44" s="49" t="n">
        <v>30</v>
      </c>
      <c r="AR44" s="50">
        <f>EDATE($AR$2,-6*(62-$AQ44))</f>
        <v/>
      </c>
      <c r="AS44" s="51">
        <f>IF(AND(AR44&gt;$AR$3,AR44&lt;=$AR$2),IF(AR44=$AR$2,$AR$5+100,$AR$5),0)</f>
        <v/>
      </c>
      <c r="AT44" s="49">
        <f>IF(AND($AS44&gt;0,AR44&gt;$AR$6),1,0)</f>
        <v/>
      </c>
      <c r="AU44" s="49">
        <f>IF(AT44=1,SUM($AT$15:AT44),"")</f>
        <v/>
      </c>
      <c r="AV44" s="51">
        <f>IF(AT44=1,$AS44/(1+$AR$8/2)^(AU44-1),0)</f>
        <v/>
      </c>
      <c r="AW44" s="51">
        <f>IF(AT44=1,$AS44/(1+($AR$8+0.0001)/2)^(AU44-1),0)</f>
        <v/>
      </c>
      <c r="AX44" s="51">
        <f>IF(AT44=1,$AS44/(1+($AR$8-0.0001)/2)^(AU44-1),0)</f>
        <v/>
      </c>
      <c r="AY44" s="49">
        <f>IF(AND($AS44&gt;0,AR44&gt;$AR$7),1,0)</f>
        <v/>
      </c>
      <c r="AZ44" s="49">
        <f>IF(AY44=1,SUM($AY$15:AY44),"")</f>
        <v/>
      </c>
      <c r="BA44" s="51">
        <f>IF(AY44=1,$AS44/(1+$AR$104/2)^(AZ44-1),0)</f>
        <v/>
      </c>
      <c r="BB44" s="51">
        <f>IF(AY44=1,$AS44/(1+($AR$104+0.0001)/2)^(AZ44-1),0)</f>
        <v/>
      </c>
      <c r="BC44" s="51">
        <f>IF(AY44=1,$AS44/(1+($AR$104-0.0001)/2)^(AZ44-1),0)</f>
        <v/>
      </c>
      <c r="BD44" s="51">
        <f>IF(AY44=1,$AS44/(1+$AR$109/2)^(AZ44-1),0)</f>
        <v/>
      </c>
      <c r="BE44" s="51">
        <f>IF(AY44=1,$AS44/(1+$AR$111/2)^(AZ44-1),0)</f>
        <v/>
      </c>
      <c r="BF44" s="51">
        <f>IF(AY44=1,$AS44/(1+($AR$111+0.0001)/2)^(AZ44-1),0)</f>
        <v/>
      </c>
      <c r="BG44" s="51">
        <f>IF(AY44=1,$AS44/(1+($AR$111-0.0001)/2)^(AZ44-1),0)</f>
        <v/>
      </c>
      <c r="BH44" s="51">
        <f>IF(AND($AS44&gt;0,AR44&gt;$AR$6,AR44&lt;=$AR$7),$AS44*(1+$AR$10*($AR$7-AR44)/365),0)</f>
        <v/>
      </c>
      <c r="BI44" s="51">
        <f>IF(AY44=1,$AS44/(1+($AR$111+손익!$B$24/10000)/2)^(AZ44-1),0)</f>
        <v/>
      </c>
      <c r="BJ44" s="51">
        <f>IF(AY44=1,$AS44/(1+($AR$111+시나리오!$A$4/10000)/2)^(AZ44-1),0)</f>
        <v/>
      </c>
      <c r="BK44" s="51">
        <f>IF(AY44=1,$AS44/(1+($AR$111+시나리오!$A$5/10000)/2)^(AZ44-1),0)</f>
        <v/>
      </c>
      <c r="BL44" s="51">
        <f>IF(AY44=1,$AS44/(1+($AR$111+시나리오!$A$6/10000)/2)^(AZ44-1),0)</f>
        <v/>
      </c>
      <c r="BM44" s="51">
        <f>IF(AY44=1,$AS44/(1+($AR$111+시나리오!$A$7/10000)/2)^(AZ44-1),0)</f>
        <v/>
      </c>
      <c r="BN44" s="51">
        <f>IF(AY44=1,$AS44/(1+($AR$111+시나리오!$A$8/10000)/2)^(AZ44-1),0)</f>
        <v/>
      </c>
      <c r="BO44" s="51">
        <f>IF(AY44=1,$AS44/(1+($AR$111+시나리오!$A$9/10000)/2)^(AZ44-1),0)</f>
        <v/>
      </c>
      <c r="BP44" s="51">
        <f>IF(AY44=1,$AS44/(1+($AR$111+시나리오!$A$10/10000)/2)^(AZ44-1),0)</f>
        <v/>
      </c>
      <c r="BQ44" s="51">
        <f>IF(AY44=1,$AS44/(1+($AR$111+시나리오!$A$11/10000)/2)^(AZ44-1),0)</f>
        <v/>
      </c>
      <c r="BR44" s="51">
        <f>IF(AY44=1,$AS44/(1+($AR$111+시나리오!$A$12/10000)/2)^(AZ44-1),0)</f>
        <v/>
      </c>
      <c r="BS44" s="51">
        <f>IF(AY44=1,$AS44/(1+($AR$111+시나리오!$A$13/10000)/2)^(AZ44-1),0)</f>
        <v/>
      </c>
      <c r="BT44" s="51">
        <f>IF(AY44=1,$AS44/(1+($AR$111+시나리오!$A$14/10000)/2)^(AZ44-1),0)</f>
        <v/>
      </c>
      <c r="BU44" s="51">
        <f>IF(AY44=1,$AS44/(1+($AR$111+시나리오!$A$15/10000)/2)^(AZ44-1),0)</f>
        <v/>
      </c>
      <c r="BV44" s="51">
        <f>IF(AY44=1,$AS44/(1+($AR$111+시나리오!$A$16/10000)/2)^(AZ44-1),0)</f>
        <v/>
      </c>
      <c r="BW44" s="51">
        <f>IF(AY44=1,$AS44/(1+($AR$111+시나리오!$A$17/10000)/2)^(AZ44-1),0)</f>
        <v/>
      </c>
      <c r="BX44" s="51">
        <f>IF(AY44=1,$AS44/(1+($AR$111+시나리오!$A$18/10000)/2)^(AZ44-1),0)</f>
        <v/>
      </c>
      <c r="BY44" s="51">
        <f>IF(AY44=1,$AS44/(1+($AR$111+시나리오!$A$19/10000)/2)^(AZ44-1),0)</f>
        <v/>
      </c>
      <c r="BZ44" s="51">
        <f>IF(AY44=1,$AS44/(1+($AR$111+시나리오!$A$20/10000)/2)^(AZ44-1),0)</f>
        <v/>
      </c>
      <c r="CA44" s="51">
        <f>IF(AY44=1,$AS44/(1+($AR$111+시나리오!$A$21/10000)/2)^(AZ44-1),0)</f>
        <v/>
      </c>
      <c r="CB44" s="51">
        <f>IF(AY44=1,$AS44/(1+($AR$111+시나리오!$A$22/10000)/2)^(AZ44-1),0)</f>
        <v/>
      </c>
      <c r="CC44" s="51">
        <f>IF(AY44=1,$AS44/(1+($AR$111+시나리오!$A$23/10000)/2)^(AZ44-1),0)</f>
        <v/>
      </c>
      <c r="CD44" s="51">
        <f>IF(AY44=1,$AS44/(1+($AR$111+시나리오!$A$24/10000)/2)^(AZ44-1),0)</f>
        <v/>
      </c>
      <c r="CG44" s="49" t="n">
        <v>30</v>
      </c>
      <c r="CH44" s="50">
        <f>EDATE($CH$2,-6*(62-$CG44))</f>
        <v/>
      </c>
      <c r="CI44" s="51">
        <f>IF(AND(CH44&gt;$CH$3,CH44&lt;=$CH$2),IF(CH44=$CH$2,$CH$5+100,$CH$5),0)</f>
        <v/>
      </c>
      <c r="CJ44" s="49">
        <f>IF(AND($CI44&gt;0,CH44&gt;$CH$6),1,0)</f>
        <v/>
      </c>
      <c r="CK44" s="49">
        <f>IF(CJ44=1,SUM($CJ$15:CJ44),"")</f>
        <v/>
      </c>
      <c r="CL44" s="51">
        <f>IF(CJ44=1,$CI44/(1+$CH$8/2)^(CK44-1),0)</f>
        <v/>
      </c>
      <c r="CM44" s="51">
        <f>IF(CJ44=1,$CI44/(1+($CH$8+0.0001)/2)^(CK44-1),0)</f>
        <v/>
      </c>
      <c r="CN44" s="51">
        <f>IF(CJ44=1,$CI44/(1+($CH$8-0.0001)/2)^(CK44-1),0)</f>
        <v/>
      </c>
      <c r="CO44" s="49">
        <f>IF(AND($CI44&gt;0,CH44&gt;$CH$7),1,0)</f>
        <v/>
      </c>
      <c r="CP44" s="49">
        <f>IF(CO44=1,SUM($CO$15:CO44),"")</f>
        <v/>
      </c>
      <c r="CQ44" s="51">
        <f>IF(CO44=1,$CI44/(1+$CH$104/2)^(CP44-1),0)</f>
        <v/>
      </c>
      <c r="CR44" s="51">
        <f>IF(CO44=1,$CI44/(1+($CH$104+0.0001)/2)^(CP44-1),0)</f>
        <v/>
      </c>
      <c r="CS44" s="51">
        <f>IF(CO44=1,$CI44/(1+($CH$104-0.0001)/2)^(CP44-1),0)</f>
        <v/>
      </c>
      <c r="CT44" s="51">
        <f>IF(CO44=1,$CI44/(1+$CH$109/2)^(CP44-1),0)</f>
        <v/>
      </c>
      <c r="CU44" s="51">
        <f>IF(CO44=1,$CI44/(1+$CH$111/2)^(CP44-1),0)</f>
        <v/>
      </c>
      <c r="CV44" s="51">
        <f>IF(CO44=1,$CI44/(1+($CH$111+0.0001)/2)^(CP44-1),0)</f>
        <v/>
      </c>
      <c r="CW44" s="51">
        <f>IF(CO44=1,$CI44/(1+($CH$111-0.0001)/2)^(CP44-1),0)</f>
        <v/>
      </c>
      <c r="CX44" s="51">
        <f>IF(AND($CI44&gt;0,CH44&gt;$CH$6,CH44&lt;=$CH$7),$CI44*(1+$CH$10*($CH$7-CH44)/365),0)</f>
        <v/>
      </c>
      <c r="CY44" s="51">
        <f>IF(CO44=1,$CI44/(1+($CH$111+손익!$B$24/10000)/2)^(CP44-1),0)</f>
        <v/>
      </c>
      <c r="CZ44" s="51">
        <f>IF(CO44=1,$CI44/(1+($CH$111+시나리오!$A$4/10000)/2)^(CP44-1),0)</f>
        <v/>
      </c>
      <c r="DA44" s="51">
        <f>IF(CO44=1,$CI44/(1+($CH$111+시나리오!$A$5/10000)/2)^(CP44-1),0)</f>
        <v/>
      </c>
      <c r="DB44" s="51">
        <f>IF(CO44=1,$CI44/(1+($CH$111+시나리오!$A$6/10000)/2)^(CP44-1),0)</f>
        <v/>
      </c>
      <c r="DC44" s="51">
        <f>IF(CO44=1,$CI44/(1+($CH$111+시나리오!$A$7/10000)/2)^(CP44-1),0)</f>
        <v/>
      </c>
      <c r="DD44" s="51">
        <f>IF(CO44=1,$CI44/(1+($CH$111+시나리오!$A$8/10000)/2)^(CP44-1),0)</f>
        <v/>
      </c>
      <c r="DE44" s="51">
        <f>IF(CO44=1,$CI44/(1+($CH$111+시나리오!$A$9/10000)/2)^(CP44-1),0)</f>
        <v/>
      </c>
      <c r="DF44" s="51">
        <f>IF(CO44=1,$CI44/(1+($CH$111+시나리오!$A$10/10000)/2)^(CP44-1),0)</f>
        <v/>
      </c>
      <c r="DG44" s="51">
        <f>IF(CO44=1,$CI44/(1+($CH$111+시나리오!$A$11/10000)/2)^(CP44-1),0)</f>
        <v/>
      </c>
      <c r="DH44" s="51">
        <f>IF(CO44=1,$CI44/(1+($CH$111+시나리오!$A$12/10000)/2)^(CP44-1),0)</f>
        <v/>
      </c>
      <c r="DI44" s="51">
        <f>IF(CO44=1,$CI44/(1+($CH$111+시나리오!$A$13/10000)/2)^(CP44-1),0)</f>
        <v/>
      </c>
      <c r="DJ44" s="51">
        <f>IF(CO44=1,$CI44/(1+($CH$111+시나리오!$A$14/10000)/2)^(CP44-1),0)</f>
        <v/>
      </c>
      <c r="DK44" s="51">
        <f>IF(CO44=1,$CI44/(1+($CH$111+시나리오!$A$15/10000)/2)^(CP44-1),0)</f>
        <v/>
      </c>
      <c r="DL44" s="51">
        <f>IF(CO44=1,$CI44/(1+($CH$111+시나리오!$A$16/10000)/2)^(CP44-1),0)</f>
        <v/>
      </c>
      <c r="DM44" s="51">
        <f>IF(CO44=1,$CI44/(1+($CH$111+시나리오!$A$17/10000)/2)^(CP44-1),0)</f>
        <v/>
      </c>
      <c r="DN44" s="51">
        <f>IF(CO44=1,$CI44/(1+($CH$111+시나리오!$A$18/10000)/2)^(CP44-1),0)</f>
        <v/>
      </c>
      <c r="DO44" s="51">
        <f>IF(CO44=1,$CI44/(1+($CH$111+시나리오!$A$19/10000)/2)^(CP44-1),0)</f>
        <v/>
      </c>
      <c r="DP44" s="51">
        <f>IF(CO44=1,$CI44/(1+($CH$111+시나리오!$A$20/10000)/2)^(CP44-1),0)</f>
        <v/>
      </c>
      <c r="DQ44" s="51">
        <f>IF(CO44=1,$CI44/(1+($CH$111+시나리오!$A$21/10000)/2)^(CP44-1),0)</f>
        <v/>
      </c>
      <c r="DR44" s="51">
        <f>IF(CO44=1,$CI44/(1+($CH$111+시나리오!$A$22/10000)/2)^(CP44-1),0)</f>
        <v/>
      </c>
      <c r="DS44" s="51">
        <f>IF(CO44=1,$CI44/(1+($CH$111+시나리오!$A$23/10000)/2)^(CP44-1),0)</f>
        <v/>
      </c>
      <c r="DT44" s="51">
        <f>IF(CO44=1,$CI44/(1+($CH$111+시나리오!$A$24/10000)/2)^(CP44-1),0)</f>
        <v/>
      </c>
    </row>
    <row r="45">
      <c r="A45" s="49" t="n">
        <v>31</v>
      </c>
      <c r="B45" s="50">
        <f>EDATE($B$2,-6*(62-$A45))</f>
        <v/>
      </c>
      <c r="C45" s="51">
        <f>IF(AND(B45&gt;$B$3,B45&lt;=$B$2),IF(B45=$B$2,$B$5+100,$B$5),0)</f>
        <v/>
      </c>
      <c r="D45" s="49">
        <f>IF(AND($C45&gt;0,B45&gt;$B$6),1,0)</f>
        <v/>
      </c>
      <c r="E45" s="49">
        <f>IF(D45=1,SUM($D$15:D45),"")</f>
        <v/>
      </c>
      <c r="F45" s="51">
        <f>IF(D45=1,$C45/(1+$B$8/2)^(E45-1),0)</f>
        <v/>
      </c>
      <c r="G45" s="51">
        <f>IF(D45=1,$C45/(1+($B$8+0.0001)/2)^(E45-1),0)</f>
        <v/>
      </c>
      <c r="H45" s="51">
        <f>IF(D45=1,$C45/(1+($B$8-0.0001)/2)^(E45-1),0)</f>
        <v/>
      </c>
      <c r="I45" s="49">
        <f>IF(AND($C45&gt;0,B45&gt;$B$7),1,0)</f>
        <v/>
      </c>
      <c r="J45" s="49">
        <f>IF(I45=1,SUM($I$15:I45),"")</f>
        <v/>
      </c>
      <c r="K45" s="51">
        <f>IF(I45=1,$C45/(1+$B$104/2)^(J45-1),0)</f>
        <v/>
      </c>
      <c r="L45" s="51">
        <f>IF(I45=1,$C45/(1+($B$104+0.0001)/2)^(J45-1),0)</f>
        <v/>
      </c>
      <c r="M45" s="51">
        <f>IF(I45=1,$C45/(1+($B$104-0.0001)/2)^(J45-1),0)</f>
        <v/>
      </c>
      <c r="N45" s="51">
        <f>IF(I45=1,$C45/(1+$B$109/2)^(J45-1),0)</f>
        <v/>
      </c>
      <c r="O45" s="51">
        <f>IF(I45=1,$C45/(1+$B$111/2)^(J45-1),0)</f>
        <v/>
      </c>
      <c r="P45" s="51">
        <f>IF(I45=1,$C45/(1+($B$111+0.0001)/2)^(J45-1),0)</f>
        <v/>
      </c>
      <c r="Q45" s="51">
        <f>IF(I45=1,$C45/(1+($B$111-0.0001)/2)^(J45-1),0)</f>
        <v/>
      </c>
      <c r="R45" s="51">
        <f>IF(AND($C45&gt;0,B45&gt;$B$6,B45&lt;=$B$7),$C45*(1+$B$10*($B$7-B45)/365),0)</f>
        <v/>
      </c>
      <c r="S45" s="51">
        <f>IF(I45=1,$C45/(1+($B$111+손익!$B$24/10000)/2)^(J45-1),0)</f>
        <v/>
      </c>
      <c r="T45" s="51">
        <f>IF(I45=1,$C45/(1+($B$111+시나리오!$A$4/10000)/2)^(J45-1),0)</f>
        <v/>
      </c>
      <c r="U45" s="51">
        <f>IF(I45=1,$C45/(1+($B$111+시나리오!$A$5/10000)/2)^(J45-1),0)</f>
        <v/>
      </c>
      <c r="V45" s="51">
        <f>IF(I45=1,$C45/(1+($B$111+시나리오!$A$6/10000)/2)^(J45-1),0)</f>
        <v/>
      </c>
      <c r="W45" s="51">
        <f>IF(I45=1,$C45/(1+($B$111+시나리오!$A$7/10000)/2)^(J45-1),0)</f>
        <v/>
      </c>
      <c r="X45" s="51">
        <f>IF(I45=1,$C45/(1+($B$111+시나리오!$A$8/10000)/2)^(J45-1),0)</f>
        <v/>
      </c>
      <c r="Y45" s="51">
        <f>IF(I45=1,$C45/(1+($B$111+시나리오!$A$9/10000)/2)^(J45-1),0)</f>
        <v/>
      </c>
      <c r="Z45" s="51">
        <f>IF(I45=1,$C45/(1+($B$111+시나리오!$A$10/10000)/2)^(J45-1),0)</f>
        <v/>
      </c>
      <c r="AA45" s="51">
        <f>IF(I45=1,$C45/(1+($B$111+시나리오!$A$11/10000)/2)^(J45-1),0)</f>
        <v/>
      </c>
      <c r="AB45" s="51">
        <f>IF(I45=1,$C45/(1+($B$111+시나리오!$A$12/10000)/2)^(J45-1),0)</f>
        <v/>
      </c>
      <c r="AC45" s="51">
        <f>IF(I45=1,$C45/(1+($B$111+시나리오!$A$13/10000)/2)^(J45-1),0)</f>
        <v/>
      </c>
      <c r="AD45" s="51">
        <f>IF(I45=1,$C45/(1+($B$111+시나리오!$A$14/10000)/2)^(J45-1),0)</f>
        <v/>
      </c>
      <c r="AE45" s="51">
        <f>IF(I45=1,$C45/(1+($B$111+시나리오!$A$15/10000)/2)^(J45-1),0)</f>
        <v/>
      </c>
      <c r="AF45" s="51">
        <f>IF(I45=1,$C45/(1+($B$111+시나리오!$A$16/10000)/2)^(J45-1),0)</f>
        <v/>
      </c>
      <c r="AG45" s="51">
        <f>IF(I45=1,$C45/(1+($B$111+시나리오!$A$17/10000)/2)^(J45-1),0)</f>
        <v/>
      </c>
      <c r="AH45" s="51">
        <f>IF(I45=1,$C45/(1+($B$111+시나리오!$A$18/10000)/2)^(J45-1),0)</f>
        <v/>
      </c>
      <c r="AI45" s="51">
        <f>IF(I45=1,$C45/(1+($B$111+시나리오!$A$19/10000)/2)^(J45-1),0)</f>
        <v/>
      </c>
      <c r="AJ45" s="51">
        <f>IF(I45=1,$C45/(1+($B$111+시나리오!$A$20/10000)/2)^(J45-1),0)</f>
        <v/>
      </c>
      <c r="AK45" s="51">
        <f>IF(I45=1,$C45/(1+($B$111+시나리오!$A$21/10000)/2)^(J45-1),0)</f>
        <v/>
      </c>
      <c r="AL45" s="51">
        <f>IF(I45=1,$C45/(1+($B$111+시나리오!$A$22/10000)/2)^(J45-1),0)</f>
        <v/>
      </c>
      <c r="AM45" s="51">
        <f>IF(I45=1,$C45/(1+($B$111+시나리오!$A$23/10000)/2)^(J45-1),0)</f>
        <v/>
      </c>
      <c r="AN45" s="51">
        <f>IF(I45=1,$C45/(1+($B$111+시나리오!$A$24/10000)/2)^(J45-1),0)</f>
        <v/>
      </c>
      <c r="AQ45" s="49" t="n">
        <v>31</v>
      </c>
      <c r="AR45" s="50">
        <f>EDATE($AR$2,-6*(62-$AQ45))</f>
        <v/>
      </c>
      <c r="AS45" s="51">
        <f>IF(AND(AR45&gt;$AR$3,AR45&lt;=$AR$2),IF(AR45=$AR$2,$AR$5+100,$AR$5),0)</f>
        <v/>
      </c>
      <c r="AT45" s="49">
        <f>IF(AND($AS45&gt;0,AR45&gt;$AR$6),1,0)</f>
        <v/>
      </c>
      <c r="AU45" s="49">
        <f>IF(AT45=1,SUM($AT$15:AT45),"")</f>
        <v/>
      </c>
      <c r="AV45" s="51">
        <f>IF(AT45=1,$AS45/(1+$AR$8/2)^(AU45-1),0)</f>
        <v/>
      </c>
      <c r="AW45" s="51">
        <f>IF(AT45=1,$AS45/(1+($AR$8+0.0001)/2)^(AU45-1),0)</f>
        <v/>
      </c>
      <c r="AX45" s="51">
        <f>IF(AT45=1,$AS45/(1+($AR$8-0.0001)/2)^(AU45-1),0)</f>
        <v/>
      </c>
      <c r="AY45" s="49">
        <f>IF(AND($AS45&gt;0,AR45&gt;$AR$7),1,0)</f>
        <v/>
      </c>
      <c r="AZ45" s="49">
        <f>IF(AY45=1,SUM($AY$15:AY45),"")</f>
        <v/>
      </c>
      <c r="BA45" s="51">
        <f>IF(AY45=1,$AS45/(1+$AR$104/2)^(AZ45-1),0)</f>
        <v/>
      </c>
      <c r="BB45" s="51">
        <f>IF(AY45=1,$AS45/(1+($AR$104+0.0001)/2)^(AZ45-1),0)</f>
        <v/>
      </c>
      <c r="BC45" s="51">
        <f>IF(AY45=1,$AS45/(1+($AR$104-0.0001)/2)^(AZ45-1),0)</f>
        <v/>
      </c>
      <c r="BD45" s="51">
        <f>IF(AY45=1,$AS45/(1+$AR$109/2)^(AZ45-1),0)</f>
        <v/>
      </c>
      <c r="BE45" s="51">
        <f>IF(AY45=1,$AS45/(1+$AR$111/2)^(AZ45-1),0)</f>
        <v/>
      </c>
      <c r="BF45" s="51">
        <f>IF(AY45=1,$AS45/(1+($AR$111+0.0001)/2)^(AZ45-1),0)</f>
        <v/>
      </c>
      <c r="BG45" s="51">
        <f>IF(AY45=1,$AS45/(1+($AR$111-0.0001)/2)^(AZ45-1),0)</f>
        <v/>
      </c>
      <c r="BH45" s="51">
        <f>IF(AND($AS45&gt;0,AR45&gt;$AR$6,AR45&lt;=$AR$7),$AS45*(1+$AR$10*($AR$7-AR45)/365),0)</f>
        <v/>
      </c>
      <c r="BI45" s="51">
        <f>IF(AY45=1,$AS45/(1+($AR$111+손익!$B$24/10000)/2)^(AZ45-1),0)</f>
        <v/>
      </c>
      <c r="BJ45" s="51">
        <f>IF(AY45=1,$AS45/(1+($AR$111+시나리오!$A$4/10000)/2)^(AZ45-1),0)</f>
        <v/>
      </c>
      <c r="BK45" s="51">
        <f>IF(AY45=1,$AS45/(1+($AR$111+시나리오!$A$5/10000)/2)^(AZ45-1),0)</f>
        <v/>
      </c>
      <c r="BL45" s="51">
        <f>IF(AY45=1,$AS45/(1+($AR$111+시나리오!$A$6/10000)/2)^(AZ45-1),0)</f>
        <v/>
      </c>
      <c r="BM45" s="51">
        <f>IF(AY45=1,$AS45/(1+($AR$111+시나리오!$A$7/10000)/2)^(AZ45-1),0)</f>
        <v/>
      </c>
      <c r="BN45" s="51">
        <f>IF(AY45=1,$AS45/(1+($AR$111+시나리오!$A$8/10000)/2)^(AZ45-1),0)</f>
        <v/>
      </c>
      <c r="BO45" s="51">
        <f>IF(AY45=1,$AS45/(1+($AR$111+시나리오!$A$9/10000)/2)^(AZ45-1),0)</f>
        <v/>
      </c>
      <c r="BP45" s="51">
        <f>IF(AY45=1,$AS45/(1+($AR$111+시나리오!$A$10/10000)/2)^(AZ45-1),0)</f>
        <v/>
      </c>
      <c r="BQ45" s="51">
        <f>IF(AY45=1,$AS45/(1+($AR$111+시나리오!$A$11/10000)/2)^(AZ45-1),0)</f>
        <v/>
      </c>
      <c r="BR45" s="51">
        <f>IF(AY45=1,$AS45/(1+($AR$111+시나리오!$A$12/10000)/2)^(AZ45-1),0)</f>
        <v/>
      </c>
      <c r="BS45" s="51">
        <f>IF(AY45=1,$AS45/(1+($AR$111+시나리오!$A$13/10000)/2)^(AZ45-1),0)</f>
        <v/>
      </c>
      <c r="BT45" s="51">
        <f>IF(AY45=1,$AS45/(1+($AR$111+시나리오!$A$14/10000)/2)^(AZ45-1),0)</f>
        <v/>
      </c>
      <c r="BU45" s="51">
        <f>IF(AY45=1,$AS45/(1+($AR$111+시나리오!$A$15/10000)/2)^(AZ45-1),0)</f>
        <v/>
      </c>
      <c r="BV45" s="51">
        <f>IF(AY45=1,$AS45/(1+($AR$111+시나리오!$A$16/10000)/2)^(AZ45-1),0)</f>
        <v/>
      </c>
      <c r="BW45" s="51">
        <f>IF(AY45=1,$AS45/(1+($AR$111+시나리오!$A$17/10000)/2)^(AZ45-1),0)</f>
        <v/>
      </c>
      <c r="BX45" s="51">
        <f>IF(AY45=1,$AS45/(1+($AR$111+시나리오!$A$18/10000)/2)^(AZ45-1),0)</f>
        <v/>
      </c>
      <c r="BY45" s="51">
        <f>IF(AY45=1,$AS45/(1+($AR$111+시나리오!$A$19/10000)/2)^(AZ45-1),0)</f>
        <v/>
      </c>
      <c r="BZ45" s="51">
        <f>IF(AY45=1,$AS45/(1+($AR$111+시나리오!$A$20/10000)/2)^(AZ45-1),0)</f>
        <v/>
      </c>
      <c r="CA45" s="51">
        <f>IF(AY45=1,$AS45/(1+($AR$111+시나리오!$A$21/10000)/2)^(AZ45-1),0)</f>
        <v/>
      </c>
      <c r="CB45" s="51">
        <f>IF(AY45=1,$AS45/(1+($AR$111+시나리오!$A$22/10000)/2)^(AZ45-1),0)</f>
        <v/>
      </c>
      <c r="CC45" s="51">
        <f>IF(AY45=1,$AS45/(1+($AR$111+시나리오!$A$23/10000)/2)^(AZ45-1),0)</f>
        <v/>
      </c>
      <c r="CD45" s="51">
        <f>IF(AY45=1,$AS45/(1+($AR$111+시나리오!$A$24/10000)/2)^(AZ45-1),0)</f>
        <v/>
      </c>
      <c r="CG45" s="49" t="n">
        <v>31</v>
      </c>
      <c r="CH45" s="50">
        <f>EDATE($CH$2,-6*(62-$CG45))</f>
        <v/>
      </c>
      <c r="CI45" s="51">
        <f>IF(AND(CH45&gt;$CH$3,CH45&lt;=$CH$2),IF(CH45=$CH$2,$CH$5+100,$CH$5),0)</f>
        <v/>
      </c>
      <c r="CJ45" s="49">
        <f>IF(AND($CI45&gt;0,CH45&gt;$CH$6),1,0)</f>
        <v/>
      </c>
      <c r="CK45" s="49">
        <f>IF(CJ45=1,SUM($CJ$15:CJ45),"")</f>
        <v/>
      </c>
      <c r="CL45" s="51">
        <f>IF(CJ45=1,$CI45/(1+$CH$8/2)^(CK45-1),0)</f>
        <v/>
      </c>
      <c r="CM45" s="51">
        <f>IF(CJ45=1,$CI45/(1+($CH$8+0.0001)/2)^(CK45-1),0)</f>
        <v/>
      </c>
      <c r="CN45" s="51">
        <f>IF(CJ45=1,$CI45/(1+($CH$8-0.0001)/2)^(CK45-1),0)</f>
        <v/>
      </c>
      <c r="CO45" s="49">
        <f>IF(AND($CI45&gt;0,CH45&gt;$CH$7),1,0)</f>
        <v/>
      </c>
      <c r="CP45" s="49">
        <f>IF(CO45=1,SUM($CO$15:CO45),"")</f>
        <v/>
      </c>
      <c r="CQ45" s="51">
        <f>IF(CO45=1,$CI45/(1+$CH$104/2)^(CP45-1),0)</f>
        <v/>
      </c>
      <c r="CR45" s="51">
        <f>IF(CO45=1,$CI45/(1+($CH$104+0.0001)/2)^(CP45-1),0)</f>
        <v/>
      </c>
      <c r="CS45" s="51">
        <f>IF(CO45=1,$CI45/(1+($CH$104-0.0001)/2)^(CP45-1),0)</f>
        <v/>
      </c>
      <c r="CT45" s="51">
        <f>IF(CO45=1,$CI45/(1+$CH$109/2)^(CP45-1),0)</f>
        <v/>
      </c>
      <c r="CU45" s="51">
        <f>IF(CO45=1,$CI45/(1+$CH$111/2)^(CP45-1),0)</f>
        <v/>
      </c>
      <c r="CV45" s="51">
        <f>IF(CO45=1,$CI45/(1+($CH$111+0.0001)/2)^(CP45-1),0)</f>
        <v/>
      </c>
      <c r="CW45" s="51">
        <f>IF(CO45=1,$CI45/(1+($CH$111-0.0001)/2)^(CP45-1),0)</f>
        <v/>
      </c>
      <c r="CX45" s="51">
        <f>IF(AND($CI45&gt;0,CH45&gt;$CH$6,CH45&lt;=$CH$7),$CI45*(1+$CH$10*($CH$7-CH45)/365),0)</f>
        <v/>
      </c>
      <c r="CY45" s="51">
        <f>IF(CO45=1,$CI45/(1+($CH$111+손익!$B$24/10000)/2)^(CP45-1),0)</f>
        <v/>
      </c>
      <c r="CZ45" s="51">
        <f>IF(CO45=1,$CI45/(1+($CH$111+시나리오!$A$4/10000)/2)^(CP45-1),0)</f>
        <v/>
      </c>
      <c r="DA45" s="51">
        <f>IF(CO45=1,$CI45/(1+($CH$111+시나리오!$A$5/10000)/2)^(CP45-1),0)</f>
        <v/>
      </c>
      <c r="DB45" s="51">
        <f>IF(CO45=1,$CI45/(1+($CH$111+시나리오!$A$6/10000)/2)^(CP45-1),0)</f>
        <v/>
      </c>
      <c r="DC45" s="51">
        <f>IF(CO45=1,$CI45/(1+($CH$111+시나리오!$A$7/10000)/2)^(CP45-1),0)</f>
        <v/>
      </c>
      <c r="DD45" s="51">
        <f>IF(CO45=1,$CI45/(1+($CH$111+시나리오!$A$8/10000)/2)^(CP45-1),0)</f>
        <v/>
      </c>
      <c r="DE45" s="51">
        <f>IF(CO45=1,$CI45/(1+($CH$111+시나리오!$A$9/10000)/2)^(CP45-1),0)</f>
        <v/>
      </c>
      <c r="DF45" s="51">
        <f>IF(CO45=1,$CI45/(1+($CH$111+시나리오!$A$10/10000)/2)^(CP45-1),0)</f>
        <v/>
      </c>
      <c r="DG45" s="51">
        <f>IF(CO45=1,$CI45/(1+($CH$111+시나리오!$A$11/10000)/2)^(CP45-1),0)</f>
        <v/>
      </c>
      <c r="DH45" s="51">
        <f>IF(CO45=1,$CI45/(1+($CH$111+시나리오!$A$12/10000)/2)^(CP45-1),0)</f>
        <v/>
      </c>
      <c r="DI45" s="51">
        <f>IF(CO45=1,$CI45/(1+($CH$111+시나리오!$A$13/10000)/2)^(CP45-1),0)</f>
        <v/>
      </c>
      <c r="DJ45" s="51">
        <f>IF(CO45=1,$CI45/(1+($CH$111+시나리오!$A$14/10000)/2)^(CP45-1),0)</f>
        <v/>
      </c>
      <c r="DK45" s="51">
        <f>IF(CO45=1,$CI45/(1+($CH$111+시나리오!$A$15/10000)/2)^(CP45-1),0)</f>
        <v/>
      </c>
      <c r="DL45" s="51">
        <f>IF(CO45=1,$CI45/(1+($CH$111+시나리오!$A$16/10000)/2)^(CP45-1),0)</f>
        <v/>
      </c>
      <c r="DM45" s="51">
        <f>IF(CO45=1,$CI45/(1+($CH$111+시나리오!$A$17/10000)/2)^(CP45-1),0)</f>
        <v/>
      </c>
      <c r="DN45" s="51">
        <f>IF(CO45=1,$CI45/(1+($CH$111+시나리오!$A$18/10000)/2)^(CP45-1),0)</f>
        <v/>
      </c>
      <c r="DO45" s="51">
        <f>IF(CO45=1,$CI45/(1+($CH$111+시나리오!$A$19/10000)/2)^(CP45-1),0)</f>
        <v/>
      </c>
      <c r="DP45" s="51">
        <f>IF(CO45=1,$CI45/(1+($CH$111+시나리오!$A$20/10000)/2)^(CP45-1),0)</f>
        <v/>
      </c>
      <c r="DQ45" s="51">
        <f>IF(CO45=1,$CI45/(1+($CH$111+시나리오!$A$21/10000)/2)^(CP45-1),0)</f>
        <v/>
      </c>
      <c r="DR45" s="51">
        <f>IF(CO45=1,$CI45/(1+($CH$111+시나리오!$A$22/10000)/2)^(CP45-1),0)</f>
        <v/>
      </c>
      <c r="DS45" s="51">
        <f>IF(CO45=1,$CI45/(1+($CH$111+시나리오!$A$23/10000)/2)^(CP45-1),0)</f>
        <v/>
      </c>
      <c r="DT45" s="51">
        <f>IF(CO45=1,$CI45/(1+($CH$111+시나리오!$A$24/10000)/2)^(CP45-1),0)</f>
        <v/>
      </c>
    </row>
    <row r="46">
      <c r="A46" s="49" t="n">
        <v>32</v>
      </c>
      <c r="B46" s="50">
        <f>EDATE($B$2,-6*(62-$A46))</f>
        <v/>
      </c>
      <c r="C46" s="51">
        <f>IF(AND(B46&gt;$B$3,B46&lt;=$B$2),IF(B46=$B$2,$B$5+100,$B$5),0)</f>
        <v/>
      </c>
      <c r="D46" s="49">
        <f>IF(AND($C46&gt;0,B46&gt;$B$6),1,0)</f>
        <v/>
      </c>
      <c r="E46" s="49">
        <f>IF(D46=1,SUM($D$15:D46),"")</f>
        <v/>
      </c>
      <c r="F46" s="51">
        <f>IF(D46=1,$C46/(1+$B$8/2)^(E46-1),0)</f>
        <v/>
      </c>
      <c r="G46" s="51">
        <f>IF(D46=1,$C46/(1+($B$8+0.0001)/2)^(E46-1),0)</f>
        <v/>
      </c>
      <c r="H46" s="51">
        <f>IF(D46=1,$C46/(1+($B$8-0.0001)/2)^(E46-1),0)</f>
        <v/>
      </c>
      <c r="I46" s="49">
        <f>IF(AND($C46&gt;0,B46&gt;$B$7),1,0)</f>
        <v/>
      </c>
      <c r="J46" s="49">
        <f>IF(I46=1,SUM($I$15:I46),"")</f>
        <v/>
      </c>
      <c r="K46" s="51">
        <f>IF(I46=1,$C46/(1+$B$104/2)^(J46-1),0)</f>
        <v/>
      </c>
      <c r="L46" s="51">
        <f>IF(I46=1,$C46/(1+($B$104+0.0001)/2)^(J46-1),0)</f>
        <v/>
      </c>
      <c r="M46" s="51">
        <f>IF(I46=1,$C46/(1+($B$104-0.0001)/2)^(J46-1),0)</f>
        <v/>
      </c>
      <c r="N46" s="51">
        <f>IF(I46=1,$C46/(1+$B$109/2)^(J46-1),0)</f>
        <v/>
      </c>
      <c r="O46" s="51">
        <f>IF(I46=1,$C46/(1+$B$111/2)^(J46-1),0)</f>
        <v/>
      </c>
      <c r="P46" s="51">
        <f>IF(I46=1,$C46/(1+($B$111+0.0001)/2)^(J46-1),0)</f>
        <v/>
      </c>
      <c r="Q46" s="51">
        <f>IF(I46=1,$C46/(1+($B$111-0.0001)/2)^(J46-1),0)</f>
        <v/>
      </c>
      <c r="R46" s="51">
        <f>IF(AND($C46&gt;0,B46&gt;$B$6,B46&lt;=$B$7),$C46*(1+$B$10*($B$7-B46)/365),0)</f>
        <v/>
      </c>
      <c r="S46" s="51">
        <f>IF(I46=1,$C46/(1+($B$111+손익!$B$24/10000)/2)^(J46-1),0)</f>
        <v/>
      </c>
      <c r="T46" s="51">
        <f>IF(I46=1,$C46/(1+($B$111+시나리오!$A$4/10000)/2)^(J46-1),0)</f>
        <v/>
      </c>
      <c r="U46" s="51">
        <f>IF(I46=1,$C46/(1+($B$111+시나리오!$A$5/10000)/2)^(J46-1),0)</f>
        <v/>
      </c>
      <c r="V46" s="51">
        <f>IF(I46=1,$C46/(1+($B$111+시나리오!$A$6/10000)/2)^(J46-1),0)</f>
        <v/>
      </c>
      <c r="W46" s="51">
        <f>IF(I46=1,$C46/(1+($B$111+시나리오!$A$7/10000)/2)^(J46-1),0)</f>
        <v/>
      </c>
      <c r="X46" s="51">
        <f>IF(I46=1,$C46/(1+($B$111+시나리오!$A$8/10000)/2)^(J46-1),0)</f>
        <v/>
      </c>
      <c r="Y46" s="51">
        <f>IF(I46=1,$C46/(1+($B$111+시나리오!$A$9/10000)/2)^(J46-1),0)</f>
        <v/>
      </c>
      <c r="Z46" s="51">
        <f>IF(I46=1,$C46/(1+($B$111+시나리오!$A$10/10000)/2)^(J46-1),0)</f>
        <v/>
      </c>
      <c r="AA46" s="51">
        <f>IF(I46=1,$C46/(1+($B$111+시나리오!$A$11/10000)/2)^(J46-1),0)</f>
        <v/>
      </c>
      <c r="AB46" s="51">
        <f>IF(I46=1,$C46/(1+($B$111+시나리오!$A$12/10000)/2)^(J46-1),0)</f>
        <v/>
      </c>
      <c r="AC46" s="51">
        <f>IF(I46=1,$C46/(1+($B$111+시나리오!$A$13/10000)/2)^(J46-1),0)</f>
        <v/>
      </c>
      <c r="AD46" s="51">
        <f>IF(I46=1,$C46/(1+($B$111+시나리오!$A$14/10000)/2)^(J46-1),0)</f>
        <v/>
      </c>
      <c r="AE46" s="51">
        <f>IF(I46=1,$C46/(1+($B$111+시나리오!$A$15/10000)/2)^(J46-1),0)</f>
        <v/>
      </c>
      <c r="AF46" s="51">
        <f>IF(I46=1,$C46/(1+($B$111+시나리오!$A$16/10000)/2)^(J46-1),0)</f>
        <v/>
      </c>
      <c r="AG46" s="51">
        <f>IF(I46=1,$C46/(1+($B$111+시나리오!$A$17/10000)/2)^(J46-1),0)</f>
        <v/>
      </c>
      <c r="AH46" s="51">
        <f>IF(I46=1,$C46/(1+($B$111+시나리오!$A$18/10000)/2)^(J46-1),0)</f>
        <v/>
      </c>
      <c r="AI46" s="51">
        <f>IF(I46=1,$C46/(1+($B$111+시나리오!$A$19/10000)/2)^(J46-1),0)</f>
        <v/>
      </c>
      <c r="AJ46" s="51">
        <f>IF(I46=1,$C46/(1+($B$111+시나리오!$A$20/10000)/2)^(J46-1),0)</f>
        <v/>
      </c>
      <c r="AK46" s="51">
        <f>IF(I46=1,$C46/(1+($B$111+시나리오!$A$21/10000)/2)^(J46-1),0)</f>
        <v/>
      </c>
      <c r="AL46" s="51">
        <f>IF(I46=1,$C46/(1+($B$111+시나리오!$A$22/10000)/2)^(J46-1),0)</f>
        <v/>
      </c>
      <c r="AM46" s="51">
        <f>IF(I46=1,$C46/(1+($B$111+시나리오!$A$23/10000)/2)^(J46-1),0)</f>
        <v/>
      </c>
      <c r="AN46" s="51">
        <f>IF(I46=1,$C46/(1+($B$111+시나리오!$A$24/10000)/2)^(J46-1),0)</f>
        <v/>
      </c>
      <c r="AQ46" s="49" t="n">
        <v>32</v>
      </c>
      <c r="AR46" s="50">
        <f>EDATE($AR$2,-6*(62-$AQ46))</f>
        <v/>
      </c>
      <c r="AS46" s="51">
        <f>IF(AND(AR46&gt;$AR$3,AR46&lt;=$AR$2),IF(AR46=$AR$2,$AR$5+100,$AR$5),0)</f>
        <v/>
      </c>
      <c r="AT46" s="49">
        <f>IF(AND($AS46&gt;0,AR46&gt;$AR$6),1,0)</f>
        <v/>
      </c>
      <c r="AU46" s="49">
        <f>IF(AT46=1,SUM($AT$15:AT46),"")</f>
        <v/>
      </c>
      <c r="AV46" s="51">
        <f>IF(AT46=1,$AS46/(1+$AR$8/2)^(AU46-1),0)</f>
        <v/>
      </c>
      <c r="AW46" s="51">
        <f>IF(AT46=1,$AS46/(1+($AR$8+0.0001)/2)^(AU46-1),0)</f>
        <v/>
      </c>
      <c r="AX46" s="51">
        <f>IF(AT46=1,$AS46/(1+($AR$8-0.0001)/2)^(AU46-1),0)</f>
        <v/>
      </c>
      <c r="AY46" s="49">
        <f>IF(AND($AS46&gt;0,AR46&gt;$AR$7),1,0)</f>
        <v/>
      </c>
      <c r="AZ46" s="49">
        <f>IF(AY46=1,SUM($AY$15:AY46),"")</f>
        <v/>
      </c>
      <c r="BA46" s="51">
        <f>IF(AY46=1,$AS46/(1+$AR$104/2)^(AZ46-1),0)</f>
        <v/>
      </c>
      <c r="BB46" s="51">
        <f>IF(AY46=1,$AS46/(1+($AR$104+0.0001)/2)^(AZ46-1),0)</f>
        <v/>
      </c>
      <c r="BC46" s="51">
        <f>IF(AY46=1,$AS46/(1+($AR$104-0.0001)/2)^(AZ46-1),0)</f>
        <v/>
      </c>
      <c r="BD46" s="51">
        <f>IF(AY46=1,$AS46/(1+$AR$109/2)^(AZ46-1),0)</f>
        <v/>
      </c>
      <c r="BE46" s="51">
        <f>IF(AY46=1,$AS46/(1+$AR$111/2)^(AZ46-1),0)</f>
        <v/>
      </c>
      <c r="BF46" s="51">
        <f>IF(AY46=1,$AS46/(1+($AR$111+0.0001)/2)^(AZ46-1),0)</f>
        <v/>
      </c>
      <c r="BG46" s="51">
        <f>IF(AY46=1,$AS46/(1+($AR$111-0.0001)/2)^(AZ46-1),0)</f>
        <v/>
      </c>
      <c r="BH46" s="51">
        <f>IF(AND($AS46&gt;0,AR46&gt;$AR$6,AR46&lt;=$AR$7),$AS46*(1+$AR$10*($AR$7-AR46)/365),0)</f>
        <v/>
      </c>
      <c r="BI46" s="51">
        <f>IF(AY46=1,$AS46/(1+($AR$111+손익!$B$24/10000)/2)^(AZ46-1),0)</f>
        <v/>
      </c>
      <c r="BJ46" s="51">
        <f>IF(AY46=1,$AS46/(1+($AR$111+시나리오!$A$4/10000)/2)^(AZ46-1),0)</f>
        <v/>
      </c>
      <c r="BK46" s="51">
        <f>IF(AY46=1,$AS46/(1+($AR$111+시나리오!$A$5/10000)/2)^(AZ46-1),0)</f>
        <v/>
      </c>
      <c r="BL46" s="51">
        <f>IF(AY46=1,$AS46/(1+($AR$111+시나리오!$A$6/10000)/2)^(AZ46-1),0)</f>
        <v/>
      </c>
      <c r="BM46" s="51">
        <f>IF(AY46=1,$AS46/(1+($AR$111+시나리오!$A$7/10000)/2)^(AZ46-1),0)</f>
        <v/>
      </c>
      <c r="BN46" s="51">
        <f>IF(AY46=1,$AS46/(1+($AR$111+시나리오!$A$8/10000)/2)^(AZ46-1),0)</f>
        <v/>
      </c>
      <c r="BO46" s="51">
        <f>IF(AY46=1,$AS46/(1+($AR$111+시나리오!$A$9/10000)/2)^(AZ46-1),0)</f>
        <v/>
      </c>
      <c r="BP46" s="51">
        <f>IF(AY46=1,$AS46/(1+($AR$111+시나리오!$A$10/10000)/2)^(AZ46-1),0)</f>
        <v/>
      </c>
      <c r="BQ46" s="51">
        <f>IF(AY46=1,$AS46/(1+($AR$111+시나리오!$A$11/10000)/2)^(AZ46-1),0)</f>
        <v/>
      </c>
      <c r="BR46" s="51">
        <f>IF(AY46=1,$AS46/(1+($AR$111+시나리오!$A$12/10000)/2)^(AZ46-1),0)</f>
        <v/>
      </c>
      <c r="BS46" s="51">
        <f>IF(AY46=1,$AS46/(1+($AR$111+시나리오!$A$13/10000)/2)^(AZ46-1),0)</f>
        <v/>
      </c>
      <c r="BT46" s="51">
        <f>IF(AY46=1,$AS46/(1+($AR$111+시나리오!$A$14/10000)/2)^(AZ46-1),0)</f>
        <v/>
      </c>
      <c r="BU46" s="51">
        <f>IF(AY46=1,$AS46/(1+($AR$111+시나리오!$A$15/10000)/2)^(AZ46-1),0)</f>
        <v/>
      </c>
      <c r="BV46" s="51">
        <f>IF(AY46=1,$AS46/(1+($AR$111+시나리오!$A$16/10000)/2)^(AZ46-1),0)</f>
        <v/>
      </c>
      <c r="BW46" s="51">
        <f>IF(AY46=1,$AS46/(1+($AR$111+시나리오!$A$17/10000)/2)^(AZ46-1),0)</f>
        <v/>
      </c>
      <c r="BX46" s="51">
        <f>IF(AY46=1,$AS46/(1+($AR$111+시나리오!$A$18/10000)/2)^(AZ46-1),0)</f>
        <v/>
      </c>
      <c r="BY46" s="51">
        <f>IF(AY46=1,$AS46/(1+($AR$111+시나리오!$A$19/10000)/2)^(AZ46-1),0)</f>
        <v/>
      </c>
      <c r="BZ46" s="51">
        <f>IF(AY46=1,$AS46/(1+($AR$111+시나리오!$A$20/10000)/2)^(AZ46-1),0)</f>
        <v/>
      </c>
      <c r="CA46" s="51">
        <f>IF(AY46=1,$AS46/(1+($AR$111+시나리오!$A$21/10000)/2)^(AZ46-1),0)</f>
        <v/>
      </c>
      <c r="CB46" s="51">
        <f>IF(AY46=1,$AS46/(1+($AR$111+시나리오!$A$22/10000)/2)^(AZ46-1),0)</f>
        <v/>
      </c>
      <c r="CC46" s="51">
        <f>IF(AY46=1,$AS46/(1+($AR$111+시나리오!$A$23/10000)/2)^(AZ46-1),0)</f>
        <v/>
      </c>
      <c r="CD46" s="51">
        <f>IF(AY46=1,$AS46/(1+($AR$111+시나리오!$A$24/10000)/2)^(AZ46-1),0)</f>
        <v/>
      </c>
      <c r="CG46" s="49" t="n">
        <v>32</v>
      </c>
      <c r="CH46" s="50">
        <f>EDATE($CH$2,-6*(62-$CG46))</f>
        <v/>
      </c>
      <c r="CI46" s="51">
        <f>IF(AND(CH46&gt;$CH$3,CH46&lt;=$CH$2),IF(CH46=$CH$2,$CH$5+100,$CH$5),0)</f>
        <v/>
      </c>
      <c r="CJ46" s="49">
        <f>IF(AND($CI46&gt;0,CH46&gt;$CH$6),1,0)</f>
        <v/>
      </c>
      <c r="CK46" s="49">
        <f>IF(CJ46=1,SUM($CJ$15:CJ46),"")</f>
        <v/>
      </c>
      <c r="CL46" s="51">
        <f>IF(CJ46=1,$CI46/(1+$CH$8/2)^(CK46-1),0)</f>
        <v/>
      </c>
      <c r="CM46" s="51">
        <f>IF(CJ46=1,$CI46/(1+($CH$8+0.0001)/2)^(CK46-1),0)</f>
        <v/>
      </c>
      <c r="CN46" s="51">
        <f>IF(CJ46=1,$CI46/(1+($CH$8-0.0001)/2)^(CK46-1),0)</f>
        <v/>
      </c>
      <c r="CO46" s="49">
        <f>IF(AND($CI46&gt;0,CH46&gt;$CH$7),1,0)</f>
        <v/>
      </c>
      <c r="CP46" s="49">
        <f>IF(CO46=1,SUM($CO$15:CO46),"")</f>
        <v/>
      </c>
      <c r="CQ46" s="51">
        <f>IF(CO46=1,$CI46/(1+$CH$104/2)^(CP46-1),0)</f>
        <v/>
      </c>
      <c r="CR46" s="51">
        <f>IF(CO46=1,$CI46/(1+($CH$104+0.0001)/2)^(CP46-1),0)</f>
        <v/>
      </c>
      <c r="CS46" s="51">
        <f>IF(CO46=1,$CI46/(1+($CH$104-0.0001)/2)^(CP46-1),0)</f>
        <v/>
      </c>
      <c r="CT46" s="51">
        <f>IF(CO46=1,$CI46/(1+$CH$109/2)^(CP46-1),0)</f>
        <v/>
      </c>
      <c r="CU46" s="51">
        <f>IF(CO46=1,$CI46/(1+$CH$111/2)^(CP46-1),0)</f>
        <v/>
      </c>
      <c r="CV46" s="51">
        <f>IF(CO46=1,$CI46/(1+($CH$111+0.0001)/2)^(CP46-1),0)</f>
        <v/>
      </c>
      <c r="CW46" s="51">
        <f>IF(CO46=1,$CI46/(1+($CH$111-0.0001)/2)^(CP46-1),0)</f>
        <v/>
      </c>
      <c r="CX46" s="51">
        <f>IF(AND($CI46&gt;0,CH46&gt;$CH$6,CH46&lt;=$CH$7),$CI46*(1+$CH$10*($CH$7-CH46)/365),0)</f>
        <v/>
      </c>
      <c r="CY46" s="51">
        <f>IF(CO46=1,$CI46/(1+($CH$111+손익!$B$24/10000)/2)^(CP46-1),0)</f>
        <v/>
      </c>
      <c r="CZ46" s="51">
        <f>IF(CO46=1,$CI46/(1+($CH$111+시나리오!$A$4/10000)/2)^(CP46-1),0)</f>
        <v/>
      </c>
      <c r="DA46" s="51">
        <f>IF(CO46=1,$CI46/(1+($CH$111+시나리오!$A$5/10000)/2)^(CP46-1),0)</f>
        <v/>
      </c>
      <c r="DB46" s="51">
        <f>IF(CO46=1,$CI46/(1+($CH$111+시나리오!$A$6/10000)/2)^(CP46-1),0)</f>
        <v/>
      </c>
      <c r="DC46" s="51">
        <f>IF(CO46=1,$CI46/(1+($CH$111+시나리오!$A$7/10000)/2)^(CP46-1),0)</f>
        <v/>
      </c>
      <c r="DD46" s="51">
        <f>IF(CO46=1,$CI46/(1+($CH$111+시나리오!$A$8/10000)/2)^(CP46-1),0)</f>
        <v/>
      </c>
      <c r="DE46" s="51">
        <f>IF(CO46=1,$CI46/(1+($CH$111+시나리오!$A$9/10000)/2)^(CP46-1),0)</f>
        <v/>
      </c>
      <c r="DF46" s="51">
        <f>IF(CO46=1,$CI46/(1+($CH$111+시나리오!$A$10/10000)/2)^(CP46-1),0)</f>
        <v/>
      </c>
      <c r="DG46" s="51">
        <f>IF(CO46=1,$CI46/(1+($CH$111+시나리오!$A$11/10000)/2)^(CP46-1),0)</f>
        <v/>
      </c>
      <c r="DH46" s="51">
        <f>IF(CO46=1,$CI46/(1+($CH$111+시나리오!$A$12/10000)/2)^(CP46-1),0)</f>
        <v/>
      </c>
      <c r="DI46" s="51">
        <f>IF(CO46=1,$CI46/(1+($CH$111+시나리오!$A$13/10000)/2)^(CP46-1),0)</f>
        <v/>
      </c>
      <c r="DJ46" s="51">
        <f>IF(CO46=1,$CI46/(1+($CH$111+시나리오!$A$14/10000)/2)^(CP46-1),0)</f>
        <v/>
      </c>
      <c r="DK46" s="51">
        <f>IF(CO46=1,$CI46/(1+($CH$111+시나리오!$A$15/10000)/2)^(CP46-1),0)</f>
        <v/>
      </c>
      <c r="DL46" s="51">
        <f>IF(CO46=1,$CI46/(1+($CH$111+시나리오!$A$16/10000)/2)^(CP46-1),0)</f>
        <v/>
      </c>
      <c r="DM46" s="51">
        <f>IF(CO46=1,$CI46/(1+($CH$111+시나리오!$A$17/10000)/2)^(CP46-1),0)</f>
        <v/>
      </c>
      <c r="DN46" s="51">
        <f>IF(CO46=1,$CI46/(1+($CH$111+시나리오!$A$18/10000)/2)^(CP46-1),0)</f>
        <v/>
      </c>
      <c r="DO46" s="51">
        <f>IF(CO46=1,$CI46/(1+($CH$111+시나리오!$A$19/10000)/2)^(CP46-1),0)</f>
        <v/>
      </c>
      <c r="DP46" s="51">
        <f>IF(CO46=1,$CI46/(1+($CH$111+시나리오!$A$20/10000)/2)^(CP46-1),0)</f>
        <v/>
      </c>
      <c r="DQ46" s="51">
        <f>IF(CO46=1,$CI46/(1+($CH$111+시나리오!$A$21/10000)/2)^(CP46-1),0)</f>
        <v/>
      </c>
      <c r="DR46" s="51">
        <f>IF(CO46=1,$CI46/(1+($CH$111+시나리오!$A$22/10000)/2)^(CP46-1),0)</f>
        <v/>
      </c>
      <c r="DS46" s="51">
        <f>IF(CO46=1,$CI46/(1+($CH$111+시나리오!$A$23/10000)/2)^(CP46-1),0)</f>
        <v/>
      </c>
      <c r="DT46" s="51">
        <f>IF(CO46=1,$CI46/(1+($CH$111+시나리오!$A$24/10000)/2)^(CP46-1),0)</f>
        <v/>
      </c>
    </row>
    <row r="47">
      <c r="A47" s="49" t="n">
        <v>33</v>
      </c>
      <c r="B47" s="50">
        <f>EDATE($B$2,-6*(62-$A47))</f>
        <v/>
      </c>
      <c r="C47" s="51">
        <f>IF(AND(B47&gt;$B$3,B47&lt;=$B$2),IF(B47=$B$2,$B$5+100,$B$5),0)</f>
        <v/>
      </c>
      <c r="D47" s="49">
        <f>IF(AND($C47&gt;0,B47&gt;$B$6),1,0)</f>
        <v/>
      </c>
      <c r="E47" s="49">
        <f>IF(D47=1,SUM($D$15:D47),"")</f>
        <v/>
      </c>
      <c r="F47" s="51">
        <f>IF(D47=1,$C47/(1+$B$8/2)^(E47-1),0)</f>
        <v/>
      </c>
      <c r="G47" s="51">
        <f>IF(D47=1,$C47/(1+($B$8+0.0001)/2)^(E47-1),0)</f>
        <v/>
      </c>
      <c r="H47" s="51">
        <f>IF(D47=1,$C47/(1+($B$8-0.0001)/2)^(E47-1),0)</f>
        <v/>
      </c>
      <c r="I47" s="49">
        <f>IF(AND($C47&gt;0,B47&gt;$B$7),1,0)</f>
        <v/>
      </c>
      <c r="J47" s="49">
        <f>IF(I47=1,SUM($I$15:I47),"")</f>
        <v/>
      </c>
      <c r="K47" s="51">
        <f>IF(I47=1,$C47/(1+$B$104/2)^(J47-1),0)</f>
        <v/>
      </c>
      <c r="L47" s="51">
        <f>IF(I47=1,$C47/(1+($B$104+0.0001)/2)^(J47-1),0)</f>
        <v/>
      </c>
      <c r="M47" s="51">
        <f>IF(I47=1,$C47/(1+($B$104-0.0001)/2)^(J47-1),0)</f>
        <v/>
      </c>
      <c r="N47" s="51">
        <f>IF(I47=1,$C47/(1+$B$109/2)^(J47-1),0)</f>
        <v/>
      </c>
      <c r="O47" s="51">
        <f>IF(I47=1,$C47/(1+$B$111/2)^(J47-1),0)</f>
        <v/>
      </c>
      <c r="P47" s="51">
        <f>IF(I47=1,$C47/(1+($B$111+0.0001)/2)^(J47-1),0)</f>
        <v/>
      </c>
      <c r="Q47" s="51">
        <f>IF(I47=1,$C47/(1+($B$111-0.0001)/2)^(J47-1),0)</f>
        <v/>
      </c>
      <c r="R47" s="51">
        <f>IF(AND($C47&gt;0,B47&gt;$B$6,B47&lt;=$B$7),$C47*(1+$B$10*($B$7-B47)/365),0)</f>
        <v/>
      </c>
      <c r="S47" s="51">
        <f>IF(I47=1,$C47/(1+($B$111+손익!$B$24/10000)/2)^(J47-1),0)</f>
        <v/>
      </c>
      <c r="T47" s="51">
        <f>IF(I47=1,$C47/(1+($B$111+시나리오!$A$4/10000)/2)^(J47-1),0)</f>
        <v/>
      </c>
      <c r="U47" s="51">
        <f>IF(I47=1,$C47/(1+($B$111+시나리오!$A$5/10000)/2)^(J47-1),0)</f>
        <v/>
      </c>
      <c r="V47" s="51">
        <f>IF(I47=1,$C47/(1+($B$111+시나리오!$A$6/10000)/2)^(J47-1),0)</f>
        <v/>
      </c>
      <c r="W47" s="51">
        <f>IF(I47=1,$C47/(1+($B$111+시나리오!$A$7/10000)/2)^(J47-1),0)</f>
        <v/>
      </c>
      <c r="X47" s="51">
        <f>IF(I47=1,$C47/(1+($B$111+시나리오!$A$8/10000)/2)^(J47-1),0)</f>
        <v/>
      </c>
      <c r="Y47" s="51">
        <f>IF(I47=1,$C47/(1+($B$111+시나리오!$A$9/10000)/2)^(J47-1),0)</f>
        <v/>
      </c>
      <c r="Z47" s="51">
        <f>IF(I47=1,$C47/(1+($B$111+시나리오!$A$10/10000)/2)^(J47-1),0)</f>
        <v/>
      </c>
      <c r="AA47" s="51">
        <f>IF(I47=1,$C47/(1+($B$111+시나리오!$A$11/10000)/2)^(J47-1),0)</f>
        <v/>
      </c>
      <c r="AB47" s="51">
        <f>IF(I47=1,$C47/(1+($B$111+시나리오!$A$12/10000)/2)^(J47-1),0)</f>
        <v/>
      </c>
      <c r="AC47" s="51">
        <f>IF(I47=1,$C47/(1+($B$111+시나리오!$A$13/10000)/2)^(J47-1),0)</f>
        <v/>
      </c>
      <c r="AD47" s="51">
        <f>IF(I47=1,$C47/(1+($B$111+시나리오!$A$14/10000)/2)^(J47-1),0)</f>
        <v/>
      </c>
      <c r="AE47" s="51">
        <f>IF(I47=1,$C47/(1+($B$111+시나리오!$A$15/10000)/2)^(J47-1),0)</f>
        <v/>
      </c>
      <c r="AF47" s="51">
        <f>IF(I47=1,$C47/(1+($B$111+시나리오!$A$16/10000)/2)^(J47-1),0)</f>
        <v/>
      </c>
      <c r="AG47" s="51">
        <f>IF(I47=1,$C47/(1+($B$111+시나리오!$A$17/10000)/2)^(J47-1),0)</f>
        <v/>
      </c>
      <c r="AH47" s="51">
        <f>IF(I47=1,$C47/(1+($B$111+시나리오!$A$18/10000)/2)^(J47-1),0)</f>
        <v/>
      </c>
      <c r="AI47" s="51">
        <f>IF(I47=1,$C47/(1+($B$111+시나리오!$A$19/10000)/2)^(J47-1),0)</f>
        <v/>
      </c>
      <c r="AJ47" s="51">
        <f>IF(I47=1,$C47/(1+($B$111+시나리오!$A$20/10000)/2)^(J47-1),0)</f>
        <v/>
      </c>
      <c r="AK47" s="51">
        <f>IF(I47=1,$C47/(1+($B$111+시나리오!$A$21/10000)/2)^(J47-1),0)</f>
        <v/>
      </c>
      <c r="AL47" s="51">
        <f>IF(I47=1,$C47/(1+($B$111+시나리오!$A$22/10000)/2)^(J47-1),0)</f>
        <v/>
      </c>
      <c r="AM47" s="51">
        <f>IF(I47=1,$C47/(1+($B$111+시나리오!$A$23/10000)/2)^(J47-1),0)</f>
        <v/>
      </c>
      <c r="AN47" s="51">
        <f>IF(I47=1,$C47/(1+($B$111+시나리오!$A$24/10000)/2)^(J47-1),0)</f>
        <v/>
      </c>
      <c r="AQ47" s="49" t="n">
        <v>33</v>
      </c>
      <c r="AR47" s="50">
        <f>EDATE($AR$2,-6*(62-$AQ47))</f>
        <v/>
      </c>
      <c r="AS47" s="51">
        <f>IF(AND(AR47&gt;$AR$3,AR47&lt;=$AR$2),IF(AR47=$AR$2,$AR$5+100,$AR$5),0)</f>
        <v/>
      </c>
      <c r="AT47" s="49">
        <f>IF(AND($AS47&gt;0,AR47&gt;$AR$6),1,0)</f>
        <v/>
      </c>
      <c r="AU47" s="49">
        <f>IF(AT47=1,SUM($AT$15:AT47),"")</f>
        <v/>
      </c>
      <c r="AV47" s="51">
        <f>IF(AT47=1,$AS47/(1+$AR$8/2)^(AU47-1),0)</f>
        <v/>
      </c>
      <c r="AW47" s="51">
        <f>IF(AT47=1,$AS47/(1+($AR$8+0.0001)/2)^(AU47-1),0)</f>
        <v/>
      </c>
      <c r="AX47" s="51">
        <f>IF(AT47=1,$AS47/(1+($AR$8-0.0001)/2)^(AU47-1),0)</f>
        <v/>
      </c>
      <c r="AY47" s="49">
        <f>IF(AND($AS47&gt;0,AR47&gt;$AR$7),1,0)</f>
        <v/>
      </c>
      <c r="AZ47" s="49">
        <f>IF(AY47=1,SUM($AY$15:AY47),"")</f>
        <v/>
      </c>
      <c r="BA47" s="51">
        <f>IF(AY47=1,$AS47/(1+$AR$104/2)^(AZ47-1),0)</f>
        <v/>
      </c>
      <c r="BB47" s="51">
        <f>IF(AY47=1,$AS47/(1+($AR$104+0.0001)/2)^(AZ47-1),0)</f>
        <v/>
      </c>
      <c r="BC47" s="51">
        <f>IF(AY47=1,$AS47/(1+($AR$104-0.0001)/2)^(AZ47-1),0)</f>
        <v/>
      </c>
      <c r="BD47" s="51">
        <f>IF(AY47=1,$AS47/(1+$AR$109/2)^(AZ47-1),0)</f>
        <v/>
      </c>
      <c r="BE47" s="51">
        <f>IF(AY47=1,$AS47/(1+$AR$111/2)^(AZ47-1),0)</f>
        <v/>
      </c>
      <c r="BF47" s="51">
        <f>IF(AY47=1,$AS47/(1+($AR$111+0.0001)/2)^(AZ47-1),0)</f>
        <v/>
      </c>
      <c r="BG47" s="51">
        <f>IF(AY47=1,$AS47/(1+($AR$111-0.0001)/2)^(AZ47-1),0)</f>
        <v/>
      </c>
      <c r="BH47" s="51">
        <f>IF(AND($AS47&gt;0,AR47&gt;$AR$6,AR47&lt;=$AR$7),$AS47*(1+$AR$10*($AR$7-AR47)/365),0)</f>
        <v/>
      </c>
      <c r="BI47" s="51">
        <f>IF(AY47=1,$AS47/(1+($AR$111+손익!$B$24/10000)/2)^(AZ47-1),0)</f>
        <v/>
      </c>
      <c r="BJ47" s="51">
        <f>IF(AY47=1,$AS47/(1+($AR$111+시나리오!$A$4/10000)/2)^(AZ47-1),0)</f>
        <v/>
      </c>
      <c r="BK47" s="51">
        <f>IF(AY47=1,$AS47/(1+($AR$111+시나리오!$A$5/10000)/2)^(AZ47-1),0)</f>
        <v/>
      </c>
      <c r="BL47" s="51">
        <f>IF(AY47=1,$AS47/(1+($AR$111+시나리오!$A$6/10000)/2)^(AZ47-1),0)</f>
        <v/>
      </c>
      <c r="BM47" s="51">
        <f>IF(AY47=1,$AS47/(1+($AR$111+시나리오!$A$7/10000)/2)^(AZ47-1),0)</f>
        <v/>
      </c>
      <c r="BN47" s="51">
        <f>IF(AY47=1,$AS47/(1+($AR$111+시나리오!$A$8/10000)/2)^(AZ47-1),0)</f>
        <v/>
      </c>
      <c r="BO47" s="51">
        <f>IF(AY47=1,$AS47/(1+($AR$111+시나리오!$A$9/10000)/2)^(AZ47-1),0)</f>
        <v/>
      </c>
      <c r="BP47" s="51">
        <f>IF(AY47=1,$AS47/(1+($AR$111+시나리오!$A$10/10000)/2)^(AZ47-1),0)</f>
        <v/>
      </c>
      <c r="BQ47" s="51">
        <f>IF(AY47=1,$AS47/(1+($AR$111+시나리오!$A$11/10000)/2)^(AZ47-1),0)</f>
        <v/>
      </c>
      <c r="BR47" s="51">
        <f>IF(AY47=1,$AS47/(1+($AR$111+시나리오!$A$12/10000)/2)^(AZ47-1),0)</f>
        <v/>
      </c>
      <c r="BS47" s="51">
        <f>IF(AY47=1,$AS47/(1+($AR$111+시나리오!$A$13/10000)/2)^(AZ47-1),0)</f>
        <v/>
      </c>
      <c r="BT47" s="51">
        <f>IF(AY47=1,$AS47/(1+($AR$111+시나리오!$A$14/10000)/2)^(AZ47-1),0)</f>
        <v/>
      </c>
      <c r="BU47" s="51">
        <f>IF(AY47=1,$AS47/(1+($AR$111+시나리오!$A$15/10000)/2)^(AZ47-1),0)</f>
        <v/>
      </c>
      <c r="BV47" s="51">
        <f>IF(AY47=1,$AS47/(1+($AR$111+시나리오!$A$16/10000)/2)^(AZ47-1),0)</f>
        <v/>
      </c>
      <c r="BW47" s="51">
        <f>IF(AY47=1,$AS47/(1+($AR$111+시나리오!$A$17/10000)/2)^(AZ47-1),0)</f>
        <v/>
      </c>
      <c r="BX47" s="51">
        <f>IF(AY47=1,$AS47/(1+($AR$111+시나리오!$A$18/10000)/2)^(AZ47-1),0)</f>
        <v/>
      </c>
      <c r="BY47" s="51">
        <f>IF(AY47=1,$AS47/(1+($AR$111+시나리오!$A$19/10000)/2)^(AZ47-1),0)</f>
        <v/>
      </c>
      <c r="BZ47" s="51">
        <f>IF(AY47=1,$AS47/(1+($AR$111+시나리오!$A$20/10000)/2)^(AZ47-1),0)</f>
        <v/>
      </c>
      <c r="CA47" s="51">
        <f>IF(AY47=1,$AS47/(1+($AR$111+시나리오!$A$21/10000)/2)^(AZ47-1),0)</f>
        <v/>
      </c>
      <c r="CB47" s="51">
        <f>IF(AY47=1,$AS47/(1+($AR$111+시나리오!$A$22/10000)/2)^(AZ47-1),0)</f>
        <v/>
      </c>
      <c r="CC47" s="51">
        <f>IF(AY47=1,$AS47/(1+($AR$111+시나리오!$A$23/10000)/2)^(AZ47-1),0)</f>
        <v/>
      </c>
      <c r="CD47" s="51">
        <f>IF(AY47=1,$AS47/(1+($AR$111+시나리오!$A$24/10000)/2)^(AZ47-1),0)</f>
        <v/>
      </c>
      <c r="CG47" s="49" t="n">
        <v>33</v>
      </c>
      <c r="CH47" s="50">
        <f>EDATE($CH$2,-6*(62-$CG47))</f>
        <v/>
      </c>
      <c r="CI47" s="51">
        <f>IF(AND(CH47&gt;$CH$3,CH47&lt;=$CH$2),IF(CH47=$CH$2,$CH$5+100,$CH$5),0)</f>
        <v/>
      </c>
      <c r="CJ47" s="49">
        <f>IF(AND($CI47&gt;0,CH47&gt;$CH$6),1,0)</f>
        <v/>
      </c>
      <c r="CK47" s="49">
        <f>IF(CJ47=1,SUM($CJ$15:CJ47),"")</f>
        <v/>
      </c>
      <c r="CL47" s="51">
        <f>IF(CJ47=1,$CI47/(1+$CH$8/2)^(CK47-1),0)</f>
        <v/>
      </c>
      <c r="CM47" s="51">
        <f>IF(CJ47=1,$CI47/(1+($CH$8+0.0001)/2)^(CK47-1),0)</f>
        <v/>
      </c>
      <c r="CN47" s="51">
        <f>IF(CJ47=1,$CI47/(1+($CH$8-0.0001)/2)^(CK47-1),0)</f>
        <v/>
      </c>
      <c r="CO47" s="49">
        <f>IF(AND($CI47&gt;0,CH47&gt;$CH$7),1,0)</f>
        <v/>
      </c>
      <c r="CP47" s="49">
        <f>IF(CO47=1,SUM($CO$15:CO47),"")</f>
        <v/>
      </c>
      <c r="CQ47" s="51">
        <f>IF(CO47=1,$CI47/(1+$CH$104/2)^(CP47-1),0)</f>
        <v/>
      </c>
      <c r="CR47" s="51">
        <f>IF(CO47=1,$CI47/(1+($CH$104+0.0001)/2)^(CP47-1),0)</f>
        <v/>
      </c>
      <c r="CS47" s="51">
        <f>IF(CO47=1,$CI47/(1+($CH$104-0.0001)/2)^(CP47-1),0)</f>
        <v/>
      </c>
      <c r="CT47" s="51">
        <f>IF(CO47=1,$CI47/(1+$CH$109/2)^(CP47-1),0)</f>
        <v/>
      </c>
      <c r="CU47" s="51">
        <f>IF(CO47=1,$CI47/(1+$CH$111/2)^(CP47-1),0)</f>
        <v/>
      </c>
      <c r="CV47" s="51">
        <f>IF(CO47=1,$CI47/(1+($CH$111+0.0001)/2)^(CP47-1),0)</f>
        <v/>
      </c>
      <c r="CW47" s="51">
        <f>IF(CO47=1,$CI47/(1+($CH$111-0.0001)/2)^(CP47-1),0)</f>
        <v/>
      </c>
      <c r="CX47" s="51">
        <f>IF(AND($CI47&gt;0,CH47&gt;$CH$6,CH47&lt;=$CH$7),$CI47*(1+$CH$10*($CH$7-CH47)/365),0)</f>
        <v/>
      </c>
      <c r="CY47" s="51">
        <f>IF(CO47=1,$CI47/(1+($CH$111+손익!$B$24/10000)/2)^(CP47-1),0)</f>
        <v/>
      </c>
      <c r="CZ47" s="51">
        <f>IF(CO47=1,$CI47/(1+($CH$111+시나리오!$A$4/10000)/2)^(CP47-1),0)</f>
        <v/>
      </c>
      <c r="DA47" s="51">
        <f>IF(CO47=1,$CI47/(1+($CH$111+시나리오!$A$5/10000)/2)^(CP47-1),0)</f>
        <v/>
      </c>
      <c r="DB47" s="51">
        <f>IF(CO47=1,$CI47/(1+($CH$111+시나리오!$A$6/10000)/2)^(CP47-1),0)</f>
        <v/>
      </c>
      <c r="DC47" s="51">
        <f>IF(CO47=1,$CI47/(1+($CH$111+시나리오!$A$7/10000)/2)^(CP47-1),0)</f>
        <v/>
      </c>
      <c r="DD47" s="51">
        <f>IF(CO47=1,$CI47/(1+($CH$111+시나리오!$A$8/10000)/2)^(CP47-1),0)</f>
        <v/>
      </c>
      <c r="DE47" s="51">
        <f>IF(CO47=1,$CI47/(1+($CH$111+시나리오!$A$9/10000)/2)^(CP47-1),0)</f>
        <v/>
      </c>
      <c r="DF47" s="51">
        <f>IF(CO47=1,$CI47/(1+($CH$111+시나리오!$A$10/10000)/2)^(CP47-1),0)</f>
        <v/>
      </c>
      <c r="DG47" s="51">
        <f>IF(CO47=1,$CI47/(1+($CH$111+시나리오!$A$11/10000)/2)^(CP47-1),0)</f>
        <v/>
      </c>
      <c r="DH47" s="51">
        <f>IF(CO47=1,$CI47/(1+($CH$111+시나리오!$A$12/10000)/2)^(CP47-1),0)</f>
        <v/>
      </c>
      <c r="DI47" s="51">
        <f>IF(CO47=1,$CI47/(1+($CH$111+시나리오!$A$13/10000)/2)^(CP47-1),0)</f>
        <v/>
      </c>
      <c r="DJ47" s="51">
        <f>IF(CO47=1,$CI47/(1+($CH$111+시나리오!$A$14/10000)/2)^(CP47-1),0)</f>
        <v/>
      </c>
      <c r="DK47" s="51">
        <f>IF(CO47=1,$CI47/(1+($CH$111+시나리오!$A$15/10000)/2)^(CP47-1),0)</f>
        <v/>
      </c>
      <c r="DL47" s="51">
        <f>IF(CO47=1,$CI47/(1+($CH$111+시나리오!$A$16/10000)/2)^(CP47-1),0)</f>
        <v/>
      </c>
      <c r="DM47" s="51">
        <f>IF(CO47=1,$CI47/(1+($CH$111+시나리오!$A$17/10000)/2)^(CP47-1),0)</f>
        <v/>
      </c>
      <c r="DN47" s="51">
        <f>IF(CO47=1,$CI47/(1+($CH$111+시나리오!$A$18/10000)/2)^(CP47-1),0)</f>
        <v/>
      </c>
      <c r="DO47" s="51">
        <f>IF(CO47=1,$CI47/(1+($CH$111+시나리오!$A$19/10000)/2)^(CP47-1),0)</f>
        <v/>
      </c>
      <c r="DP47" s="51">
        <f>IF(CO47=1,$CI47/(1+($CH$111+시나리오!$A$20/10000)/2)^(CP47-1),0)</f>
        <v/>
      </c>
      <c r="DQ47" s="51">
        <f>IF(CO47=1,$CI47/(1+($CH$111+시나리오!$A$21/10000)/2)^(CP47-1),0)</f>
        <v/>
      </c>
      <c r="DR47" s="51">
        <f>IF(CO47=1,$CI47/(1+($CH$111+시나리오!$A$22/10000)/2)^(CP47-1),0)</f>
        <v/>
      </c>
      <c r="DS47" s="51">
        <f>IF(CO47=1,$CI47/(1+($CH$111+시나리오!$A$23/10000)/2)^(CP47-1),0)</f>
        <v/>
      </c>
      <c r="DT47" s="51">
        <f>IF(CO47=1,$CI47/(1+($CH$111+시나리오!$A$24/10000)/2)^(CP47-1),0)</f>
        <v/>
      </c>
    </row>
    <row r="48">
      <c r="A48" s="49" t="n">
        <v>34</v>
      </c>
      <c r="B48" s="50">
        <f>EDATE($B$2,-6*(62-$A48))</f>
        <v/>
      </c>
      <c r="C48" s="51">
        <f>IF(AND(B48&gt;$B$3,B48&lt;=$B$2),IF(B48=$B$2,$B$5+100,$B$5),0)</f>
        <v/>
      </c>
      <c r="D48" s="49">
        <f>IF(AND($C48&gt;0,B48&gt;$B$6),1,0)</f>
        <v/>
      </c>
      <c r="E48" s="49">
        <f>IF(D48=1,SUM($D$15:D48),"")</f>
        <v/>
      </c>
      <c r="F48" s="51">
        <f>IF(D48=1,$C48/(1+$B$8/2)^(E48-1),0)</f>
        <v/>
      </c>
      <c r="G48" s="51">
        <f>IF(D48=1,$C48/(1+($B$8+0.0001)/2)^(E48-1),0)</f>
        <v/>
      </c>
      <c r="H48" s="51">
        <f>IF(D48=1,$C48/(1+($B$8-0.0001)/2)^(E48-1),0)</f>
        <v/>
      </c>
      <c r="I48" s="49">
        <f>IF(AND($C48&gt;0,B48&gt;$B$7),1,0)</f>
        <v/>
      </c>
      <c r="J48" s="49">
        <f>IF(I48=1,SUM($I$15:I48),"")</f>
        <v/>
      </c>
      <c r="K48" s="51">
        <f>IF(I48=1,$C48/(1+$B$104/2)^(J48-1),0)</f>
        <v/>
      </c>
      <c r="L48" s="51">
        <f>IF(I48=1,$C48/(1+($B$104+0.0001)/2)^(J48-1),0)</f>
        <v/>
      </c>
      <c r="M48" s="51">
        <f>IF(I48=1,$C48/(1+($B$104-0.0001)/2)^(J48-1),0)</f>
        <v/>
      </c>
      <c r="N48" s="51">
        <f>IF(I48=1,$C48/(1+$B$109/2)^(J48-1),0)</f>
        <v/>
      </c>
      <c r="O48" s="51">
        <f>IF(I48=1,$C48/(1+$B$111/2)^(J48-1),0)</f>
        <v/>
      </c>
      <c r="P48" s="51">
        <f>IF(I48=1,$C48/(1+($B$111+0.0001)/2)^(J48-1),0)</f>
        <v/>
      </c>
      <c r="Q48" s="51">
        <f>IF(I48=1,$C48/(1+($B$111-0.0001)/2)^(J48-1),0)</f>
        <v/>
      </c>
      <c r="R48" s="51">
        <f>IF(AND($C48&gt;0,B48&gt;$B$6,B48&lt;=$B$7),$C48*(1+$B$10*($B$7-B48)/365),0)</f>
        <v/>
      </c>
      <c r="S48" s="51">
        <f>IF(I48=1,$C48/(1+($B$111+손익!$B$24/10000)/2)^(J48-1),0)</f>
        <v/>
      </c>
      <c r="T48" s="51">
        <f>IF(I48=1,$C48/(1+($B$111+시나리오!$A$4/10000)/2)^(J48-1),0)</f>
        <v/>
      </c>
      <c r="U48" s="51">
        <f>IF(I48=1,$C48/(1+($B$111+시나리오!$A$5/10000)/2)^(J48-1),0)</f>
        <v/>
      </c>
      <c r="V48" s="51">
        <f>IF(I48=1,$C48/(1+($B$111+시나리오!$A$6/10000)/2)^(J48-1),0)</f>
        <v/>
      </c>
      <c r="W48" s="51">
        <f>IF(I48=1,$C48/(1+($B$111+시나리오!$A$7/10000)/2)^(J48-1),0)</f>
        <v/>
      </c>
      <c r="X48" s="51">
        <f>IF(I48=1,$C48/(1+($B$111+시나리오!$A$8/10000)/2)^(J48-1),0)</f>
        <v/>
      </c>
      <c r="Y48" s="51">
        <f>IF(I48=1,$C48/(1+($B$111+시나리오!$A$9/10000)/2)^(J48-1),0)</f>
        <v/>
      </c>
      <c r="Z48" s="51">
        <f>IF(I48=1,$C48/(1+($B$111+시나리오!$A$10/10000)/2)^(J48-1),0)</f>
        <v/>
      </c>
      <c r="AA48" s="51">
        <f>IF(I48=1,$C48/(1+($B$111+시나리오!$A$11/10000)/2)^(J48-1),0)</f>
        <v/>
      </c>
      <c r="AB48" s="51">
        <f>IF(I48=1,$C48/(1+($B$111+시나리오!$A$12/10000)/2)^(J48-1),0)</f>
        <v/>
      </c>
      <c r="AC48" s="51">
        <f>IF(I48=1,$C48/(1+($B$111+시나리오!$A$13/10000)/2)^(J48-1),0)</f>
        <v/>
      </c>
      <c r="AD48" s="51">
        <f>IF(I48=1,$C48/(1+($B$111+시나리오!$A$14/10000)/2)^(J48-1),0)</f>
        <v/>
      </c>
      <c r="AE48" s="51">
        <f>IF(I48=1,$C48/(1+($B$111+시나리오!$A$15/10000)/2)^(J48-1),0)</f>
        <v/>
      </c>
      <c r="AF48" s="51">
        <f>IF(I48=1,$C48/(1+($B$111+시나리오!$A$16/10000)/2)^(J48-1),0)</f>
        <v/>
      </c>
      <c r="AG48" s="51">
        <f>IF(I48=1,$C48/(1+($B$111+시나리오!$A$17/10000)/2)^(J48-1),0)</f>
        <v/>
      </c>
      <c r="AH48" s="51">
        <f>IF(I48=1,$C48/(1+($B$111+시나리오!$A$18/10000)/2)^(J48-1),0)</f>
        <v/>
      </c>
      <c r="AI48" s="51">
        <f>IF(I48=1,$C48/(1+($B$111+시나리오!$A$19/10000)/2)^(J48-1),0)</f>
        <v/>
      </c>
      <c r="AJ48" s="51">
        <f>IF(I48=1,$C48/(1+($B$111+시나리오!$A$20/10000)/2)^(J48-1),0)</f>
        <v/>
      </c>
      <c r="AK48" s="51">
        <f>IF(I48=1,$C48/(1+($B$111+시나리오!$A$21/10000)/2)^(J48-1),0)</f>
        <v/>
      </c>
      <c r="AL48" s="51">
        <f>IF(I48=1,$C48/(1+($B$111+시나리오!$A$22/10000)/2)^(J48-1),0)</f>
        <v/>
      </c>
      <c r="AM48" s="51">
        <f>IF(I48=1,$C48/(1+($B$111+시나리오!$A$23/10000)/2)^(J48-1),0)</f>
        <v/>
      </c>
      <c r="AN48" s="51">
        <f>IF(I48=1,$C48/(1+($B$111+시나리오!$A$24/10000)/2)^(J48-1),0)</f>
        <v/>
      </c>
      <c r="AQ48" s="49" t="n">
        <v>34</v>
      </c>
      <c r="AR48" s="50">
        <f>EDATE($AR$2,-6*(62-$AQ48))</f>
        <v/>
      </c>
      <c r="AS48" s="51">
        <f>IF(AND(AR48&gt;$AR$3,AR48&lt;=$AR$2),IF(AR48=$AR$2,$AR$5+100,$AR$5),0)</f>
        <v/>
      </c>
      <c r="AT48" s="49">
        <f>IF(AND($AS48&gt;0,AR48&gt;$AR$6),1,0)</f>
        <v/>
      </c>
      <c r="AU48" s="49">
        <f>IF(AT48=1,SUM($AT$15:AT48),"")</f>
        <v/>
      </c>
      <c r="AV48" s="51">
        <f>IF(AT48=1,$AS48/(1+$AR$8/2)^(AU48-1),0)</f>
        <v/>
      </c>
      <c r="AW48" s="51">
        <f>IF(AT48=1,$AS48/(1+($AR$8+0.0001)/2)^(AU48-1),0)</f>
        <v/>
      </c>
      <c r="AX48" s="51">
        <f>IF(AT48=1,$AS48/(1+($AR$8-0.0001)/2)^(AU48-1),0)</f>
        <v/>
      </c>
      <c r="AY48" s="49">
        <f>IF(AND($AS48&gt;0,AR48&gt;$AR$7),1,0)</f>
        <v/>
      </c>
      <c r="AZ48" s="49">
        <f>IF(AY48=1,SUM($AY$15:AY48),"")</f>
        <v/>
      </c>
      <c r="BA48" s="51">
        <f>IF(AY48=1,$AS48/(1+$AR$104/2)^(AZ48-1),0)</f>
        <v/>
      </c>
      <c r="BB48" s="51">
        <f>IF(AY48=1,$AS48/(1+($AR$104+0.0001)/2)^(AZ48-1),0)</f>
        <v/>
      </c>
      <c r="BC48" s="51">
        <f>IF(AY48=1,$AS48/(1+($AR$104-0.0001)/2)^(AZ48-1),0)</f>
        <v/>
      </c>
      <c r="BD48" s="51">
        <f>IF(AY48=1,$AS48/(1+$AR$109/2)^(AZ48-1),0)</f>
        <v/>
      </c>
      <c r="BE48" s="51">
        <f>IF(AY48=1,$AS48/(1+$AR$111/2)^(AZ48-1),0)</f>
        <v/>
      </c>
      <c r="BF48" s="51">
        <f>IF(AY48=1,$AS48/(1+($AR$111+0.0001)/2)^(AZ48-1),0)</f>
        <v/>
      </c>
      <c r="BG48" s="51">
        <f>IF(AY48=1,$AS48/(1+($AR$111-0.0001)/2)^(AZ48-1),0)</f>
        <v/>
      </c>
      <c r="BH48" s="51">
        <f>IF(AND($AS48&gt;0,AR48&gt;$AR$6,AR48&lt;=$AR$7),$AS48*(1+$AR$10*($AR$7-AR48)/365),0)</f>
        <v/>
      </c>
      <c r="BI48" s="51">
        <f>IF(AY48=1,$AS48/(1+($AR$111+손익!$B$24/10000)/2)^(AZ48-1),0)</f>
        <v/>
      </c>
      <c r="BJ48" s="51">
        <f>IF(AY48=1,$AS48/(1+($AR$111+시나리오!$A$4/10000)/2)^(AZ48-1),0)</f>
        <v/>
      </c>
      <c r="BK48" s="51">
        <f>IF(AY48=1,$AS48/(1+($AR$111+시나리오!$A$5/10000)/2)^(AZ48-1),0)</f>
        <v/>
      </c>
      <c r="BL48" s="51">
        <f>IF(AY48=1,$AS48/(1+($AR$111+시나리오!$A$6/10000)/2)^(AZ48-1),0)</f>
        <v/>
      </c>
      <c r="BM48" s="51">
        <f>IF(AY48=1,$AS48/(1+($AR$111+시나리오!$A$7/10000)/2)^(AZ48-1),0)</f>
        <v/>
      </c>
      <c r="BN48" s="51">
        <f>IF(AY48=1,$AS48/(1+($AR$111+시나리오!$A$8/10000)/2)^(AZ48-1),0)</f>
        <v/>
      </c>
      <c r="BO48" s="51">
        <f>IF(AY48=1,$AS48/(1+($AR$111+시나리오!$A$9/10000)/2)^(AZ48-1),0)</f>
        <v/>
      </c>
      <c r="BP48" s="51">
        <f>IF(AY48=1,$AS48/(1+($AR$111+시나리오!$A$10/10000)/2)^(AZ48-1),0)</f>
        <v/>
      </c>
      <c r="BQ48" s="51">
        <f>IF(AY48=1,$AS48/(1+($AR$111+시나리오!$A$11/10000)/2)^(AZ48-1),0)</f>
        <v/>
      </c>
      <c r="BR48" s="51">
        <f>IF(AY48=1,$AS48/(1+($AR$111+시나리오!$A$12/10000)/2)^(AZ48-1),0)</f>
        <v/>
      </c>
      <c r="BS48" s="51">
        <f>IF(AY48=1,$AS48/(1+($AR$111+시나리오!$A$13/10000)/2)^(AZ48-1),0)</f>
        <v/>
      </c>
      <c r="BT48" s="51">
        <f>IF(AY48=1,$AS48/(1+($AR$111+시나리오!$A$14/10000)/2)^(AZ48-1),0)</f>
        <v/>
      </c>
      <c r="BU48" s="51">
        <f>IF(AY48=1,$AS48/(1+($AR$111+시나리오!$A$15/10000)/2)^(AZ48-1),0)</f>
        <v/>
      </c>
      <c r="BV48" s="51">
        <f>IF(AY48=1,$AS48/(1+($AR$111+시나리오!$A$16/10000)/2)^(AZ48-1),0)</f>
        <v/>
      </c>
      <c r="BW48" s="51">
        <f>IF(AY48=1,$AS48/(1+($AR$111+시나리오!$A$17/10000)/2)^(AZ48-1),0)</f>
        <v/>
      </c>
      <c r="BX48" s="51">
        <f>IF(AY48=1,$AS48/(1+($AR$111+시나리오!$A$18/10000)/2)^(AZ48-1),0)</f>
        <v/>
      </c>
      <c r="BY48" s="51">
        <f>IF(AY48=1,$AS48/(1+($AR$111+시나리오!$A$19/10000)/2)^(AZ48-1),0)</f>
        <v/>
      </c>
      <c r="BZ48" s="51">
        <f>IF(AY48=1,$AS48/(1+($AR$111+시나리오!$A$20/10000)/2)^(AZ48-1),0)</f>
        <v/>
      </c>
      <c r="CA48" s="51">
        <f>IF(AY48=1,$AS48/(1+($AR$111+시나리오!$A$21/10000)/2)^(AZ48-1),0)</f>
        <v/>
      </c>
      <c r="CB48" s="51">
        <f>IF(AY48=1,$AS48/(1+($AR$111+시나리오!$A$22/10000)/2)^(AZ48-1),0)</f>
        <v/>
      </c>
      <c r="CC48" s="51">
        <f>IF(AY48=1,$AS48/(1+($AR$111+시나리오!$A$23/10000)/2)^(AZ48-1),0)</f>
        <v/>
      </c>
      <c r="CD48" s="51">
        <f>IF(AY48=1,$AS48/(1+($AR$111+시나리오!$A$24/10000)/2)^(AZ48-1),0)</f>
        <v/>
      </c>
      <c r="CG48" s="49" t="n">
        <v>34</v>
      </c>
      <c r="CH48" s="50">
        <f>EDATE($CH$2,-6*(62-$CG48))</f>
        <v/>
      </c>
      <c r="CI48" s="51">
        <f>IF(AND(CH48&gt;$CH$3,CH48&lt;=$CH$2),IF(CH48=$CH$2,$CH$5+100,$CH$5),0)</f>
        <v/>
      </c>
      <c r="CJ48" s="49">
        <f>IF(AND($CI48&gt;0,CH48&gt;$CH$6),1,0)</f>
        <v/>
      </c>
      <c r="CK48" s="49">
        <f>IF(CJ48=1,SUM($CJ$15:CJ48),"")</f>
        <v/>
      </c>
      <c r="CL48" s="51">
        <f>IF(CJ48=1,$CI48/(1+$CH$8/2)^(CK48-1),0)</f>
        <v/>
      </c>
      <c r="CM48" s="51">
        <f>IF(CJ48=1,$CI48/(1+($CH$8+0.0001)/2)^(CK48-1),0)</f>
        <v/>
      </c>
      <c r="CN48" s="51">
        <f>IF(CJ48=1,$CI48/(1+($CH$8-0.0001)/2)^(CK48-1),0)</f>
        <v/>
      </c>
      <c r="CO48" s="49">
        <f>IF(AND($CI48&gt;0,CH48&gt;$CH$7),1,0)</f>
        <v/>
      </c>
      <c r="CP48" s="49">
        <f>IF(CO48=1,SUM($CO$15:CO48),"")</f>
        <v/>
      </c>
      <c r="CQ48" s="51">
        <f>IF(CO48=1,$CI48/(1+$CH$104/2)^(CP48-1),0)</f>
        <v/>
      </c>
      <c r="CR48" s="51">
        <f>IF(CO48=1,$CI48/(1+($CH$104+0.0001)/2)^(CP48-1),0)</f>
        <v/>
      </c>
      <c r="CS48" s="51">
        <f>IF(CO48=1,$CI48/(1+($CH$104-0.0001)/2)^(CP48-1),0)</f>
        <v/>
      </c>
      <c r="CT48" s="51">
        <f>IF(CO48=1,$CI48/(1+$CH$109/2)^(CP48-1),0)</f>
        <v/>
      </c>
      <c r="CU48" s="51">
        <f>IF(CO48=1,$CI48/(1+$CH$111/2)^(CP48-1),0)</f>
        <v/>
      </c>
      <c r="CV48" s="51">
        <f>IF(CO48=1,$CI48/(1+($CH$111+0.0001)/2)^(CP48-1),0)</f>
        <v/>
      </c>
      <c r="CW48" s="51">
        <f>IF(CO48=1,$CI48/(1+($CH$111-0.0001)/2)^(CP48-1),0)</f>
        <v/>
      </c>
      <c r="CX48" s="51">
        <f>IF(AND($CI48&gt;0,CH48&gt;$CH$6,CH48&lt;=$CH$7),$CI48*(1+$CH$10*($CH$7-CH48)/365),0)</f>
        <v/>
      </c>
      <c r="CY48" s="51">
        <f>IF(CO48=1,$CI48/(1+($CH$111+손익!$B$24/10000)/2)^(CP48-1),0)</f>
        <v/>
      </c>
      <c r="CZ48" s="51">
        <f>IF(CO48=1,$CI48/(1+($CH$111+시나리오!$A$4/10000)/2)^(CP48-1),0)</f>
        <v/>
      </c>
      <c r="DA48" s="51">
        <f>IF(CO48=1,$CI48/(1+($CH$111+시나리오!$A$5/10000)/2)^(CP48-1),0)</f>
        <v/>
      </c>
      <c r="DB48" s="51">
        <f>IF(CO48=1,$CI48/(1+($CH$111+시나리오!$A$6/10000)/2)^(CP48-1),0)</f>
        <v/>
      </c>
      <c r="DC48" s="51">
        <f>IF(CO48=1,$CI48/(1+($CH$111+시나리오!$A$7/10000)/2)^(CP48-1),0)</f>
        <v/>
      </c>
      <c r="DD48" s="51">
        <f>IF(CO48=1,$CI48/(1+($CH$111+시나리오!$A$8/10000)/2)^(CP48-1),0)</f>
        <v/>
      </c>
      <c r="DE48" s="51">
        <f>IF(CO48=1,$CI48/(1+($CH$111+시나리오!$A$9/10000)/2)^(CP48-1),0)</f>
        <v/>
      </c>
      <c r="DF48" s="51">
        <f>IF(CO48=1,$CI48/(1+($CH$111+시나리오!$A$10/10000)/2)^(CP48-1),0)</f>
        <v/>
      </c>
      <c r="DG48" s="51">
        <f>IF(CO48=1,$CI48/(1+($CH$111+시나리오!$A$11/10000)/2)^(CP48-1),0)</f>
        <v/>
      </c>
      <c r="DH48" s="51">
        <f>IF(CO48=1,$CI48/(1+($CH$111+시나리오!$A$12/10000)/2)^(CP48-1),0)</f>
        <v/>
      </c>
      <c r="DI48" s="51">
        <f>IF(CO48=1,$CI48/(1+($CH$111+시나리오!$A$13/10000)/2)^(CP48-1),0)</f>
        <v/>
      </c>
      <c r="DJ48" s="51">
        <f>IF(CO48=1,$CI48/(1+($CH$111+시나리오!$A$14/10000)/2)^(CP48-1),0)</f>
        <v/>
      </c>
      <c r="DK48" s="51">
        <f>IF(CO48=1,$CI48/(1+($CH$111+시나리오!$A$15/10000)/2)^(CP48-1),0)</f>
        <v/>
      </c>
      <c r="DL48" s="51">
        <f>IF(CO48=1,$CI48/(1+($CH$111+시나리오!$A$16/10000)/2)^(CP48-1),0)</f>
        <v/>
      </c>
      <c r="DM48" s="51">
        <f>IF(CO48=1,$CI48/(1+($CH$111+시나리오!$A$17/10000)/2)^(CP48-1),0)</f>
        <v/>
      </c>
      <c r="DN48" s="51">
        <f>IF(CO48=1,$CI48/(1+($CH$111+시나리오!$A$18/10000)/2)^(CP48-1),0)</f>
        <v/>
      </c>
      <c r="DO48" s="51">
        <f>IF(CO48=1,$CI48/(1+($CH$111+시나리오!$A$19/10000)/2)^(CP48-1),0)</f>
        <v/>
      </c>
      <c r="DP48" s="51">
        <f>IF(CO48=1,$CI48/(1+($CH$111+시나리오!$A$20/10000)/2)^(CP48-1),0)</f>
        <v/>
      </c>
      <c r="DQ48" s="51">
        <f>IF(CO48=1,$CI48/(1+($CH$111+시나리오!$A$21/10000)/2)^(CP48-1),0)</f>
        <v/>
      </c>
      <c r="DR48" s="51">
        <f>IF(CO48=1,$CI48/(1+($CH$111+시나리오!$A$22/10000)/2)^(CP48-1),0)</f>
        <v/>
      </c>
      <c r="DS48" s="51">
        <f>IF(CO48=1,$CI48/(1+($CH$111+시나리오!$A$23/10000)/2)^(CP48-1),0)</f>
        <v/>
      </c>
      <c r="DT48" s="51">
        <f>IF(CO48=1,$CI48/(1+($CH$111+시나리오!$A$24/10000)/2)^(CP48-1),0)</f>
        <v/>
      </c>
    </row>
    <row r="49">
      <c r="A49" s="49" t="n">
        <v>35</v>
      </c>
      <c r="B49" s="50">
        <f>EDATE($B$2,-6*(62-$A49))</f>
        <v/>
      </c>
      <c r="C49" s="51">
        <f>IF(AND(B49&gt;$B$3,B49&lt;=$B$2),IF(B49=$B$2,$B$5+100,$B$5),0)</f>
        <v/>
      </c>
      <c r="D49" s="49">
        <f>IF(AND($C49&gt;0,B49&gt;$B$6),1,0)</f>
        <v/>
      </c>
      <c r="E49" s="49">
        <f>IF(D49=1,SUM($D$15:D49),"")</f>
        <v/>
      </c>
      <c r="F49" s="51">
        <f>IF(D49=1,$C49/(1+$B$8/2)^(E49-1),0)</f>
        <v/>
      </c>
      <c r="G49" s="51">
        <f>IF(D49=1,$C49/(1+($B$8+0.0001)/2)^(E49-1),0)</f>
        <v/>
      </c>
      <c r="H49" s="51">
        <f>IF(D49=1,$C49/(1+($B$8-0.0001)/2)^(E49-1),0)</f>
        <v/>
      </c>
      <c r="I49" s="49">
        <f>IF(AND($C49&gt;0,B49&gt;$B$7),1,0)</f>
        <v/>
      </c>
      <c r="J49" s="49">
        <f>IF(I49=1,SUM($I$15:I49),"")</f>
        <v/>
      </c>
      <c r="K49" s="51">
        <f>IF(I49=1,$C49/(1+$B$104/2)^(J49-1),0)</f>
        <v/>
      </c>
      <c r="L49" s="51">
        <f>IF(I49=1,$C49/(1+($B$104+0.0001)/2)^(J49-1),0)</f>
        <v/>
      </c>
      <c r="M49" s="51">
        <f>IF(I49=1,$C49/(1+($B$104-0.0001)/2)^(J49-1),0)</f>
        <v/>
      </c>
      <c r="N49" s="51">
        <f>IF(I49=1,$C49/(1+$B$109/2)^(J49-1),0)</f>
        <v/>
      </c>
      <c r="O49" s="51">
        <f>IF(I49=1,$C49/(1+$B$111/2)^(J49-1),0)</f>
        <v/>
      </c>
      <c r="P49" s="51">
        <f>IF(I49=1,$C49/(1+($B$111+0.0001)/2)^(J49-1),0)</f>
        <v/>
      </c>
      <c r="Q49" s="51">
        <f>IF(I49=1,$C49/(1+($B$111-0.0001)/2)^(J49-1),0)</f>
        <v/>
      </c>
      <c r="R49" s="51">
        <f>IF(AND($C49&gt;0,B49&gt;$B$6,B49&lt;=$B$7),$C49*(1+$B$10*($B$7-B49)/365),0)</f>
        <v/>
      </c>
      <c r="S49" s="51">
        <f>IF(I49=1,$C49/(1+($B$111+손익!$B$24/10000)/2)^(J49-1),0)</f>
        <v/>
      </c>
      <c r="T49" s="51">
        <f>IF(I49=1,$C49/(1+($B$111+시나리오!$A$4/10000)/2)^(J49-1),0)</f>
        <v/>
      </c>
      <c r="U49" s="51">
        <f>IF(I49=1,$C49/(1+($B$111+시나리오!$A$5/10000)/2)^(J49-1),0)</f>
        <v/>
      </c>
      <c r="V49" s="51">
        <f>IF(I49=1,$C49/(1+($B$111+시나리오!$A$6/10000)/2)^(J49-1),0)</f>
        <v/>
      </c>
      <c r="W49" s="51">
        <f>IF(I49=1,$C49/(1+($B$111+시나리오!$A$7/10000)/2)^(J49-1),0)</f>
        <v/>
      </c>
      <c r="X49" s="51">
        <f>IF(I49=1,$C49/(1+($B$111+시나리오!$A$8/10000)/2)^(J49-1),0)</f>
        <v/>
      </c>
      <c r="Y49" s="51">
        <f>IF(I49=1,$C49/(1+($B$111+시나리오!$A$9/10000)/2)^(J49-1),0)</f>
        <v/>
      </c>
      <c r="Z49" s="51">
        <f>IF(I49=1,$C49/(1+($B$111+시나리오!$A$10/10000)/2)^(J49-1),0)</f>
        <v/>
      </c>
      <c r="AA49" s="51">
        <f>IF(I49=1,$C49/(1+($B$111+시나리오!$A$11/10000)/2)^(J49-1),0)</f>
        <v/>
      </c>
      <c r="AB49" s="51">
        <f>IF(I49=1,$C49/(1+($B$111+시나리오!$A$12/10000)/2)^(J49-1),0)</f>
        <v/>
      </c>
      <c r="AC49" s="51">
        <f>IF(I49=1,$C49/(1+($B$111+시나리오!$A$13/10000)/2)^(J49-1),0)</f>
        <v/>
      </c>
      <c r="AD49" s="51">
        <f>IF(I49=1,$C49/(1+($B$111+시나리오!$A$14/10000)/2)^(J49-1),0)</f>
        <v/>
      </c>
      <c r="AE49" s="51">
        <f>IF(I49=1,$C49/(1+($B$111+시나리오!$A$15/10000)/2)^(J49-1),0)</f>
        <v/>
      </c>
      <c r="AF49" s="51">
        <f>IF(I49=1,$C49/(1+($B$111+시나리오!$A$16/10000)/2)^(J49-1),0)</f>
        <v/>
      </c>
      <c r="AG49" s="51">
        <f>IF(I49=1,$C49/(1+($B$111+시나리오!$A$17/10000)/2)^(J49-1),0)</f>
        <v/>
      </c>
      <c r="AH49" s="51">
        <f>IF(I49=1,$C49/(1+($B$111+시나리오!$A$18/10000)/2)^(J49-1),0)</f>
        <v/>
      </c>
      <c r="AI49" s="51">
        <f>IF(I49=1,$C49/(1+($B$111+시나리오!$A$19/10000)/2)^(J49-1),0)</f>
        <v/>
      </c>
      <c r="AJ49" s="51">
        <f>IF(I49=1,$C49/(1+($B$111+시나리오!$A$20/10000)/2)^(J49-1),0)</f>
        <v/>
      </c>
      <c r="AK49" s="51">
        <f>IF(I49=1,$C49/(1+($B$111+시나리오!$A$21/10000)/2)^(J49-1),0)</f>
        <v/>
      </c>
      <c r="AL49" s="51">
        <f>IF(I49=1,$C49/(1+($B$111+시나리오!$A$22/10000)/2)^(J49-1),0)</f>
        <v/>
      </c>
      <c r="AM49" s="51">
        <f>IF(I49=1,$C49/(1+($B$111+시나리오!$A$23/10000)/2)^(J49-1),0)</f>
        <v/>
      </c>
      <c r="AN49" s="51">
        <f>IF(I49=1,$C49/(1+($B$111+시나리오!$A$24/10000)/2)^(J49-1),0)</f>
        <v/>
      </c>
      <c r="AQ49" s="49" t="n">
        <v>35</v>
      </c>
      <c r="AR49" s="50">
        <f>EDATE($AR$2,-6*(62-$AQ49))</f>
        <v/>
      </c>
      <c r="AS49" s="51">
        <f>IF(AND(AR49&gt;$AR$3,AR49&lt;=$AR$2),IF(AR49=$AR$2,$AR$5+100,$AR$5),0)</f>
        <v/>
      </c>
      <c r="AT49" s="49">
        <f>IF(AND($AS49&gt;0,AR49&gt;$AR$6),1,0)</f>
        <v/>
      </c>
      <c r="AU49" s="49">
        <f>IF(AT49=1,SUM($AT$15:AT49),"")</f>
        <v/>
      </c>
      <c r="AV49" s="51">
        <f>IF(AT49=1,$AS49/(1+$AR$8/2)^(AU49-1),0)</f>
        <v/>
      </c>
      <c r="AW49" s="51">
        <f>IF(AT49=1,$AS49/(1+($AR$8+0.0001)/2)^(AU49-1),0)</f>
        <v/>
      </c>
      <c r="AX49" s="51">
        <f>IF(AT49=1,$AS49/(1+($AR$8-0.0001)/2)^(AU49-1),0)</f>
        <v/>
      </c>
      <c r="AY49" s="49">
        <f>IF(AND($AS49&gt;0,AR49&gt;$AR$7),1,0)</f>
        <v/>
      </c>
      <c r="AZ49" s="49">
        <f>IF(AY49=1,SUM($AY$15:AY49),"")</f>
        <v/>
      </c>
      <c r="BA49" s="51">
        <f>IF(AY49=1,$AS49/(1+$AR$104/2)^(AZ49-1),0)</f>
        <v/>
      </c>
      <c r="BB49" s="51">
        <f>IF(AY49=1,$AS49/(1+($AR$104+0.0001)/2)^(AZ49-1),0)</f>
        <v/>
      </c>
      <c r="BC49" s="51">
        <f>IF(AY49=1,$AS49/(1+($AR$104-0.0001)/2)^(AZ49-1),0)</f>
        <v/>
      </c>
      <c r="BD49" s="51">
        <f>IF(AY49=1,$AS49/(1+$AR$109/2)^(AZ49-1),0)</f>
        <v/>
      </c>
      <c r="BE49" s="51">
        <f>IF(AY49=1,$AS49/(1+$AR$111/2)^(AZ49-1),0)</f>
        <v/>
      </c>
      <c r="BF49" s="51">
        <f>IF(AY49=1,$AS49/(1+($AR$111+0.0001)/2)^(AZ49-1),0)</f>
        <v/>
      </c>
      <c r="BG49" s="51">
        <f>IF(AY49=1,$AS49/(1+($AR$111-0.0001)/2)^(AZ49-1),0)</f>
        <v/>
      </c>
      <c r="BH49" s="51">
        <f>IF(AND($AS49&gt;0,AR49&gt;$AR$6,AR49&lt;=$AR$7),$AS49*(1+$AR$10*($AR$7-AR49)/365),0)</f>
        <v/>
      </c>
      <c r="BI49" s="51">
        <f>IF(AY49=1,$AS49/(1+($AR$111+손익!$B$24/10000)/2)^(AZ49-1),0)</f>
        <v/>
      </c>
      <c r="BJ49" s="51">
        <f>IF(AY49=1,$AS49/(1+($AR$111+시나리오!$A$4/10000)/2)^(AZ49-1),0)</f>
        <v/>
      </c>
      <c r="BK49" s="51">
        <f>IF(AY49=1,$AS49/(1+($AR$111+시나리오!$A$5/10000)/2)^(AZ49-1),0)</f>
        <v/>
      </c>
      <c r="BL49" s="51">
        <f>IF(AY49=1,$AS49/(1+($AR$111+시나리오!$A$6/10000)/2)^(AZ49-1),0)</f>
        <v/>
      </c>
      <c r="BM49" s="51">
        <f>IF(AY49=1,$AS49/(1+($AR$111+시나리오!$A$7/10000)/2)^(AZ49-1),0)</f>
        <v/>
      </c>
      <c r="BN49" s="51">
        <f>IF(AY49=1,$AS49/(1+($AR$111+시나리오!$A$8/10000)/2)^(AZ49-1),0)</f>
        <v/>
      </c>
      <c r="BO49" s="51">
        <f>IF(AY49=1,$AS49/(1+($AR$111+시나리오!$A$9/10000)/2)^(AZ49-1),0)</f>
        <v/>
      </c>
      <c r="BP49" s="51">
        <f>IF(AY49=1,$AS49/(1+($AR$111+시나리오!$A$10/10000)/2)^(AZ49-1),0)</f>
        <v/>
      </c>
      <c r="BQ49" s="51">
        <f>IF(AY49=1,$AS49/(1+($AR$111+시나리오!$A$11/10000)/2)^(AZ49-1),0)</f>
        <v/>
      </c>
      <c r="BR49" s="51">
        <f>IF(AY49=1,$AS49/(1+($AR$111+시나리오!$A$12/10000)/2)^(AZ49-1),0)</f>
        <v/>
      </c>
      <c r="BS49" s="51">
        <f>IF(AY49=1,$AS49/(1+($AR$111+시나리오!$A$13/10000)/2)^(AZ49-1),0)</f>
        <v/>
      </c>
      <c r="BT49" s="51">
        <f>IF(AY49=1,$AS49/(1+($AR$111+시나리오!$A$14/10000)/2)^(AZ49-1),0)</f>
        <v/>
      </c>
      <c r="BU49" s="51">
        <f>IF(AY49=1,$AS49/(1+($AR$111+시나리오!$A$15/10000)/2)^(AZ49-1),0)</f>
        <v/>
      </c>
      <c r="BV49" s="51">
        <f>IF(AY49=1,$AS49/(1+($AR$111+시나리오!$A$16/10000)/2)^(AZ49-1),0)</f>
        <v/>
      </c>
      <c r="BW49" s="51">
        <f>IF(AY49=1,$AS49/(1+($AR$111+시나리오!$A$17/10000)/2)^(AZ49-1),0)</f>
        <v/>
      </c>
      <c r="BX49" s="51">
        <f>IF(AY49=1,$AS49/(1+($AR$111+시나리오!$A$18/10000)/2)^(AZ49-1),0)</f>
        <v/>
      </c>
      <c r="BY49" s="51">
        <f>IF(AY49=1,$AS49/(1+($AR$111+시나리오!$A$19/10000)/2)^(AZ49-1),0)</f>
        <v/>
      </c>
      <c r="BZ49" s="51">
        <f>IF(AY49=1,$AS49/(1+($AR$111+시나리오!$A$20/10000)/2)^(AZ49-1),0)</f>
        <v/>
      </c>
      <c r="CA49" s="51">
        <f>IF(AY49=1,$AS49/(1+($AR$111+시나리오!$A$21/10000)/2)^(AZ49-1),0)</f>
        <v/>
      </c>
      <c r="CB49" s="51">
        <f>IF(AY49=1,$AS49/(1+($AR$111+시나리오!$A$22/10000)/2)^(AZ49-1),0)</f>
        <v/>
      </c>
      <c r="CC49" s="51">
        <f>IF(AY49=1,$AS49/(1+($AR$111+시나리오!$A$23/10000)/2)^(AZ49-1),0)</f>
        <v/>
      </c>
      <c r="CD49" s="51">
        <f>IF(AY49=1,$AS49/(1+($AR$111+시나리오!$A$24/10000)/2)^(AZ49-1),0)</f>
        <v/>
      </c>
      <c r="CG49" s="49" t="n">
        <v>35</v>
      </c>
      <c r="CH49" s="50">
        <f>EDATE($CH$2,-6*(62-$CG49))</f>
        <v/>
      </c>
      <c r="CI49" s="51">
        <f>IF(AND(CH49&gt;$CH$3,CH49&lt;=$CH$2),IF(CH49=$CH$2,$CH$5+100,$CH$5),0)</f>
        <v/>
      </c>
      <c r="CJ49" s="49">
        <f>IF(AND($CI49&gt;0,CH49&gt;$CH$6),1,0)</f>
        <v/>
      </c>
      <c r="CK49" s="49">
        <f>IF(CJ49=1,SUM($CJ$15:CJ49),"")</f>
        <v/>
      </c>
      <c r="CL49" s="51">
        <f>IF(CJ49=1,$CI49/(1+$CH$8/2)^(CK49-1),0)</f>
        <v/>
      </c>
      <c r="CM49" s="51">
        <f>IF(CJ49=1,$CI49/(1+($CH$8+0.0001)/2)^(CK49-1),0)</f>
        <v/>
      </c>
      <c r="CN49" s="51">
        <f>IF(CJ49=1,$CI49/(1+($CH$8-0.0001)/2)^(CK49-1),0)</f>
        <v/>
      </c>
      <c r="CO49" s="49">
        <f>IF(AND($CI49&gt;0,CH49&gt;$CH$7),1,0)</f>
        <v/>
      </c>
      <c r="CP49" s="49">
        <f>IF(CO49=1,SUM($CO$15:CO49),"")</f>
        <v/>
      </c>
      <c r="CQ49" s="51">
        <f>IF(CO49=1,$CI49/(1+$CH$104/2)^(CP49-1),0)</f>
        <v/>
      </c>
      <c r="CR49" s="51">
        <f>IF(CO49=1,$CI49/(1+($CH$104+0.0001)/2)^(CP49-1),0)</f>
        <v/>
      </c>
      <c r="CS49" s="51">
        <f>IF(CO49=1,$CI49/(1+($CH$104-0.0001)/2)^(CP49-1),0)</f>
        <v/>
      </c>
      <c r="CT49" s="51">
        <f>IF(CO49=1,$CI49/(1+$CH$109/2)^(CP49-1),0)</f>
        <v/>
      </c>
      <c r="CU49" s="51">
        <f>IF(CO49=1,$CI49/(1+$CH$111/2)^(CP49-1),0)</f>
        <v/>
      </c>
      <c r="CV49" s="51">
        <f>IF(CO49=1,$CI49/(1+($CH$111+0.0001)/2)^(CP49-1),0)</f>
        <v/>
      </c>
      <c r="CW49" s="51">
        <f>IF(CO49=1,$CI49/(1+($CH$111-0.0001)/2)^(CP49-1),0)</f>
        <v/>
      </c>
      <c r="CX49" s="51">
        <f>IF(AND($CI49&gt;0,CH49&gt;$CH$6,CH49&lt;=$CH$7),$CI49*(1+$CH$10*($CH$7-CH49)/365),0)</f>
        <v/>
      </c>
      <c r="CY49" s="51">
        <f>IF(CO49=1,$CI49/(1+($CH$111+손익!$B$24/10000)/2)^(CP49-1),0)</f>
        <v/>
      </c>
      <c r="CZ49" s="51">
        <f>IF(CO49=1,$CI49/(1+($CH$111+시나리오!$A$4/10000)/2)^(CP49-1),0)</f>
        <v/>
      </c>
      <c r="DA49" s="51">
        <f>IF(CO49=1,$CI49/(1+($CH$111+시나리오!$A$5/10000)/2)^(CP49-1),0)</f>
        <v/>
      </c>
      <c r="DB49" s="51">
        <f>IF(CO49=1,$CI49/(1+($CH$111+시나리오!$A$6/10000)/2)^(CP49-1),0)</f>
        <v/>
      </c>
      <c r="DC49" s="51">
        <f>IF(CO49=1,$CI49/(1+($CH$111+시나리오!$A$7/10000)/2)^(CP49-1),0)</f>
        <v/>
      </c>
      <c r="DD49" s="51">
        <f>IF(CO49=1,$CI49/(1+($CH$111+시나리오!$A$8/10000)/2)^(CP49-1),0)</f>
        <v/>
      </c>
      <c r="DE49" s="51">
        <f>IF(CO49=1,$CI49/(1+($CH$111+시나리오!$A$9/10000)/2)^(CP49-1),0)</f>
        <v/>
      </c>
      <c r="DF49" s="51">
        <f>IF(CO49=1,$CI49/(1+($CH$111+시나리오!$A$10/10000)/2)^(CP49-1),0)</f>
        <v/>
      </c>
      <c r="DG49" s="51">
        <f>IF(CO49=1,$CI49/(1+($CH$111+시나리오!$A$11/10000)/2)^(CP49-1),0)</f>
        <v/>
      </c>
      <c r="DH49" s="51">
        <f>IF(CO49=1,$CI49/(1+($CH$111+시나리오!$A$12/10000)/2)^(CP49-1),0)</f>
        <v/>
      </c>
      <c r="DI49" s="51">
        <f>IF(CO49=1,$CI49/(1+($CH$111+시나리오!$A$13/10000)/2)^(CP49-1),0)</f>
        <v/>
      </c>
      <c r="DJ49" s="51">
        <f>IF(CO49=1,$CI49/(1+($CH$111+시나리오!$A$14/10000)/2)^(CP49-1),0)</f>
        <v/>
      </c>
      <c r="DK49" s="51">
        <f>IF(CO49=1,$CI49/(1+($CH$111+시나리오!$A$15/10000)/2)^(CP49-1),0)</f>
        <v/>
      </c>
      <c r="DL49" s="51">
        <f>IF(CO49=1,$CI49/(1+($CH$111+시나리오!$A$16/10000)/2)^(CP49-1),0)</f>
        <v/>
      </c>
      <c r="DM49" s="51">
        <f>IF(CO49=1,$CI49/(1+($CH$111+시나리오!$A$17/10000)/2)^(CP49-1),0)</f>
        <v/>
      </c>
      <c r="DN49" s="51">
        <f>IF(CO49=1,$CI49/(1+($CH$111+시나리오!$A$18/10000)/2)^(CP49-1),0)</f>
        <v/>
      </c>
      <c r="DO49" s="51">
        <f>IF(CO49=1,$CI49/(1+($CH$111+시나리오!$A$19/10000)/2)^(CP49-1),0)</f>
        <v/>
      </c>
      <c r="DP49" s="51">
        <f>IF(CO49=1,$CI49/(1+($CH$111+시나리오!$A$20/10000)/2)^(CP49-1),0)</f>
        <v/>
      </c>
      <c r="DQ49" s="51">
        <f>IF(CO49=1,$CI49/(1+($CH$111+시나리오!$A$21/10000)/2)^(CP49-1),0)</f>
        <v/>
      </c>
      <c r="DR49" s="51">
        <f>IF(CO49=1,$CI49/(1+($CH$111+시나리오!$A$22/10000)/2)^(CP49-1),0)</f>
        <v/>
      </c>
      <c r="DS49" s="51">
        <f>IF(CO49=1,$CI49/(1+($CH$111+시나리오!$A$23/10000)/2)^(CP49-1),0)</f>
        <v/>
      </c>
      <c r="DT49" s="51">
        <f>IF(CO49=1,$CI49/(1+($CH$111+시나리오!$A$24/10000)/2)^(CP49-1),0)</f>
        <v/>
      </c>
    </row>
    <row r="50">
      <c r="A50" s="49" t="n">
        <v>36</v>
      </c>
      <c r="B50" s="50">
        <f>EDATE($B$2,-6*(62-$A50))</f>
        <v/>
      </c>
      <c r="C50" s="51">
        <f>IF(AND(B50&gt;$B$3,B50&lt;=$B$2),IF(B50=$B$2,$B$5+100,$B$5),0)</f>
        <v/>
      </c>
      <c r="D50" s="49">
        <f>IF(AND($C50&gt;0,B50&gt;$B$6),1,0)</f>
        <v/>
      </c>
      <c r="E50" s="49">
        <f>IF(D50=1,SUM($D$15:D50),"")</f>
        <v/>
      </c>
      <c r="F50" s="51">
        <f>IF(D50=1,$C50/(1+$B$8/2)^(E50-1),0)</f>
        <v/>
      </c>
      <c r="G50" s="51">
        <f>IF(D50=1,$C50/(1+($B$8+0.0001)/2)^(E50-1),0)</f>
        <v/>
      </c>
      <c r="H50" s="51">
        <f>IF(D50=1,$C50/(1+($B$8-0.0001)/2)^(E50-1),0)</f>
        <v/>
      </c>
      <c r="I50" s="49">
        <f>IF(AND($C50&gt;0,B50&gt;$B$7),1,0)</f>
        <v/>
      </c>
      <c r="J50" s="49">
        <f>IF(I50=1,SUM($I$15:I50),"")</f>
        <v/>
      </c>
      <c r="K50" s="51">
        <f>IF(I50=1,$C50/(1+$B$104/2)^(J50-1),0)</f>
        <v/>
      </c>
      <c r="L50" s="51">
        <f>IF(I50=1,$C50/(1+($B$104+0.0001)/2)^(J50-1),0)</f>
        <v/>
      </c>
      <c r="M50" s="51">
        <f>IF(I50=1,$C50/(1+($B$104-0.0001)/2)^(J50-1),0)</f>
        <v/>
      </c>
      <c r="N50" s="51">
        <f>IF(I50=1,$C50/(1+$B$109/2)^(J50-1),0)</f>
        <v/>
      </c>
      <c r="O50" s="51">
        <f>IF(I50=1,$C50/(1+$B$111/2)^(J50-1),0)</f>
        <v/>
      </c>
      <c r="P50" s="51">
        <f>IF(I50=1,$C50/(1+($B$111+0.0001)/2)^(J50-1),0)</f>
        <v/>
      </c>
      <c r="Q50" s="51">
        <f>IF(I50=1,$C50/(1+($B$111-0.0001)/2)^(J50-1),0)</f>
        <v/>
      </c>
      <c r="R50" s="51">
        <f>IF(AND($C50&gt;0,B50&gt;$B$6,B50&lt;=$B$7),$C50*(1+$B$10*($B$7-B50)/365),0)</f>
        <v/>
      </c>
      <c r="S50" s="51">
        <f>IF(I50=1,$C50/(1+($B$111+손익!$B$24/10000)/2)^(J50-1),0)</f>
        <v/>
      </c>
      <c r="T50" s="51">
        <f>IF(I50=1,$C50/(1+($B$111+시나리오!$A$4/10000)/2)^(J50-1),0)</f>
        <v/>
      </c>
      <c r="U50" s="51">
        <f>IF(I50=1,$C50/(1+($B$111+시나리오!$A$5/10000)/2)^(J50-1),0)</f>
        <v/>
      </c>
      <c r="V50" s="51">
        <f>IF(I50=1,$C50/(1+($B$111+시나리오!$A$6/10000)/2)^(J50-1),0)</f>
        <v/>
      </c>
      <c r="W50" s="51">
        <f>IF(I50=1,$C50/(1+($B$111+시나리오!$A$7/10000)/2)^(J50-1),0)</f>
        <v/>
      </c>
      <c r="X50" s="51">
        <f>IF(I50=1,$C50/(1+($B$111+시나리오!$A$8/10000)/2)^(J50-1),0)</f>
        <v/>
      </c>
      <c r="Y50" s="51">
        <f>IF(I50=1,$C50/(1+($B$111+시나리오!$A$9/10000)/2)^(J50-1),0)</f>
        <v/>
      </c>
      <c r="Z50" s="51">
        <f>IF(I50=1,$C50/(1+($B$111+시나리오!$A$10/10000)/2)^(J50-1),0)</f>
        <v/>
      </c>
      <c r="AA50" s="51">
        <f>IF(I50=1,$C50/(1+($B$111+시나리오!$A$11/10000)/2)^(J50-1),0)</f>
        <v/>
      </c>
      <c r="AB50" s="51">
        <f>IF(I50=1,$C50/(1+($B$111+시나리오!$A$12/10000)/2)^(J50-1),0)</f>
        <v/>
      </c>
      <c r="AC50" s="51">
        <f>IF(I50=1,$C50/(1+($B$111+시나리오!$A$13/10000)/2)^(J50-1),0)</f>
        <v/>
      </c>
      <c r="AD50" s="51">
        <f>IF(I50=1,$C50/(1+($B$111+시나리오!$A$14/10000)/2)^(J50-1),0)</f>
        <v/>
      </c>
      <c r="AE50" s="51">
        <f>IF(I50=1,$C50/(1+($B$111+시나리오!$A$15/10000)/2)^(J50-1),0)</f>
        <v/>
      </c>
      <c r="AF50" s="51">
        <f>IF(I50=1,$C50/(1+($B$111+시나리오!$A$16/10000)/2)^(J50-1),0)</f>
        <v/>
      </c>
      <c r="AG50" s="51">
        <f>IF(I50=1,$C50/(1+($B$111+시나리오!$A$17/10000)/2)^(J50-1),0)</f>
        <v/>
      </c>
      <c r="AH50" s="51">
        <f>IF(I50=1,$C50/(1+($B$111+시나리오!$A$18/10000)/2)^(J50-1),0)</f>
        <v/>
      </c>
      <c r="AI50" s="51">
        <f>IF(I50=1,$C50/(1+($B$111+시나리오!$A$19/10000)/2)^(J50-1),0)</f>
        <v/>
      </c>
      <c r="AJ50" s="51">
        <f>IF(I50=1,$C50/(1+($B$111+시나리오!$A$20/10000)/2)^(J50-1),0)</f>
        <v/>
      </c>
      <c r="AK50" s="51">
        <f>IF(I50=1,$C50/(1+($B$111+시나리오!$A$21/10000)/2)^(J50-1),0)</f>
        <v/>
      </c>
      <c r="AL50" s="51">
        <f>IF(I50=1,$C50/(1+($B$111+시나리오!$A$22/10000)/2)^(J50-1),0)</f>
        <v/>
      </c>
      <c r="AM50" s="51">
        <f>IF(I50=1,$C50/(1+($B$111+시나리오!$A$23/10000)/2)^(J50-1),0)</f>
        <v/>
      </c>
      <c r="AN50" s="51">
        <f>IF(I50=1,$C50/(1+($B$111+시나리오!$A$24/10000)/2)^(J50-1),0)</f>
        <v/>
      </c>
      <c r="AQ50" s="49" t="n">
        <v>36</v>
      </c>
      <c r="AR50" s="50">
        <f>EDATE($AR$2,-6*(62-$AQ50))</f>
        <v/>
      </c>
      <c r="AS50" s="51">
        <f>IF(AND(AR50&gt;$AR$3,AR50&lt;=$AR$2),IF(AR50=$AR$2,$AR$5+100,$AR$5),0)</f>
        <v/>
      </c>
      <c r="AT50" s="49">
        <f>IF(AND($AS50&gt;0,AR50&gt;$AR$6),1,0)</f>
        <v/>
      </c>
      <c r="AU50" s="49">
        <f>IF(AT50=1,SUM($AT$15:AT50),"")</f>
        <v/>
      </c>
      <c r="AV50" s="51">
        <f>IF(AT50=1,$AS50/(1+$AR$8/2)^(AU50-1),0)</f>
        <v/>
      </c>
      <c r="AW50" s="51">
        <f>IF(AT50=1,$AS50/(1+($AR$8+0.0001)/2)^(AU50-1),0)</f>
        <v/>
      </c>
      <c r="AX50" s="51">
        <f>IF(AT50=1,$AS50/(1+($AR$8-0.0001)/2)^(AU50-1),0)</f>
        <v/>
      </c>
      <c r="AY50" s="49">
        <f>IF(AND($AS50&gt;0,AR50&gt;$AR$7),1,0)</f>
        <v/>
      </c>
      <c r="AZ50" s="49">
        <f>IF(AY50=1,SUM($AY$15:AY50),"")</f>
        <v/>
      </c>
      <c r="BA50" s="51">
        <f>IF(AY50=1,$AS50/(1+$AR$104/2)^(AZ50-1),0)</f>
        <v/>
      </c>
      <c r="BB50" s="51">
        <f>IF(AY50=1,$AS50/(1+($AR$104+0.0001)/2)^(AZ50-1),0)</f>
        <v/>
      </c>
      <c r="BC50" s="51">
        <f>IF(AY50=1,$AS50/(1+($AR$104-0.0001)/2)^(AZ50-1),0)</f>
        <v/>
      </c>
      <c r="BD50" s="51">
        <f>IF(AY50=1,$AS50/(1+$AR$109/2)^(AZ50-1),0)</f>
        <v/>
      </c>
      <c r="BE50" s="51">
        <f>IF(AY50=1,$AS50/(1+$AR$111/2)^(AZ50-1),0)</f>
        <v/>
      </c>
      <c r="BF50" s="51">
        <f>IF(AY50=1,$AS50/(1+($AR$111+0.0001)/2)^(AZ50-1),0)</f>
        <v/>
      </c>
      <c r="BG50" s="51">
        <f>IF(AY50=1,$AS50/(1+($AR$111-0.0001)/2)^(AZ50-1),0)</f>
        <v/>
      </c>
      <c r="BH50" s="51">
        <f>IF(AND($AS50&gt;0,AR50&gt;$AR$6,AR50&lt;=$AR$7),$AS50*(1+$AR$10*($AR$7-AR50)/365),0)</f>
        <v/>
      </c>
      <c r="BI50" s="51">
        <f>IF(AY50=1,$AS50/(1+($AR$111+손익!$B$24/10000)/2)^(AZ50-1),0)</f>
        <v/>
      </c>
      <c r="BJ50" s="51">
        <f>IF(AY50=1,$AS50/(1+($AR$111+시나리오!$A$4/10000)/2)^(AZ50-1),0)</f>
        <v/>
      </c>
      <c r="BK50" s="51">
        <f>IF(AY50=1,$AS50/(1+($AR$111+시나리오!$A$5/10000)/2)^(AZ50-1),0)</f>
        <v/>
      </c>
      <c r="BL50" s="51">
        <f>IF(AY50=1,$AS50/(1+($AR$111+시나리오!$A$6/10000)/2)^(AZ50-1),0)</f>
        <v/>
      </c>
      <c r="BM50" s="51">
        <f>IF(AY50=1,$AS50/(1+($AR$111+시나리오!$A$7/10000)/2)^(AZ50-1),0)</f>
        <v/>
      </c>
      <c r="BN50" s="51">
        <f>IF(AY50=1,$AS50/(1+($AR$111+시나리오!$A$8/10000)/2)^(AZ50-1),0)</f>
        <v/>
      </c>
      <c r="BO50" s="51">
        <f>IF(AY50=1,$AS50/(1+($AR$111+시나리오!$A$9/10000)/2)^(AZ50-1),0)</f>
        <v/>
      </c>
      <c r="BP50" s="51">
        <f>IF(AY50=1,$AS50/(1+($AR$111+시나리오!$A$10/10000)/2)^(AZ50-1),0)</f>
        <v/>
      </c>
      <c r="BQ50" s="51">
        <f>IF(AY50=1,$AS50/(1+($AR$111+시나리오!$A$11/10000)/2)^(AZ50-1),0)</f>
        <v/>
      </c>
      <c r="BR50" s="51">
        <f>IF(AY50=1,$AS50/(1+($AR$111+시나리오!$A$12/10000)/2)^(AZ50-1),0)</f>
        <v/>
      </c>
      <c r="BS50" s="51">
        <f>IF(AY50=1,$AS50/(1+($AR$111+시나리오!$A$13/10000)/2)^(AZ50-1),0)</f>
        <v/>
      </c>
      <c r="BT50" s="51">
        <f>IF(AY50=1,$AS50/(1+($AR$111+시나리오!$A$14/10000)/2)^(AZ50-1),0)</f>
        <v/>
      </c>
      <c r="BU50" s="51">
        <f>IF(AY50=1,$AS50/(1+($AR$111+시나리오!$A$15/10000)/2)^(AZ50-1),0)</f>
        <v/>
      </c>
      <c r="BV50" s="51">
        <f>IF(AY50=1,$AS50/(1+($AR$111+시나리오!$A$16/10000)/2)^(AZ50-1),0)</f>
        <v/>
      </c>
      <c r="BW50" s="51">
        <f>IF(AY50=1,$AS50/(1+($AR$111+시나리오!$A$17/10000)/2)^(AZ50-1),0)</f>
        <v/>
      </c>
      <c r="BX50" s="51">
        <f>IF(AY50=1,$AS50/(1+($AR$111+시나리오!$A$18/10000)/2)^(AZ50-1),0)</f>
        <v/>
      </c>
      <c r="BY50" s="51">
        <f>IF(AY50=1,$AS50/(1+($AR$111+시나리오!$A$19/10000)/2)^(AZ50-1),0)</f>
        <v/>
      </c>
      <c r="BZ50" s="51">
        <f>IF(AY50=1,$AS50/(1+($AR$111+시나리오!$A$20/10000)/2)^(AZ50-1),0)</f>
        <v/>
      </c>
      <c r="CA50" s="51">
        <f>IF(AY50=1,$AS50/(1+($AR$111+시나리오!$A$21/10000)/2)^(AZ50-1),0)</f>
        <v/>
      </c>
      <c r="CB50" s="51">
        <f>IF(AY50=1,$AS50/(1+($AR$111+시나리오!$A$22/10000)/2)^(AZ50-1),0)</f>
        <v/>
      </c>
      <c r="CC50" s="51">
        <f>IF(AY50=1,$AS50/(1+($AR$111+시나리오!$A$23/10000)/2)^(AZ50-1),0)</f>
        <v/>
      </c>
      <c r="CD50" s="51">
        <f>IF(AY50=1,$AS50/(1+($AR$111+시나리오!$A$24/10000)/2)^(AZ50-1),0)</f>
        <v/>
      </c>
      <c r="CG50" s="49" t="n">
        <v>36</v>
      </c>
      <c r="CH50" s="50">
        <f>EDATE($CH$2,-6*(62-$CG50))</f>
        <v/>
      </c>
      <c r="CI50" s="51">
        <f>IF(AND(CH50&gt;$CH$3,CH50&lt;=$CH$2),IF(CH50=$CH$2,$CH$5+100,$CH$5),0)</f>
        <v/>
      </c>
      <c r="CJ50" s="49">
        <f>IF(AND($CI50&gt;0,CH50&gt;$CH$6),1,0)</f>
        <v/>
      </c>
      <c r="CK50" s="49">
        <f>IF(CJ50=1,SUM($CJ$15:CJ50),"")</f>
        <v/>
      </c>
      <c r="CL50" s="51">
        <f>IF(CJ50=1,$CI50/(1+$CH$8/2)^(CK50-1),0)</f>
        <v/>
      </c>
      <c r="CM50" s="51">
        <f>IF(CJ50=1,$CI50/(1+($CH$8+0.0001)/2)^(CK50-1),0)</f>
        <v/>
      </c>
      <c r="CN50" s="51">
        <f>IF(CJ50=1,$CI50/(1+($CH$8-0.0001)/2)^(CK50-1),0)</f>
        <v/>
      </c>
      <c r="CO50" s="49">
        <f>IF(AND($CI50&gt;0,CH50&gt;$CH$7),1,0)</f>
        <v/>
      </c>
      <c r="CP50" s="49">
        <f>IF(CO50=1,SUM($CO$15:CO50),"")</f>
        <v/>
      </c>
      <c r="CQ50" s="51">
        <f>IF(CO50=1,$CI50/(1+$CH$104/2)^(CP50-1),0)</f>
        <v/>
      </c>
      <c r="CR50" s="51">
        <f>IF(CO50=1,$CI50/(1+($CH$104+0.0001)/2)^(CP50-1),0)</f>
        <v/>
      </c>
      <c r="CS50" s="51">
        <f>IF(CO50=1,$CI50/(1+($CH$104-0.0001)/2)^(CP50-1),0)</f>
        <v/>
      </c>
      <c r="CT50" s="51">
        <f>IF(CO50=1,$CI50/(1+$CH$109/2)^(CP50-1),0)</f>
        <v/>
      </c>
      <c r="CU50" s="51">
        <f>IF(CO50=1,$CI50/(1+$CH$111/2)^(CP50-1),0)</f>
        <v/>
      </c>
      <c r="CV50" s="51">
        <f>IF(CO50=1,$CI50/(1+($CH$111+0.0001)/2)^(CP50-1),0)</f>
        <v/>
      </c>
      <c r="CW50" s="51">
        <f>IF(CO50=1,$CI50/(1+($CH$111-0.0001)/2)^(CP50-1),0)</f>
        <v/>
      </c>
      <c r="CX50" s="51">
        <f>IF(AND($CI50&gt;0,CH50&gt;$CH$6,CH50&lt;=$CH$7),$CI50*(1+$CH$10*($CH$7-CH50)/365),0)</f>
        <v/>
      </c>
      <c r="CY50" s="51">
        <f>IF(CO50=1,$CI50/(1+($CH$111+손익!$B$24/10000)/2)^(CP50-1),0)</f>
        <v/>
      </c>
      <c r="CZ50" s="51">
        <f>IF(CO50=1,$CI50/(1+($CH$111+시나리오!$A$4/10000)/2)^(CP50-1),0)</f>
        <v/>
      </c>
      <c r="DA50" s="51">
        <f>IF(CO50=1,$CI50/(1+($CH$111+시나리오!$A$5/10000)/2)^(CP50-1),0)</f>
        <v/>
      </c>
      <c r="DB50" s="51">
        <f>IF(CO50=1,$CI50/(1+($CH$111+시나리오!$A$6/10000)/2)^(CP50-1),0)</f>
        <v/>
      </c>
      <c r="DC50" s="51">
        <f>IF(CO50=1,$CI50/(1+($CH$111+시나리오!$A$7/10000)/2)^(CP50-1),0)</f>
        <v/>
      </c>
      <c r="DD50" s="51">
        <f>IF(CO50=1,$CI50/(1+($CH$111+시나리오!$A$8/10000)/2)^(CP50-1),0)</f>
        <v/>
      </c>
      <c r="DE50" s="51">
        <f>IF(CO50=1,$CI50/(1+($CH$111+시나리오!$A$9/10000)/2)^(CP50-1),0)</f>
        <v/>
      </c>
      <c r="DF50" s="51">
        <f>IF(CO50=1,$CI50/(1+($CH$111+시나리오!$A$10/10000)/2)^(CP50-1),0)</f>
        <v/>
      </c>
      <c r="DG50" s="51">
        <f>IF(CO50=1,$CI50/(1+($CH$111+시나리오!$A$11/10000)/2)^(CP50-1),0)</f>
        <v/>
      </c>
      <c r="DH50" s="51">
        <f>IF(CO50=1,$CI50/(1+($CH$111+시나리오!$A$12/10000)/2)^(CP50-1),0)</f>
        <v/>
      </c>
      <c r="DI50" s="51">
        <f>IF(CO50=1,$CI50/(1+($CH$111+시나리오!$A$13/10000)/2)^(CP50-1),0)</f>
        <v/>
      </c>
      <c r="DJ50" s="51">
        <f>IF(CO50=1,$CI50/(1+($CH$111+시나리오!$A$14/10000)/2)^(CP50-1),0)</f>
        <v/>
      </c>
      <c r="DK50" s="51">
        <f>IF(CO50=1,$CI50/(1+($CH$111+시나리오!$A$15/10000)/2)^(CP50-1),0)</f>
        <v/>
      </c>
      <c r="DL50" s="51">
        <f>IF(CO50=1,$CI50/(1+($CH$111+시나리오!$A$16/10000)/2)^(CP50-1),0)</f>
        <v/>
      </c>
      <c r="DM50" s="51">
        <f>IF(CO50=1,$CI50/(1+($CH$111+시나리오!$A$17/10000)/2)^(CP50-1),0)</f>
        <v/>
      </c>
      <c r="DN50" s="51">
        <f>IF(CO50=1,$CI50/(1+($CH$111+시나리오!$A$18/10000)/2)^(CP50-1),0)</f>
        <v/>
      </c>
      <c r="DO50" s="51">
        <f>IF(CO50=1,$CI50/(1+($CH$111+시나리오!$A$19/10000)/2)^(CP50-1),0)</f>
        <v/>
      </c>
      <c r="DP50" s="51">
        <f>IF(CO50=1,$CI50/(1+($CH$111+시나리오!$A$20/10000)/2)^(CP50-1),0)</f>
        <v/>
      </c>
      <c r="DQ50" s="51">
        <f>IF(CO50=1,$CI50/(1+($CH$111+시나리오!$A$21/10000)/2)^(CP50-1),0)</f>
        <v/>
      </c>
      <c r="DR50" s="51">
        <f>IF(CO50=1,$CI50/(1+($CH$111+시나리오!$A$22/10000)/2)^(CP50-1),0)</f>
        <v/>
      </c>
      <c r="DS50" s="51">
        <f>IF(CO50=1,$CI50/(1+($CH$111+시나리오!$A$23/10000)/2)^(CP50-1),0)</f>
        <v/>
      </c>
      <c r="DT50" s="51">
        <f>IF(CO50=1,$CI50/(1+($CH$111+시나리오!$A$24/10000)/2)^(CP50-1),0)</f>
        <v/>
      </c>
    </row>
    <row r="51">
      <c r="A51" s="49" t="n">
        <v>37</v>
      </c>
      <c r="B51" s="50">
        <f>EDATE($B$2,-6*(62-$A51))</f>
        <v/>
      </c>
      <c r="C51" s="51">
        <f>IF(AND(B51&gt;$B$3,B51&lt;=$B$2),IF(B51=$B$2,$B$5+100,$B$5),0)</f>
        <v/>
      </c>
      <c r="D51" s="49">
        <f>IF(AND($C51&gt;0,B51&gt;$B$6),1,0)</f>
        <v/>
      </c>
      <c r="E51" s="49">
        <f>IF(D51=1,SUM($D$15:D51),"")</f>
        <v/>
      </c>
      <c r="F51" s="51">
        <f>IF(D51=1,$C51/(1+$B$8/2)^(E51-1),0)</f>
        <v/>
      </c>
      <c r="G51" s="51">
        <f>IF(D51=1,$C51/(1+($B$8+0.0001)/2)^(E51-1),0)</f>
        <v/>
      </c>
      <c r="H51" s="51">
        <f>IF(D51=1,$C51/(1+($B$8-0.0001)/2)^(E51-1),0)</f>
        <v/>
      </c>
      <c r="I51" s="49">
        <f>IF(AND($C51&gt;0,B51&gt;$B$7),1,0)</f>
        <v/>
      </c>
      <c r="J51" s="49">
        <f>IF(I51=1,SUM($I$15:I51),"")</f>
        <v/>
      </c>
      <c r="K51" s="51">
        <f>IF(I51=1,$C51/(1+$B$104/2)^(J51-1),0)</f>
        <v/>
      </c>
      <c r="L51" s="51">
        <f>IF(I51=1,$C51/(1+($B$104+0.0001)/2)^(J51-1),0)</f>
        <v/>
      </c>
      <c r="M51" s="51">
        <f>IF(I51=1,$C51/(1+($B$104-0.0001)/2)^(J51-1),0)</f>
        <v/>
      </c>
      <c r="N51" s="51">
        <f>IF(I51=1,$C51/(1+$B$109/2)^(J51-1),0)</f>
        <v/>
      </c>
      <c r="O51" s="51">
        <f>IF(I51=1,$C51/(1+$B$111/2)^(J51-1),0)</f>
        <v/>
      </c>
      <c r="P51" s="51">
        <f>IF(I51=1,$C51/(1+($B$111+0.0001)/2)^(J51-1),0)</f>
        <v/>
      </c>
      <c r="Q51" s="51">
        <f>IF(I51=1,$C51/(1+($B$111-0.0001)/2)^(J51-1),0)</f>
        <v/>
      </c>
      <c r="R51" s="51">
        <f>IF(AND($C51&gt;0,B51&gt;$B$6,B51&lt;=$B$7),$C51*(1+$B$10*($B$7-B51)/365),0)</f>
        <v/>
      </c>
      <c r="S51" s="51">
        <f>IF(I51=1,$C51/(1+($B$111+손익!$B$24/10000)/2)^(J51-1),0)</f>
        <v/>
      </c>
      <c r="T51" s="51">
        <f>IF(I51=1,$C51/(1+($B$111+시나리오!$A$4/10000)/2)^(J51-1),0)</f>
        <v/>
      </c>
      <c r="U51" s="51">
        <f>IF(I51=1,$C51/(1+($B$111+시나리오!$A$5/10000)/2)^(J51-1),0)</f>
        <v/>
      </c>
      <c r="V51" s="51">
        <f>IF(I51=1,$C51/(1+($B$111+시나리오!$A$6/10000)/2)^(J51-1),0)</f>
        <v/>
      </c>
      <c r="W51" s="51">
        <f>IF(I51=1,$C51/(1+($B$111+시나리오!$A$7/10000)/2)^(J51-1),0)</f>
        <v/>
      </c>
      <c r="X51" s="51">
        <f>IF(I51=1,$C51/(1+($B$111+시나리오!$A$8/10000)/2)^(J51-1),0)</f>
        <v/>
      </c>
      <c r="Y51" s="51">
        <f>IF(I51=1,$C51/(1+($B$111+시나리오!$A$9/10000)/2)^(J51-1),0)</f>
        <v/>
      </c>
      <c r="Z51" s="51">
        <f>IF(I51=1,$C51/(1+($B$111+시나리오!$A$10/10000)/2)^(J51-1),0)</f>
        <v/>
      </c>
      <c r="AA51" s="51">
        <f>IF(I51=1,$C51/(1+($B$111+시나리오!$A$11/10000)/2)^(J51-1),0)</f>
        <v/>
      </c>
      <c r="AB51" s="51">
        <f>IF(I51=1,$C51/(1+($B$111+시나리오!$A$12/10000)/2)^(J51-1),0)</f>
        <v/>
      </c>
      <c r="AC51" s="51">
        <f>IF(I51=1,$C51/(1+($B$111+시나리오!$A$13/10000)/2)^(J51-1),0)</f>
        <v/>
      </c>
      <c r="AD51" s="51">
        <f>IF(I51=1,$C51/(1+($B$111+시나리오!$A$14/10000)/2)^(J51-1),0)</f>
        <v/>
      </c>
      <c r="AE51" s="51">
        <f>IF(I51=1,$C51/(1+($B$111+시나리오!$A$15/10000)/2)^(J51-1),0)</f>
        <v/>
      </c>
      <c r="AF51" s="51">
        <f>IF(I51=1,$C51/(1+($B$111+시나리오!$A$16/10000)/2)^(J51-1),0)</f>
        <v/>
      </c>
      <c r="AG51" s="51">
        <f>IF(I51=1,$C51/(1+($B$111+시나리오!$A$17/10000)/2)^(J51-1),0)</f>
        <v/>
      </c>
      <c r="AH51" s="51">
        <f>IF(I51=1,$C51/(1+($B$111+시나리오!$A$18/10000)/2)^(J51-1),0)</f>
        <v/>
      </c>
      <c r="AI51" s="51">
        <f>IF(I51=1,$C51/(1+($B$111+시나리오!$A$19/10000)/2)^(J51-1),0)</f>
        <v/>
      </c>
      <c r="AJ51" s="51">
        <f>IF(I51=1,$C51/(1+($B$111+시나리오!$A$20/10000)/2)^(J51-1),0)</f>
        <v/>
      </c>
      <c r="AK51" s="51">
        <f>IF(I51=1,$C51/(1+($B$111+시나리오!$A$21/10000)/2)^(J51-1),0)</f>
        <v/>
      </c>
      <c r="AL51" s="51">
        <f>IF(I51=1,$C51/(1+($B$111+시나리오!$A$22/10000)/2)^(J51-1),0)</f>
        <v/>
      </c>
      <c r="AM51" s="51">
        <f>IF(I51=1,$C51/(1+($B$111+시나리오!$A$23/10000)/2)^(J51-1),0)</f>
        <v/>
      </c>
      <c r="AN51" s="51">
        <f>IF(I51=1,$C51/(1+($B$111+시나리오!$A$24/10000)/2)^(J51-1),0)</f>
        <v/>
      </c>
      <c r="AQ51" s="49" t="n">
        <v>37</v>
      </c>
      <c r="AR51" s="50">
        <f>EDATE($AR$2,-6*(62-$AQ51))</f>
        <v/>
      </c>
      <c r="AS51" s="51">
        <f>IF(AND(AR51&gt;$AR$3,AR51&lt;=$AR$2),IF(AR51=$AR$2,$AR$5+100,$AR$5),0)</f>
        <v/>
      </c>
      <c r="AT51" s="49">
        <f>IF(AND($AS51&gt;0,AR51&gt;$AR$6),1,0)</f>
        <v/>
      </c>
      <c r="AU51" s="49">
        <f>IF(AT51=1,SUM($AT$15:AT51),"")</f>
        <v/>
      </c>
      <c r="AV51" s="51">
        <f>IF(AT51=1,$AS51/(1+$AR$8/2)^(AU51-1),0)</f>
        <v/>
      </c>
      <c r="AW51" s="51">
        <f>IF(AT51=1,$AS51/(1+($AR$8+0.0001)/2)^(AU51-1),0)</f>
        <v/>
      </c>
      <c r="AX51" s="51">
        <f>IF(AT51=1,$AS51/(1+($AR$8-0.0001)/2)^(AU51-1),0)</f>
        <v/>
      </c>
      <c r="AY51" s="49">
        <f>IF(AND($AS51&gt;0,AR51&gt;$AR$7),1,0)</f>
        <v/>
      </c>
      <c r="AZ51" s="49">
        <f>IF(AY51=1,SUM($AY$15:AY51),"")</f>
        <v/>
      </c>
      <c r="BA51" s="51">
        <f>IF(AY51=1,$AS51/(1+$AR$104/2)^(AZ51-1),0)</f>
        <v/>
      </c>
      <c r="BB51" s="51">
        <f>IF(AY51=1,$AS51/(1+($AR$104+0.0001)/2)^(AZ51-1),0)</f>
        <v/>
      </c>
      <c r="BC51" s="51">
        <f>IF(AY51=1,$AS51/(1+($AR$104-0.0001)/2)^(AZ51-1),0)</f>
        <v/>
      </c>
      <c r="BD51" s="51">
        <f>IF(AY51=1,$AS51/(1+$AR$109/2)^(AZ51-1),0)</f>
        <v/>
      </c>
      <c r="BE51" s="51">
        <f>IF(AY51=1,$AS51/(1+$AR$111/2)^(AZ51-1),0)</f>
        <v/>
      </c>
      <c r="BF51" s="51">
        <f>IF(AY51=1,$AS51/(1+($AR$111+0.0001)/2)^(AZ51-1),0)</f>
        <v/>
      </c>
      <c r="BG51" s="51">
        <f>IF(AY51=1,$AS51/(1+($AR$111-0.0001)/2)^(AZ51-1),0)</f>
        <v/>
      </c>
      <c r="BH51" s="51">
        <f>IF(AND($AS51&gt;0,AR51&gt;$AR$6,AR51&lt;=$AR$7),$AS51*(1+$AR$10*($AR$7-AR51)/365),0)</f>
        <v/>
      </c>
      <c r="BI51" s="51">
        <f>IF(AY51=1,$AS51/(1+($AR$111+손익!$B$24/10000)/2)^(AZ51-1),0)</f>
        <v/>
      </c>
      <c r="BJ51" s="51">
        <f>IF(AY51=1,$AS51/(1+($AR$111+시나리오!$A$4/10000)/2)^(AZ51-1),0)</f>
        <v/>
      </c>
      <c r="BK51" s="51">
        <f>IF(AY51=1,$AS51/(1+($AR$111+시나리오!$A$5/10000)/2)^(AZ51-1),0)</f>
        <v/>
      </c>
      <c r="BL51" s="51">
        <f>IF(AY51=1,$AS51/(1+($AR$111+시나리오!$A$6/10000)/2)^(AZ51-1),0)</f>
        <v/>
      </c>
      <c r="BM51" s="51">
        <f>IF(AY51=1,$AS51/(1+($AR$111+시나리오!$A$7/10000)/2)^(AZ51-1),0)</f>
        <v/>
      </c>
      <c r="BN51" s="51">
        <f>IF(AY51=1,$AS51/(1+($AR$111+시나리오!$A$8/10000)/2)^(AZ51-1),0)</f>
        <v/>
      </c>
      <c r="BO51" s="51">
        <f>IF(AY51=1,$AS51/(1+($AR$111+시나리오!$A$9/10000)/2)^(AZ51-1),0)</f>
        <v/>
      </c>
      <c r="BP51" s="51">
        <f>IF(AY51=1,$AS51/(1+($AR$111+시나리오!$A$10/10000)/2)^(AZ51-1),0)</f>
        <v/>
      </c>
      <c r="BQ51" s="51">
        <f>IF(AY51=1,$AS51/(1+($AR$111+시나리오!$A$11/10000)/2)^(AZ51-1),0)</f>
        <v/>
      </c>
      <c r="BR51" s="51">
        <f>IF(AY51=1,$AS51/(1+($AR$111+시나리오!$A$12/10000)/2)^(AZ51-1),0)</f>
        <v/>
      </c>
      <c r="BS51" s="51">
        <f>IF(AY51=1,$AS51/(1+($AR$111+시나리오!$A$13/10000)/2)^(AZ51-1),0)</f>
        <v/>
      </c>
      <c r="BT51" s="51">
        <f>IF(AY51=1,$AS51/(1+($AR$111+시나리오!$A$14/10000)/2)^(AZ51-1),0)</f>
        <v/>
      </c>
      <c r="BU51" s="51">
        <f>IF(AY51=1,$AS51/(1+($AR$111+시나리오!$A$15/10000)/2)^(AZ51-1),0)</f>
        <v/>
      </c>
      <c r="BV51" s="51">
        <f>IF(AY51=1,$AS51/(1+($AR$111+시나리오!$A$16/10000)/2)^(AZ51-1),0)</f>
        <v/>
      </c>
      <c r="BW51" s="51">
        <f>IF(AY51=1,$AS51/(1+($AR$111+시나리오!$A$17/10000)/2)^(AZ51-1),0)</f>
        <v/>
      </c>
      <c r="BX51" s="51">
        <f>IF(AY51=1,$AS51/(1+($AR$111+시나리오!$A$18/10000)/2)^(AZ51-1),0)</f>
        <v/>
      </c>
      <c r="BY51" s="51">
        <f>IF(AY51=1,$AS51/(1+($AR$111+시나리오!$A$19/10000)/2)^(AZ51-1),0)</f>
        <v/>
      </c>
      <c r="BZ51" s="51">
        <f>IF(AY51=1,$AS51/(1+($AR$111+시나리오!$A$20/10000)/2)^(AZ51-1),0)</f>
        <v/>
      </c>
      <c r="CA51" s="51">
        <f>IF(AY51=1,$AS51/(1+($AR$111+시나리오!$A$21/10000)/2)^(AZ51-1),0)</f>
        <v/>
      </c>
      <c r="CB51" s="51">
        <f>IF(AY51=1,$AS51/(1+($AR$111+시나리오!$A$22/10000)/2)^(AZ51-1),0)</f>
        <v/>
      </c>
      <c r="CC51" s="51">
        <f>IF(AY51=1,$AS51/(1+($AR$111+시나리오!$A$23/10000)/2)^(AZ51-1),0)</f>
        <v/>
      </c>
      <c r="CD51" s="51">
        <f>IF(AY51=1,$AS51/(1+($AR$111+시나리오!$A$24/10000)/2)^(AZ51-1),0)</f>
        <v/>
      </c>
      <c r="CG51" s="49" t="n">
        <v>37</v>
      </c>
      <c r="CH51" s="50">
        <f>EDATE($CH$2,-6*(62-$CG51))</f>
        <v/>
      </c>
      <c r="CI51" s="51">
        <f>IF(AND(CH51&gt;$CH$3,CH51&lt;=$CH$2),IF(CH51=$CH$2,$CH$5+100,$CH$5),0)</f>
        <v/>
      </c>
      <c r="CJ51" s="49">
        <f>IF(AND($CI51&gt;0,CH51&gt;$CH$6),1,0)</f>
        <v/>
      </c>
      <c r="CK51" s="49">
        <f>IF(CJ51=1,SUM($CJ$15:CJ51),"")</f>
        <v/>
      </c>
      <c r="CL51" s="51">
        <f>IF(CJ51=1,$CI51/(1+$CH$8/2)^(CK51-1),0)</f>
        <v/>
      </c>
      <c r="CM51" s="51">
        <f>IF(CJ51=1,$CI51/(1+($CH$8+0.0001)/2)^(CK51-1),0)</f>
        <v/>
      </c>
      <c r="CN51" s="51">
        <f>IF(CJ51=1,$CI51/(1+($CH$8-0.0001)/2)^(CK51-1),0)</f>
        <v/>
      </c>
      <c r="CO51" s="49">
        <f>IF(AND($CI51&gt;0,CH51&gt;$CH$7),1,0)</f>
        <v/>
      </c>
      <c r="CP51" s="49">
        <f>IF(CO51=1,SUM($CO$15:CO51),"")</f>
        <v/>
      </c>
      <c r="CQ51" s="51">
        <f>IF(CO51=1,$CI51/(1+$CH$104/2)^(CP51-1),0)</f>
        <v/>
      </c>
      <c r="CR51" s="51">
        <f>IF(CO51=1,$CI51/(1+($CH$104+0.0001)/2)^(CP51-1),0)</f>
        <v/>
      </c>
      <c r="CS51" s="51">
        <f>IF(CO51=1,$CI51/(1+($CH$104-0.0001)/2)^(CP51-1),0)</f>
        <v/>
      </c>
      <c r="CT51" s="51">
        <f>IF(CO51=1,$CI51/(1+$CH$109/2)^(CP51-1),0)</f>
        <v/>
      </c>
      <c r="CU51" s="51">
        <f>IF(CO51=1,$CI51/(1+$CH$111/2)^(CP51-1),0)</f>
        <v/>
      </c>
      <c r="CV51" s="51">
        <f>IF(CO51=1,$CI51/(1+($CH$111+0.0001)/2)^(CP51-1),0)</f>
        <v/>
      </c>
      <c r="CW51" s="51">
        <f>IF(CO51=1,$CI51/(1+($CH$111-0.0001)/2)^(CP51-1),0)</f>
        <v/>
      </c>
      <c r="CX51" s="51">
        <f>IF(AND($CI51&gt;0,CH51&gt;$CH$6,CH51&lt;=$CH$7),$CI51*(1+$CH$10*($CH$7-CH51)/365),0)</f>
        <v/>
      </c>
      <c r="CY51" s="51">
        <f>IF(CO51=1,$CI51/(1+($CH$111+손익!$B$24/10000)/2)^(CP51-1),0)</f>
        <v/>
      </c>
      <c r="CZ51" s="51">
        <f>IF(CO51=1,$CI51/(1+($CH$111+시나리오!$A$4/10000)/2)^(CP51-1),0)</f>
        <v/>
      </c>
      <c r="DA51" s="51">
        <f>IF(CO51=1,$CI51/(1+($CH$111+시나리오!$A$5/10000)/2)^(CP51-1),0)</f>
        <v/>
      </c>
      <c r="DB51" s="51">
        <f>IF(CO51=1,$CI51/(1+($CH$111+시나리오!$A$6/10000)/2)^(CP51-1),0)</f>
        <v/>
      </c>
      <c r="DC51" s="51">
        <f>IF(CO51=1,$CI51/(1+($CH$111+시나리오!$A$7/10000)/2)^(CP51-1),0)</f>
        <v/>
      </c>
      <c r="DD51" s="51">
        <f>IF(CO51=1,$CI51/(1+($CH$111+시나리오!$A$8/10000)/2)^(CP51-1),0)</f>
        <v/>
      </c>
      <c r="DE51" s="51">
        <f>IF(CO51=1,$CI51/(1+($CH$111+시나리오!$A$9/10000)/2)^(CP51-1),0)</f>
        <v/>
      </c>
      <c r="DF51" s="51">
        <f>IF(CO51=1,$CI51/(1+($CH$111+시나리오!$A$10/10000)/2)^(CP51-1),0)</f>
        <v/>
      </c>
      <c r="DG51" s="51">
        <f>IF(CO51=1,$CI51/(1+($CH$111+시나리오!$A$11/10000)/2)^(CP51-1),0)</f>
        <v/>
      </c>
      <c r="DH51" s="51">
        <f>IF(CO51=1,$CI51/(1+($CH$111+시나리오!$A$12/10000)/2)^(CP51-1),0)</f>
        <v/>
      </c>
      <c r="DI51" s="51">
        <f>IF(CO51=1,$CI51/(1+($CH$111+시나리오!$A$13/10000)/2)^(CP51-1),0)</f>
        <v/>
      </c>
      <c r="DJ51" s="51">
        <f>IF(CO51=1,$CI51/(1+($CH$111+시나리오!$A$14/10000)/2)^(CP51-1),0)</f>
        <v/>
      </c>
      <c r="DK51" s="51">
        <f>IF(CO51=1,$CI51/(1+($CH$111+시나리오!$A$15/10000)/2)^(CP51-1),0)</f>
        <v/>
      </c>
      <c r="DL51" s="51">
        <f>IF(CO51=1,$CI51/(1+($CH$111+시나리오!$A$16/10000)/2)^(CP51-1),0)</f>
        <v/>
      </c>
      <c r="DM51" s="51">
        <f>IF(CO51=1,$CI51/(1+($CH$111+시나리오!$A$17/10000)/2)^(CP51-1),0)</f>
        <v/>
      </c>
      <c r="DN51" s="51">
        <f>IF(CO51=1,$CI51/(1+($CH$111+시나리오!$A$18/10000)/2)^(CP51-1),0)</f>
        <v/>
      </c>
      <c r="DO51" s="51">
        <f>IF(CO51=1,$CI51/(1+($CH$111+시나리오!$A$19/10000)/2)^(CP51-1),0)</f>
        <v/>
      </c>
      <c r="DP51" s="51">
        <f>IF(CO51=1,$CI51/(1+($CH$111+시나리오!$A$20/10000)/2)^(CP51-1),0)</f>
        <v/>
      </c>
      <c r="DQ51" s="51">
        <f>IF(CO51=1,$CI51/(1+($CH$111+시나리오!$A$21/10000)/2)^(CP51-1),0)</f>
        <v/>
      </c>
      <c r="DR51" s="51">
        <f>IF(CO51=1,$CI51/(1+($CH$111+시나리오!$A$22/10000)/2)^(CP51-1),0)</f>
        <v/>
      </c>
      <c r="DS51" s="51">
        <f>IF(CO51=1,$CI51/(1+($CH$111+시나리오!$A$23/10000)/2)^(CP51-1),0)</f>
        <v/>
      </c>
      <c r="DT51" s="51">
        <f>IF(CO51=1,$CI51/(1+($CH$111+시나리오!$A$24/10000)/2)^(CP51-1),0)</f>
        <v/>
      </c>
    </row>
    <row r="52">
      <c r="A52" s="49" t="n">
        <v>38</v>
      </c>
      <c r="B52" s="50">
        <f>EDATE($B$2,-6*(62-$A52))</f>
        <v/>
      </c>
      <c r="C52" s="51">
        <f>IF(AND(B52&gt;$B$3,B52&lt;=$B$2),IF(B52=$B$2,$B$5+100,$B$5),0)</f>
        <v/>
      </c>
      <c r="D52" s="49">
        <f>IF(AND($C52&gt;0,B52&gt;$B$6),1,0)</f>
        <v/>
      </c>
      <c r="E52" s="49">
        <f>IF(D52=1,SUM($D$15:D52),"")</f>
        <v/>
      </c>
      <c r="F52" s="51">
        <f>IF(D52=1,$C52/(1+$B$8/2)^(E52-1),0)</f>
        <v/>
      </c>
      <c r="G52" s="51">
        <f>IF(D52=1,$C52/(1+($B$8+0.0001)/2)^(E52-1),0)</f>
        <v/>
      </c>
      <c r="H52" s="51">
        <f>IF(D52=1,$C52/(1+($B$8-0.0001)/2)^(E52-1),0)</f>
        <v/>
      </c>
      <c r="I52" s="49">
        <f>IF(AND($C52&gt;0,B52&gt;$B$7),1,0)</f>
        <v/>
      </c>
      <c r="J52" s="49">
        <f>IF(I52=1,SUM($I$15:I52),"")</f>
        <v/>
      </c>
      <c r="K52" s="51">
        <f>IF(I52=1,$C52/(1+$B$104/2)^(J52-1),0)</f>
        <v/>
      </c>
      <c r="L52" s="51">
        <f>IF(I52=1,$C52/(1+($B$104+0.0001)/2)^(J52-1),0)</f>
        <v/>
      </c>
      <c r="M52" s="51">
        <f>IF(I52=1,$C52/(1+($B$104-0.0001)/2)^(J52-1),0)</f>
        <v/>
      </c>
      <c r="N52" s="51">
        <f>IF(I52=1,$C52/(1+$B$109/2)^(J52-1),0)</f>
        <v/>
      </c>
      <c r="O52" s="51">
        <f>IF(I52=1,$C52/(1+$B$111/2)^(J52-1),0)</f>
        <v/>
      </c>
      <c r="P52" s="51">
        <f>IF(I52=1,$C52/(1+($B$111+0.0001)/2)^(J52-1),0)</f>
        <v/>
      </c>
      <c r="Q52" s="51">
        <f>IF(I52=1,$C52/(1+($B$111-0.0001)/2)^(J52-1),0)</f>
        <v/>
      </c>
      <c r="R52" s="51">
        <f>IF(AND($C52&gt;0,B52&gt;$B$6,B52&lt;=$B$7),$C52*(1+$B$10*($B$7-B52)/365),0)</f>
        <v/>
      </c>
      <c r="S52" s="51">
        <f>IF(I52=1,$C52/(1+($B$111+손익!$B$24/10000)/2)^(J52-1),0)</f>
        <v/>
      </c>
      <c r="T52" s="51">
        <f>IF(I52=1,$C52/(1+($B$111+시나리오!$A$4/10000)/2)^(J52-1),0)</f>
        <v/>
      </c>
      <c r="U52" s="51">
        <f>IF(I52=1,$C52/(1+($B$111+시나리오!$A$5/10000)/2)^(J52-1),0)</f>
        <v/>
      </c>
      <c r="V52" s="51">
        <f>IF(I52=1,$C52/(1+($B$111+시나리오!$A$6/10000)/2)^(J52-1),0)</f>
        <v/>
      </c>
      <c r="W52" s="51">
        <f>IF(I52=1,$C52/(1+($B$111+시나리오!$A$7/10000)/2)^(J52-1),0)</f>
        <v/>
      </c>
      <c r="X52" s="51">
        <f>IF(I52=1,$C52/(1+($B$111+시나리오!$A$8/10000)/2)^(J52-1),0)</f>
        <v/>
      </c>
      <c r="Y52" s="51">
        <f>IF(I52=1,$C52/(1+($B$111+시나리오!$A$9/10000)/2)^(J52-1),0)</f>
        <v/>
      </c>
      <c r="Z52" s="51">
        <f>IF(I52=1,$C52/(1+($B$111+시나리오!$A$10/10000)/2)^(J52-1),0)</f>
        <v/>
      </c>
      <c r="AA52" s="51">
        <f>IF(I52=1,$C52/(1+($B$111+시나리오!$A$11/10000)/2)^(J52-1),0)</f>
        <v/>
      </c>
      <c r="AB52" s="51">
        <f>IF(I52=1,$C52/(1+($B$111+시나리오!$A$12/10000)/2)^(J52-1),0)</f>
        <v/>
      </c>
      <c r="AC52" s="51">
        <f>IF(I52=1,$C52/(1+($B$111+시나리오!$A$13/10000)/2)^(J52-1),0)</f>
        <v/>
      </c>
      <c r="AD52" s="51">
        <f>IF(I52=1,$C52/(1+($B$111+시나리오!$A$14/10000)/2)^(J52-1),0)</f>
        <v/>
      </c>
      <c r="AE52" s="51">
        <f>IF(I52=1,$C52/(1+($B$111+시나리오!$A$15/10000)/2)^(J52-1),0)</f>
        <v/>
      </c>
      <c r="AF52" s="51">
        <f>IF(I52=1,$C52/(1+($B$111+시나리오!$A$16/10000)/2)^(J52-1),0)</f>
        <v/>
      </c>
      <c r="AG52" s="51">
        <f>IF(I52=1,$C52/(1+($B$111+시나리오!$A$17/10000)/2)^(J52-1),0)</f>
        <v/>
      </c>
      <c r="AH52" s="51">
        <f>IF(I52=1,$C52/(1+($B$111+시나리오!$A$18/10000)/2)^(J52-1),0)</f>
        <v/>
      </c>
      <c r="AI52" s="51">
        <f>IF(I52=1,$C52/(1+($B$111+시나리오!$A$19/10000)/2)^(J52-1),0)</f>
        <v/>
      </c>
      <c r="AJ52" s="51">
        <f>IF(I52=1,$C52/(1+($B$111+시나리오!$A$20/10000)/2)^(J52-1),0)</f>
        <v/>
      </c>
      <c r="AK52" s="51">
        <f>IF(I52=1,$C52/(1+($B$111+시나리오!$A$21/10000)/2)^(J52-1),0)</f>
        <v/>
      </c>
      <c r="AL52" s="51">
        <f>IF(I52=1,$C52/(1+($B$111+시나리오!$A$22/10000)/2)^(J52-1),0)</f>
        <v/>
      </c>
      <c r="AM52" s="51">
        <f>IF(I52=1,$C52/(1+($B$111+시나리오!$A$23/10000)/2)^(J52-1),0)</f>
        <v/>
      </c>
      <c r="AN52" s="51">
        <f>IF(I52=1,$C52/(1+($B$111+시나리오!$A$24/10000)/2)^(J52-1),0)</f>
        <v/>
      </c>
      <c r="AQ52" s="49" t="n">
        <v>38</v>
      </c>
      <c r="AR52" s="50">
        <f>EDATE($AR$2,-6*(62-$AQ52))</f>
        <v/>
      </c>
      <c r="AS52" s="51">
        <f>IF(AND(AR52&gt;$AR$3,AR52&lt;=$AR$2),IF(AR52=$AR$2,$AR$5+100,$AR$5),0)</f>
        <v/>
      </c>
      <c r="AT52" s="49">
        <f>IF(AND($AS52&gt;0,AR52&gt;$AR$6),1,0)</f>
        <v/>
      </c>
      <c r="AU52" s="49">
        <f>IF(AT52=1,SUM($AT$15:AT52),"")</f>
        <v/>
      </c>
      <c r="AV52" s="51">
        <f>IF(AT52=1,$AS52/(1+$AR$8/2)^(AU52-1),0)</f>
        <v/>
      </c>
      <c r="AW52" s="51">
        <f>IF(AT52=1,$AS52/(1+($AR$8+0.0001)/2)^(AU52-1),0)</f>
        <v/>
      </c>
      <c r="AX52" s="51">
        <f>IF(AT52=1,$AS52/(1+($AR$8-0.0001)/2)^(AU52-1),0)</f>
        <v/>
      </c>
      <c r="AY52" s="49">
        <f>IF(AND($AS52&gt;0,AR52&gt;$AR$7),1,0)</f>
        <v/>
      </c>
      <c r="AZ52" s="49">
        <f>IF(AY52=1,SUM($AY$15:AY52),"")</f>
        <v/>
      </c>
      <c r="BA52" s="51">
        <f>IF(AY52=1,$AS52/(1+$AR$104/2)^(AZ52-1),0)</f>
        <v/>
      </c>
      <c r="BB52" s="51">
        <f>IF(AY52=1,$AS52/(1+($AR$104+0.0001)/2)^(AZ52-1),0)</f>
        <v/>
      </c>
      <c r="BC52" s="51">
        <f>IF(AY52=1,$AS52/(1+($AR$104-0.0001)/2)^(AZ52-1),0)</f>
        <v/>
      </c>
      <c r="BD52" s="51">
        <f>IF(AY52=1,$AS52/(1+$AR$109/2)^(AZ52-1),0)</f>
        <v/>
      </c>
      <c r="BE52" s="51">
        <f>IF(AY52=1,$AS52/(1+$AR$111/2)^(AZ52-1),0)</f>
        <v/>
      </c>
      <c r="BF52" s="51">
        <f>IF(AY52=1,$AS52/(1+($AR$111+0.0001)/2)^(AZ52-1),0)</f>
        <v/>
      </c>
      <c r="BG52" s="51">
        <f>IF(AY52=1,$AS52/(1+($AR$111-0.0001)/2)^(AZ52-1),0)</f>
        <v/>
      </c>
      <c r="BH52" s="51">
        <f>IF(AND($AS52&gt;0,AR52&gt;$AR$6,AR52&lt;=$AR$7),$AS52*(1+$AR$10*($AR$7-AR52)/365),0)</f>
        <v/>
      </c>
      <c r="BI52" s="51">
        <f>IF(AY52=1,$AS52/(1+($AR$111+손익!$B$24/10000)/2)^(AZ52-1),0)</f>
        <v/>
      </c>
      <c r="BJ52" s="51">
        <f>IF(AY52=1,$AS52/(1+($AR$111+시나리오!$A$4/10000)/2)^(AZ52-1),0)</f>
        <v/>
      </c>
      <c r="BK52" s="51">
        <f>IF(AY52=1,$AS52/(1+($AR$111+시나리오!$A$5/10000)/2)^(AZ52-1),0)</f>
        <v/>
      </c>
      <c r="BL52" s="51">
        <f>IF(AY52=1,$AS52/(1+($AR$111+시나리오!$A$6/10000)/2)^(AZ52-1),0)</f>
        <v/>
      </c>
      <c r="BM52" s="51">
        <f>IF(AY52=1,$AS52/(1+($AR$111+시나리오!$A$7/10000)/2)^(AZ52-1),0)</f>
        <v/>
      </c>
      <c r="BN52" s="51">
        <f>IF(AY52=1,$AS52/(1+($AR$111+시나리오!$A$8/10000)/2)^(AZ52-1),0)</f>
        <v/>
      </c>
      <c r="BO52" s="51">
        <f>IF(AY52=1,$AS52/(1+($AR$111+시나리오!$A$9/10000)/2)^(AZ52-1),0)</f>
        <v/>
      </c>
      <c r="BP52" s="51">
        <f>IF(AY52=1,$AS52/(1+($AR$111+시나리오!$A$10/10000)/2)^(AZ52-1),0)</f>
        <v/>
      </c>
      <c r="BQ52" s="51">
        <f>IF(AY52=1,$AS52/(1+($AR$111+시나리오!$A$11/10000)/2)^(AZ52-1),0)</f>
        <v/>
      </c>
      <c r="BR52" s="51">
        <f>IF(AY52=1,$AS52/(1+($AR$111+시나리오!$A$12/10000)/2)^(AZ52-1),0)</f>
        <v/>
      </c>
      <c r="BS52" s="51">
        <f>IF(AY52=1,$AS52/(1+($AR$111+시나리오!$A$13/10000)/2)^(AZ52-1),0)</f>
        <v/>
      </c>
      <c r="BT52" s="51">
        <f>IF(AY52=1,$AS52/(1+($AR$111+시나리오!$A$14/10000)/2)^(AZ52-1),0)</f>
        <v/>
      </c>
      <c r="BU52" s="51">
        <f>IF(AY52=1,$AS52/(1+($AR$111+시나리오!$A$15/10000)/2)^(AZ52-1),0)</f>
        <v/>
      </c>
      <c r="BV52" s="51">
        <f>IF(AY52=1,$AS52/(1+($AR$111+시나리오!$A$16/10000)/2)^(AZ52-1),0)</f>
        <v/>
      </c>
      <c r="BW52" s="51">
        <f>IF(AY52=1,$AS52/(1+($AR$111+시나리오!$A$17/10000)/2)^(AZ52-1),0)</f>
        <v/>
      </c>
      <c r="BX52" s="51">
        <f>IF(AY52=1,$AS52/(1+($AR$111+시나리오!$A$18/10000)/2)^(AZ52-1),0)</f>
        <v/>
      </c>
      <c r="BY52" s="51">
        <f>IF(AY52=1,$AS52/(1+($AR$111+시나리오!$A$19/10000)/2)^(AZ52-1),0)</f>
        <v/>
      </c>
      <c r="BZ52" s="51">
        <f>IF(AY52=1,$AS52/(1+($AR$111+시나리오!$A$20/10000)/2)^(AZ52-1),0)</f>
        <v/>
      </c>
      <c r="CA52" s="51">
        <f>IF(AY52=1,$AS52/(1+($AR$111+시나리오!$A$21/10000)/2)^(AZ52-1),0)</f>
        <v/>
      </c>
      <c r="CB52" s="51">
        <f>IF(AY52=1,$AS52/(1+($AR$111+시나리오!$A$22/10000)/2)^(AZ52-1),0)</f>
        <v/>
      </c>
      <c r="CC52" s="51">
        <f>IF(AY52=1,$AS52/(1+($AR$111+시나리오!$A$23/10000)/2)^(AZ52-1),0)</f>
        <v/>
      </c>
      <c r="CD52" s="51">
        <f>IF(AY52=1,$AS52/(1+($AR$111+시나리오!$A$24/10000)/2)^(AZ52-1),0)</f>
        <v/>
      </c>
      <c r="CG52" s="49" t="n">
        <v>38</v>
      </c>
      <c r="CH52" s="50">
        <f>EDATE($CH$2,-6*(62-$CG52))</f>
        <v/>
      </c>
      <c r="CI52" s="51">
        <f>IF(AND(CH52&gt;$CH$3,CH52&lt;=$CH$2),IF(CH52=$CH$2,$CH$5+100,$CH$5),0)</f>
        <v/>
      </c>
      <c r="CJ52" s="49">
        <f>IF(AND($CI52&gt;0,CH52&gt;$CH$6),1,0)</f>
        <v/>
      </c>
      <c r="CK52" s="49">
        <f>IF(CJ52=1,SUM($CJ$15:CJ52),"")</f>
        <v/>
      </c>
      <c r="CL52" s="51">
        <f>IF(CJ52=1,$CI52/(1+$CH$8/2)^(CK52-1),0)</f>
        <v/>
      </c>
      <c r="CM52" s="51">
        <f>IF(CJ52=1,$CI52/(1+($CH$8+0.0001)/2)^(CK52-1),0)</f>
        <v/>
      </c>
      <c r="CN52" s="51">
        <f>IF(CJ52=1,$CI52/(1+($CH$8-0.0001)/2)^(CK52-1),0)</f>
        <v/>
      </c>
      <c r="CO52" s="49">
        <f>IF(AND($CI52&gt;0,CH52&gt;$CH$7),1,0)</f>
        <v/>
      </c>
      <c r="CP52" s="49">
        <f>IF(CO52=1,SUM($CO$15:CO52),"")</f>
        <v/>
      </c>
      <c r="CQ52" s="51">
        <f>IF(CO52=1,$CI52/(1+$CH$104/2)^(CP52-1),0)</f>
        <v/>
      </c>
      <c r="CR52" s="51">
        <f>IF(CO52=1,$CI52/(1+($CH$104+0.0001)/2)^(CP52-1),0)</f>
        <v/>
      </c>
      <c r="CS52" s="51">
        <f>IF(CO52=1,$CI52/(1+($CH$104-0.0001)/2)^(CP52-1),0)</f>
        <v/>
      </c>
      <c r="CT52" s="51">
        <f>IF(CO52=1,$CI52/(1+$CH$109/2)^(CP52-1),0)</f>
        <v/>
      </c>
      <c r="CU52" s="51">
        <f>IF(CO52=1,$CI52/(1+$CH$111/2)^(CP52-1),0)</f>
        <v/>
      </c>
      <c r="CV52" s="51">
        <f>IF(CO52=1,$CI52/(1+($CH$111+0.0001)/2)^(CP52-1),0)</f>
        <v/>
      </c>
      <c r="CW52" s="51">
        <f>IF(CO52=1,$CI52/(1+($CH$111-0.0001)/2)^(CP52-1),0)</f>
        <v/>
      </c>
      <c r="CX52" s="51">
        <f>IF(AND($CI52&gt;0,CH52&gt;$CH$6,CH52&lt;=$CH$7),$CI52*(1+$CH$10*($CH$7-CH52)/365),0)</f>
        <v/>
      </c>
      <c r="CY52" s="51">
        <f>IF(CO52=1,$CI52/(1+($CH$111+손익!$B$24/10000)/2)^(CP52-1),0)</f>
        <v/>
      </c>
      <c r="CZ52" s="51">
        <f>IF(CO52=1,$CI52/(1+($CH$111+시나리오!$A$4/10000)/2)^(CP52-1),0)</f>
        <v/>
      </c>
      <c r="DA52" s="51">
        <f>IF(CO52=1,$CI52/(1+($CH$111+시나리오!$A$5/10000)/2)^(CP52-1),0)</f>
        <v/>
      </c>
      <c r="DB52" s="51">
        <f>IF(CO52=1,$CI52/(1+($CH$111+시나리오!$A$6/10000)/2)^(CP52-1),0)</f>
        <v/>
      </c>
      <c r="DC52" s="51">
        <f>IF(CO52=1,$CI52/(1+($CH$111+시나리오!$A$7/10000)/2)^(CP52-1),0)</f>
        <v/>
      </c>
      <c r="DD52" s="51">
        <f>IF(CO52=1,$CI52/(1+($CH$111+시나리오!$A$8/10000)/2)^(CP52-1),0)</f>
        <v/>
      </c>
      <c r="DE52" s="51">
        <f>IF(CO52=1,$CI52/(1+($CH$111+시나리오!$A$9/10000)/2)^(CP52-1),0)</f>
        <v/>
      </c>
      <c r="DF52" s="51">
        <f>IF(CO52=1,$CI52/(1+($CH$111+시나리오!$A$10/10000)/2)^(CP52-1),0)</f>
        <v/>
      </c>
      <c r="DG52" s="51">
        <f>IF(CO52=1,$CI52/(1+($CH$111+시나리오!$A$11/10000)/2)^(CP52-1),0)</f>
        <v/>
      </c>
      <c r="DH52" s="51">
        <f>IF(CO52=1,$CI52/(1+($CH$111+시나리오!$A$12/10000)/2)^(CP52-1),0)</f>
        <v/>
      </c>
      <c r="DI52" s="51">
        <f>IF(CO52=1,$CI52/(1+($CH$111+시나리오!$A$13/10000)/2)^(CP52-1),0)</f>
        <v/>
      </c>
      <c r="DJ52" s="51">
        <f>IF(CO52=1,$CI52/(1+($CH$111+시나리오!$A$14/10000)/2)^(CP52-1),0)</f>
        <v/>
      </c>
      <c r="DK52" s="51">
        <f>IF(CO52=1,$CI52/(1+($CH$111+시나리오!$A$15/10000)/2)^(CP52-1),0)</f>
        <v/>
      </c>
      <c r="DL52" s="51">
        <f>IF(CO52=1,$CI52/(1+($CH$111+시나리오!$A$16/10000)/2)^(CP52-1),0)</f>
        <v/>
      </c>
      <c r="DM52" s="51">
        <f>IF(CO52=1,$CI52/(1+($CH$111+시나리오!$A$17/10000)/2)^(CP52-1),0)</f>
        <v/>
      </c>
      <c r="DN52" s="51">
        <f>IF(CO52=1,$CI52/(1+($CH$111+시나리오!$A$18/10000)/2)^(CP52-1),0)</f>
        <v/>
      </c>
      <c r="DO52" s="51">
        <f>IF(CO52=1,$CI52/(1+($CH$111+시나리오!$A$19/10000)/2)^(CP52-1),0)</f>
        <v/>
      </c>
      <c r="DP52" s="51">
        <f>IF(CO52=1,$CI52/(1+($CH$111+시나리오!$A$20/10000)/2)^(CP52-1),0)</f>
        <v/>
      </c>
      <c r="DQ52" s="51">
        <f>IF(CO52=1,$CI52/(1+($CH$111+시나리오!$A$21/10000)/2)^(CP52-1),0)</f>
        <v/>
      </c>
      <c r="DR52" s="51">
        <f>IF(CO52=1,$CI52/(1+($CH$111+시나리오!$A$22/10000)/2)^(CP52-1),0)</f>
        <v/>
      </c>
      <c r="DS52" s="51">
        <f>IF(CO52=1,$CI52/(1+($CH$111+시나리오!$A$23/10000)/2)^(CP52-1),0)</f>
        <v/>
      </c>
      <c r="DT52" s="51">
        <f>IF(CO52=1,$CI52/(1+($CH$111+시나리오!$A$24/10000)/2)^(CP52-1),0)</f>
        <v/>
      </c>
    </row>
    <row r="53">
      <c r="A53" s="49" t="n">
        <v>39</v>
      </c>
      <c r="B53" s="50">
        <f>EDATE($B$2,-6*(62-$A53))</f>
        <v/>
      </c>
      <c r="C53" s="51">
        <f>IF(AND(B53&gt;$B$3,B53&lt;=$B$2),IF(B53=$B$2,$B$5+100,$B$5),0)</f>
        <v/>
      </c>
      <c r="D53" s="49">
        <f>IF(AND($C53&gt;0,B53&gt;$B$6),1,0)</f>
        <v/>
      </c>
      <c r="E53" s="49">
        <f>IF(D53=1,SUM($D$15:D53),"")</f>
        <v/>
      </c>
      <c r="F53" s="51">
        <f>IF(D53=1,$C53/(1+$B$8/2)^(E53-1),0)</f>
        <v/>
      </c>
      <c r="G53" s="51">
        <f>IF(D53=1,$C53/(1+($B$8+0.0001)/2)^(E53-1),0)</f>
        <v/>
      </c>
      <c r="H53" s="51">
        <f>IF(D53=1,$C53/(1+($B$8-0.0001)/2)^(E53-1),0)</f>
        <v/>
      </c>
      <c r="I53" s="49">
        <f>IF(AND($C53&gt;0,B53&gt;$B$7),1,0)</f>
        <v/>
      </c>
      <c r="J53" s="49">
        <f>IF(I53=1,SUM($I$15:I53),"")</f>
        <v/>
      </c>
      <c r="K53" s="51">
        <f>IF(I53=1,$C53/(1+$B$104/2)^(J53-1),0)</f>
        <v/>
      </c>
      <c r="L53" s="51">
        <f>IF(I53=1,$C53/(1+($B$104+0.0001)/2)^(J53-1),0)</f>
        <v/>
      </c>
      <c r="M53" s="51">
        <f>IF(I53=1,$C53/(1+($B$104-0.0001)/2)^(J53-1),0)</f>
        <v/>
      </c>
      <c r="N53" s="51">
        <f>IF(I53=1,$C53/(1+$B$109/2)^(J53-1),0)</f>
        <v/>
      </c>
      <c r="O53" s="51">
        <f>IF(I53=1,$C53/(1+$B$111/2)^(J53-1),0)</f>
        <v/>
      </c>
      <c r="P53" s="51">
        <f>IF(I53=1,$C53/(1+($B$111+0.0001)/2)^(J53-1),0)</f>
        <v/>
      </c>
      <c r="Q53" s="51">
        <f>IF(I53=1,$C53/(1+($B$111-0.0001)/2)^(J53-1),0)</f>
        <v/>
      </c>
      <c r="R53" s="51">
        <f>IF(AND($C53&gt;0,B53&gt;$B$6,B53&lt;=$B$7),$C53*(1+$B$10*($B$7-B53)/365),0)</f>
        <v/>
      </c>
      <c r="S53" s="51">
        <f>IF(I53=1,$C53/(1+($B$111+손익!$B$24/10000)/2)^(J53-1),0)</f>
        <v/>
      </c>
      <c r="T53" s="51">
        <f>IF(I53=1,$C53/(1+($B$111+시나리오!$A$4/10000)/2)^(J53-1),0)</f>
        <v/>
      </c>
      <c r="U53" s="51">
        <f>IF(I53=1,$C53/(1+($B$111+시나리오!$A$5/10000)/2)^(J53-1),0)</f>
        <v/>
      </c>
      <c r="V53" s="51">
        <f>IF(I53=1,$C53/(1+($B$111+시나리오!$A$6/10000)/2)^(J53-1),0)</f>
        <v/>
      </c>
      <c r="W53" s="51">
        <f>IF(I53=1,$C53/(1+($B$111+시나리오!$A$7/10000)/2)^(J53-1),0)</f>
        <v/>
      </c>
      <c r="X53" s="51">
        <f>IF(I53=1,$C53/(1+($B$111+시나리오!$A$8/10000)/2)^(J53-1),0)</f>
        <v/>
      </c>
      <c r="Y53" s="51">
        <f>IF(I53=1,$C53/(1+($B$111+시나리오!$A$9/10000)/2)^(J53-1),0)</f>
        <v/>
      </c>
      <c r="Z53" s="51">
        <f>IF(I53=1,$C53/(1+($B$111+시나리오!$A$10/10000)/2)^(J53-1),0)</f>
        <v/>
      </c>
      <c r="AA53" s="51">
        <f>IF(I53=1,$C53/(1+($B$111+시나리오!$A$11/10000)/2)^(J53-1),0)</f>
        <v/>
      </c>
      <c r="AB53" s="51">
        <f>IF(I53=1,$C53/(1+($B$111+시나리오!$A$12/10000)/2)^(J53-1),0)</f>
        <v/>
      </c>
      <c r="AC53" s="51">
        <f>IF(I53=1,$C53/(1+($B$111+시나리오!$A$13/10000)/2)^(J53-1),0)</f>
        <v/>
      </c>
      <c r="AD53" s="51">
        <f>IF(I53=1,$C53/(1+($B$111+시나리오!$A$14/10000)/2)^(J53-1),0)</f>
        <v/>
      </c>
      <c r="AE53" s="51">
        <f>IF(I53=1,$C53/(1+($B$111+시나리오!$A$15/10000)/2)^(J53-1),0)</f>
        <v/>
      </c>
      <c r="AF53" s="51">
        <f>IF(I53=1,$C53/(1+($B$111+시나리오!$A$16/10000)/2)^(J53-1),0)</f>
        <v/>
      </c>
      <c r="AG53" s="51">
        <f>IF(I53=1,$C53/(1+($B$111+시나리오!$A$17/10000)/2)^(J53-1),0)</f>
        <v/>
      </c>
      <c r="AH53" s="51">
        <f>IF(I53=1,$C53/(1+($B$111+시나리오!$A$18/10000)/2)^(J53-1),0)</f>
        <v/>
      </c>
      <c r="AI53" s="51">
        <f>IF(I53=1,$C53/(1+($B$111+시나리오!$A$19/10000)/2)^(J53-1),0)</f>
        <v/>
      </c>
      <c r="AJ53" s="51">
        <f>IF(I53=1,$C53/(1+($B$111+시나리오!$A$20/10000)/2)^(J53-1),0)</f>
        <v/>
      </c>
      <c r="AK53" s="51">
        <f>IF(I53=1,$C53/(1+($B$111+시나리오!$A$21/10000)/2)^(J53-1),0)</f>
        <v/>
      </c>
      <c r="AL53" s="51">
        <f>IF(I53=1,$C53/(1+($B$111+시나리오!$A$22/10000)/2)^(J53-1),0)</f>
        <v/>
      </c>
      <c r="AM53" s="51">
        <f>IF(I53=1,$C53/(1+($B$111+시나리오!$A$23/10000)/2)^(J53-1),0)</f>
        <v/>
      </c>
      <c r="AN53" s="51">
        <f>IF(I53=1,$C53/(1+($B$111+시나리오!$A$24/10000)/2)^(J53-1),0)</f>
        <v/>
      </c>
      <c r="AQ53" s="49" t="n">
        <v>39</v>
      </c>
      <c r="AR53" s="50">
        <f>EDATE($AR$2,-6*(62-$AQ53))</f>
        <v/>
      </c>
      <c r="AS53" s="51">
        <f>IF(AND(AR53&gt;$AR$3,AR53&lt;=$AR$2),IF(AR53=$AR$2,$AR$5+100,$AR$5),0)</f>
        <v/>
      </c>
      <c r="AT53" s="49">
        <f>IF(AND($AS53&gt;0,AR53&gt;$AR$6),1,0)</f>
        <v/>
      </c>
      <c r="AU53" s="49">
        <f>IF(AT53=1,SUM($AT$15:AT53),"")</f>
        <v/>
      </c>
      <c r="AV53" s="51">
        <f>IF(AT53=1,$AS53/(1+$AR$8/2)^(AU53-1),0)</f>
        <v/>
      </c>
      <c r="AW53" s="51">
        <f>IF(AT53=1,$AS53/(1+($AR$8+0.0001)/2)^(AU53-1),0)</f>
        <v/>
      </c>
      <c r="AX53" s="51">
        <f>IF(AT53=1,$AS53/(1+($AR$8-0.0001)/2)^(AU53-1),0)</f>
        <v/>
      </c>
      <c r="AY53" s="49">
        <f>IF(AND($AS53&gt;0,AR53&gt;$AR$7),1,0)</f>
        <v/>
      </c>
      <c r="AZ53" s="49">
        <f>IF(AY53=1,SUM($AY$15:AY53),"")</f>
        <v/>
      </c>
      <c r="BA53" s="51">
        <f>IF(AY53=1,$AS53/(1+$AR$104/2)^(AZ53-1),0)</f>
        <v/>
      </c>
      <c r="BB53" s="51">
        <f>IF(AY53=1,$AS53/(1+($AR$104+0.0001)/2)^(AZ53-1),0)</f>
        <v/>
      </c>
      <c r="BC53" s="51">
        <f>IF(AY53=1,$AS53/(1+($AR$104-0.0001)/2)^(AZ53-1),0)</f>
        <v/>
      </c>
      <c r="BD53" s="51">
        <f>IF(AY53=1,$AS53/(1+$AR$109/2)^(AZ53-1),0)</f>
        <v/>
      </c>
      <c r="BE53" s="51">
        <f>IF(AY53=1,$AS53/(1+$AR$111/2)^(AZ53-1),0)</f>
        <v/>
      </c>
      <c r="BF53" s="51">
        <f>IF(AY53=1,$AS53/(1+($AR$111+0.0001)/2)^(AZ53-1),0)</f>
        <v/>
      </c>
      <c r="BG53" s="51">
        <f>IF(AY53=1,$AS53/(1+($AR$111-0.0001)/2)^(AZ53-1),0)</f>
        <v/>
      </c>
      <c r="BH53" s="51">
        <f>IF(AND($AS53&gt;0,AR53&gt;$AR$6,AR53&lt;=$AR$7),$AS53*(1+$AR$10*($AR$7-AR53)/365),0)</f>
        <v/>
      </c>
      <c r="BI53" s="51">
        <f>IF(AY53=1,$AS53/(1+($AR$111+손익!$B$24/10000)/2)^(AZ53-1),0)</f>
        <v/>
      </c>
      <c r="BJ53" s="51">
        <f>IF(AY53=1,$AS53/(1+($AR$111+시나리오!$A$4/10000)/2)^(AZ53-1),0)</f>
        <v/>
      </c>
      <c r="BK53" s="51">
        <f>IF(AY53=1,$AS53/(1+($AR$111+시나리오!$A$5/10000)/2)^(AZ53-1),0)</f>
        <v/>
      </c>
      <c r="BL53" s="51">
        <f>IF(AY53=1,$AS53/(1+($AR$111+시나리오!$A$6/10000)/2)^(AZ53-1),0)</f>
        <v/>
      </c>
      <c r="BM53" s="51">
        <f>IF(AY53=1,$AS53/(1+($AR$111+시나리오!$A$7/10000)/2)^(AZ53-1),0)</f>
        <v/>
      </c>
      <c r="BN53" s="51">
        <f>IF(AY53=1,$AS53/(1+($AR$111+시나리오!$A$8/10000)/2)^(AZ53-1),0)</f>
        <v/>
      </c>
      <c r="BO53" s="51">
        <f>IF(AY53=1,$AS53/(1+($AR$111+시나리오!$A$9/10000)/2)^(AZ53-1),0)</f>
        <v/>
      </c>
      <c r="BP53" s="51">
        <f>IF(AY53=1,$AS53/(1+($AR$111+시나리오!$A$10/10000)/2)^(AZ53-1),0)</f>
        <v/>
      </c>
      <c r="BQ53" s="51">
        <f>IF(AY53=1,$AS53/(1+($AR$111+시나리오!$A$11/10000)/2)^(AZ53-1),0)</f>
        <v/>
      </c>
      <c r="BR53" s="51">
        <f>IF(AY53=1,$AS53/(1+($AR$111+시나리오!$A$12/10000)/2)^(AZ53-1),0)</f>
        <v/>
      </c>
      <c r="BS53" s="51">
        <f>IF(AY53=1,$AS53/(1+($AR$111+시나리오!$A$13/10000)/2)^(AZ53-1),0)</f>
        <v/>
      </c>
      <c r="BT53" s="51">
        <f>IF(AY53=1,$AS53/(1+($AR$111+시나리오!$A$14/10000)/2)^(AZ53-1),0)</f>
        <v/>
      </c>
      <c r="BU53" s="51">
        <f>IF(AY53=1,$AS53/(1+($AR$111+시나리오!$A$15/10000)/2)^(AZ53-1),0)</f>
        <v/>
      </c>
      <c r="BV53" s="51">
        <f>IF(AY53=1,$AS53/(1+($AR$111+시나리오!$A$16/10000)/2)^(AZ53-1),0)</f>
        <v/>
      </c>
      <c r="BW53" s="51">
        <f>IF(AY53=1,$AS53/(1+($AR$111+시나리오!$A$17/10000)/2)^(AZ53-1),0)</f>
        <v/>
      </c>
      <c r="BX53" s="51">
        <f>IF(AY53=1,$AS53/(1+($AR$111+시나리오!$A$18/10000)/2)^(AZ53-1),0)</f>
        <v/>
      </c>
      <c r="BY53" s="51">
        <f>IF(AY53=1,$AS53/(1+($AR$111+시나리오!$A$19/10000)/2)^(AZ53-1),0)</f>
        <v/>
      </c>
      <c r="BZ53" s="51">
        <f>IF(AY53=1,$AS53/(1+($AR$111+시나리오!$A$20/10000)/2)^(AZ53-1),0)</f>
        <v/>
      </c>
      <c r="CA53" s="51">
        <f>IF(AY53=1,$AS53/(1+($AR$111+시나리오!$A$21/10000)/2)^(AZ53-1),0)</f>
        <v/>
      </c>
      <c r="CB53" s="51">
        <f>IF(AY53=1,$AS53/(1+($AR$111+시나리오!$A$22/10000)/2)^(AZ53-1),0)</f>
        <v/>
      </c>
      <c r="CC53" s="51">
        <f>IF(AY53=1,$AS53/(1+($AR$111+시나리오!$A$23/10000)/2)^(AZ53-1),0)</f>
        <v/>
      </c>
      <c r="CD53" s="51">
        <f>IF(AY53=1,$AS53/(1+($AR$111+시나리오!$A$24/10000)/2)^(AZ53-1),0)</f>
        <v/>
      </c>
      <c r="CG53" s="49" t="n">
        <v>39</v>
      </c>
      <c r="CH53" s="50">
        <f>EDATE($CH$2,-6*(62-$CG53))</f>
        <v/>
      </c>
      <c r="CI53" s="51">
        <f>IF(AND(CH53&gt;$CH$3,CH53&lt;=$CH$2),IF(CH53=$CH$2,$CH$5+100,$CH$5),0)</f>
        <v/>
      </c>
      <c r="CJ53" s="49">
        <f>IF(AND($CI53&gt;0,CH53&gt;$CH$6),1,0)</f>
        <v/>
      </c>
      <c r="CK53" s="49">
        <f>IF(CJ53=1,SUM($CJ$15:CJ53),"")</f>
        <v/>
      </c>
      <c r="CL53" s="51">
        <f>IF(CJ53=1,$CI53/(1+$CH$8/2)^(CK53-1),0)</f>
        <v/>
      </c>
      <c r="CM53" s="51">
        <f>IF(CJ53=1,$CI53/(1+($CH$8+0.0001)/2)^(CK53-1),0)</f>
        <v/>
      </c>
      <c r="CN53" s="51">
        <f>IF(CJ53=1,$CI53/(1+($CH$8-0.0001)/2)^(CK53-1),0)</f>
        <v/>
      </c>
      <c r="CO53" s="49">
        <f>IF(AND($CI53&gt;0,CH53&gt;$CH$7),1,0)</f>
        <v/>
      </c>
      <c r="CP53" s="49">
        <f>IF(CO53=1,SUM($CO$15:CO53),"")</f>
        <v/>
      </c>
      <c r="CQ53" s="51">
        <f>IF(CO53=1,$CI53/(1+$CH$104/2)^(CP53-1),0)</f>
        <v/>
      </c>
      <c r="CR53" s="51">
        <f>IF(CO53=1,$CI53/(1+($CH$104+0.0001)/2)^(CP53-1),0)</f>
        <v/>
      </c>
      <c r="CS53" s="51">
        <f>IF(CO53=1,$CI53/(1+($CH$104-0.0001)/2)^(CP53-1),0)</f>
        <v/>
      </c>
      <c r="CT53" s="51">
        <f>IF(CO53=1,$CI53/(1+$CH$109/2)^(CP53-1),0)</f>
        <v/>
      </c>
      <c r="CU53" s="51">
        <f>IF(CO53=1,$CI53/(1+$CH$111/2)^(CP53-1),0)</f>
        <v/>
      </c>
      <c r="CV53" s="51">
        <f>IF(CO53=1,$CI53/(1+($CH$111+0.0001)/2)^(CP53-1),0)</f>
        <v/>
      </c>
      <c r="CW53" s="51">
        <f>IF(CO53=1,$CI53/(1+($CH$111-0.0001)/2)^(CP53-1),0)</f>
        <v/>
      </c>
      <c r="CX53" s="51">
        <f>IF(AND($CI53&gt;0,CH53&gt;$CH$6,CH53&lt;=$CH$7),$CI53*(1+$CH$10*($CH$7-CH53)/365),0)</f>
        <v/>
      </c>
      <c r="CY53" s="51">
        <f>IF(CO53=1,$CI53/(1+($CH$111+손익!$B$24/10000)/2)^(CP53-1),0)</f>
        <v/>
      </c>
      <c r="CZ53" s="51">
        <f>IF(CO53=1,$CI53/(1+($CH$111+시나리오!$A$4/10000)/2)^(CP53-1),0)</f>
        <v/>
      </c>
      <c r="DA53" s="51">
        <f>IF(CO53=1,$CI53/(1+($CH$111+시나리오!$A$5/10000)/2)^(CP53-1),0)</f>
        <v/>
      </c>
      <c r="DB53" s="51">
        <f>IF(CO53=1,$CI53/(1+($CH$111+시나리오!$A$6/10000)/2)^(CP53-1),0)</f>
        <v/>
      </c>
      <c r="DC53" s="51">
        <f>IF(CO53=1,$CI53/(1+($CH$111+시나리오!$A$7/10000)/2)^(CP53-1),0)</f>
        <v/>
      </c>
      <c r="DD53" s="51">
        <f>IF(CO53=1,$CI53/(1+($CH$111+시나리오!$A$8/10000)/2)^(CP53-1),0)</f>
        <v/>
      </c>
      <c r="DE53" s="51">
        <f>IF(CO53=1,$CI53/(1+($CH$111+시나리오!$A$9/10000)/2)^(CP53-1),0)</f>
        <v/>
      </c>
      <c r="DF53" s="51">
        <f>IF(CO53=1,$CI53/(1+($CH$111+시나리오!$A$10/10000)/2)^(CP53-1),0)</f>
        <v/>
      </c>
      <c r="DG53" s="51">
        <f>IF(CO53=1,$CI53/(1+($CH$111+시나리오!$A$11/10000)/2)^(CP53-1),0)</f>
        <v/>
      </c>
      <c r="DH53" s="51">
        <f>IF(CO53=1,$CI53/(1+($CH$111+시나리오!$A$12/10000)/2)^(CP53-1),0)</f>
        <v/>
      </c>
      <c r="DI53" s="51">
        <f>IF(CO53=1,$CI53/(1+($CH$111+시나리오!$A$13/10000)/2)^(CP53-1),0)</f>
        <v/>
      </c>
      <c r="DJ53" s="51">
        <f>IF(CO53=1,$CI53/(1+($CH$111+시나리오!$A$14/10000)/2)^(CP53-1),0)</f>
        <v/>
      </c>
      <c r="DK53" s="51">
        <f>IF(CO53=1,$CI53/(1+($CH$111+시나리오!$A$15/10000)/2)^(CP53-1),0)</f>
        <v/>
      </c>
      <c r="DL53" s="51">
        <f>IF(CO53=1,$CI53/(1+($CH$111+시나리오!$A$16/10000)/2)^(CP53-1),0)</f>
        <v/>
      </c>
      <c r="DM53" s="51">
        <f>IF(CO53=1,$CI53/(1+($CH$111+시나리오!$A$17/10000)/2)^(CP53-1),0)</f>
        <v/>
      </c>
      <c r="DN53" s="51">
        <f>IF(CO53=1,$CI53/(1+($CH$111+시나리오!$A$18/10000)/2)^(CP53-1),0)</f>
        <v/>
      </c>
      <c r="DO53" s="51">
        <f>IF(CO53=1,$CI53/(1+($CH$111+시나리오!$A$19/10000)/2)^(CP53-1),0)</f>
        <v/>
      </c>
      <c r="DP53" s="51">
        <f>IF(CO53=1,$CI53/(1+($CH$111+시나리오!$A$20/10000)/2)^(CP53-1),0)</f>
        <v/>
      </c>
      <c r="DQ53" s="51">
        <f>IF(CO53=1,$CI53/(1+($CH$111+시나리오!$A$21/10000)/2)^(CP53-1),0)</f>
        <v/>
      </c>
      <c r="DR53" s="51">
        <f>IF(CO53=1,$CI53/(1+($CH$111+시나리오!$A$22/10000)/2)^(CP53-1),0)</f>
        <v/>
      </c>
      <c r="DS53" s="51">
        <f>IF(CO53=1,$CI53/(1+($CH$111+시나리오!$A$23/10000)/2)^(CP53-1),0)</f>
        <v/>
      </c>
      <c r="DT53" s="51">
        <f>IF(CO53=1,$CI53/(1+($CH$111+시나리오!$A$24/10000)/2)^(CP53-1),0)</f>
        <v/>
      </c>
    </row>
    <row r="54">
      <c r="A54" s="49" t="n">
        <v>40</v>
      </c>
      <c r="B54" s="50">
        <f>EDATE($B$2,-6*(62-$A54))</f>
        <v/>
      </c>
      <c r="C54" s="51">
        <f>IF(AND(B54&gt;$B$3,B54&lt;=$B$2),IF(B54=$B$2,$B$5+100,$B$5),0)</f>
        <v/>
      </c>
      <c r="D54" s="49">
        <f>IF(AND($C54&gt;0,B54&gt;$B$6),1,0)</f>
        <v/>
      </c>
      <c r="E54" s="49">
        <f>IF(D54=1,SUM($D$15:D54),"")</f>
        <v/>
      </c>
      <c r="F54" s="51">
        <f>IF(D54=1,$C54/(1+$B$8/2)^(E54-1),0)</f>
        <v/>
      </c>
      <c r="G54" s="51">
        <f>IF(D54=1,$C54/(1+($B$8+0.0001)/2)^(E54-1),0)</f>
        <v/>
      </c>
      <c r="H54" s="51">
        <f>IF(D54=1,$C54/(1+($B$8-0.0001)/2)^(E54-1),0)</f>
        <v/>
      </c>
      <c r="I54" s="49">
        <f>IF(AND($C54&gt;0,B54&gt;$B$7),1,0)</f>
        <v/>
      </c>
      <c r="J54" s="49">
        <f>IF(I54=1,SUM($I$15:I54),"")</f>
        <v/>
      </c>
      <c r="K54" s="51">
        <f>IF(I54=1,$C54/(1+$B$104/2)^(J54-1),0)</f>
        <v/>
      </c>
      <c r="L54" s="51">
        <f>IF(I54=1,$C54/(1+($B$104+0.0001)/2)^(J54-1),0)</f>
        <v/>
      </c>
      <c r="M54" s="51">
        <f>IF(I54=1,$C54/(1+($B$104-0.0001)/2)^(J54-1),0)</f>
        <v/>
      </c>
      <c r="N54" s="51">
        <f>IF(I54=1,$C54/(1+$B$109/2)^(J54-1),0)</f>
        <v/>
      </c>
      <c r="O54" s="51">
        <f>IF(I54=1,$C54/(1+$B$111/2)^(J54-1),0)</f>
        <v/>
      </c>
      <c r="P54" s="51">
        <f>IF(I54=1,$C54/(1+($B$111+0.0001)/2)^(J54-1),0)</f>
        <v/>
      </c>
      <c r="Q54" s="51">
        <f>IF(I54=1,$C54/(1+($B$111-0.0001)/2)^(J54-1),0)</f>
        <v/>
      </c>
      <c r="R54" s="51">
        <f>IF(AND($C54&gt;0,B54&gt;$B$6,B54&lt;=$B$7),$C54*(1+$B$10*($B$7-B54)/365),0)</f>
        <v/>
      </c>
      <c r="S54" s="51">
        <f>IF(I54=1,$C54/(1+($B$111+손익!$B$24/10000)/2)^(J54-1),0)</f>
        <v/>
      </c>
      <c r="T54" s="51">
        <f>IF(I54=1,$C54/(1+($B$111+시나리오!$A$4/10000)/2)^(J54-1),0)</f>
        <v/>
      </c>
      <c r="U54" s="51">
        <f>IF(I54=1,$C54/(1+($B$111+시나리오!$A$5/10000)/2)^(J54-1),0)</f>
        <v/>
      </c>
      <c r="V54" s="51">
        <f>IF(I54=1,$C54/(1+($B$111+시나리오!$A$6/10000)/2)^(J54-1),0)</f>
        <v/>
      </c>
      <c r="W54" s="51">
        <f>IF(I54=1,$C54/(1+($B$111+시나리오!$A$7/10000)/2)^(J54-1),0)</f>
        <v/>
      </c>
      <c r="X54" s="51">
        <f>IF(I54=1,$C54/(1+($B$111+시나리오!$A$8/10000)/2)^(J54-1),0)</f>
        <v/>
      </c>
      <c r="Y54" s="51">
        <f>IF(I54=1,$C54/(1+($B$111+시나리오!$A$9/10000)/2)^(J54-1),0)</f>
        <v/>
      </c>
      <c r="Z54" s="51">
        <f>IF(I54=1,$C54/(1+($B$111+시나리오!$A$10/10000)/2)^(J54-1),0)</f>
        <v/>
      </c>
      <c r="AA54" s="51">
        <f>IF(I54=1,$C54/(1+($B$111+시나리오!$A$11/10000)/2)^(J54-1),0)</f>
        <v/>
      </c>
      <c r="AB54" s="51">
        <f>IF(I54=1,$C54/(1+($B$111+시나리오!$A$12/10000)/2)^(J54-1),0)</f>
        <v/>
      </c>
      <c r="AC54" s="51">
        <f>IF(I54=1,$C54/(1+($B$111+시나리오!$A$13/10000)/2)^(J54-1),0)</f>
        <v/>
      </c>
      <c r="AD54" s="51">
        <f>IF(I54=1,$C54/(1+($B$111+시나리오!$A$14/10000)/2)^(J54-1),0)</f>
        <v/>
      </c>
      <c r="AE54" s="51">
        <f>IF(I54=1,$C54/(1+($B$111+시나리오!$A$15/10000)/2)^(J54-1),0)</f>
        <v/>
      </c>
      <c r="AF54" s="51">
        <f>IF(I54=1,$C54/(1+($B$111+시나리오!$A$16/10000)/2)^(J54-1),0)</f>
        <v/>
      </c>
      <c r="AG54" s="51">
        <f>IF(I54=1,$C54/(1+($B$111+시나리오!$A$17/10000)/2)^(J54-1),0)</f>
        <v/>
      </c>
      <c r="AH54" s="51">
        <f>IF(I54=1,$C54/(1+($B$111+시나리오!$A$18/10000)/2)^(J54-1),0)</f>
        <v/>
      </c>
      <c r="AI54" s="51">
        <f>IF(I54=1,$C54/(1+($B$111+시나리오!$A$19/10000)/2)^(J54-1),0)</f>
        <v/>
      </c>
      <c r="AJ54" s="51">
        <f>IF(I54=1,$C54/(1+($B$111+시나리오!$A$20/10000)/2)^(J54-1),0)</f>
        <v/>
      </c>
      <c r="AK54" s="51">
        <f>IF(I54=1,$C54/(1+($B$111+시나리오!$A$21/10000)/2)^(J54-1),0)</f>
        <v/>
      </c>
      <c r="AL54" s="51">
        <f>IF(I54=1,$C54/(1+($B$111+시나리오!$A$22/10000)/2)^(J54-1),0)</f>
        <v/>
      </c>
      <c r="AM54" s="51">
        <f>IF(I54=1,$C54/(1+($B$111+시나리오!$A$23/10000)/2)^(J54-1),0)</f>
        <v/>
      </c>
      <c r="AN54" s="51">
        <f>IF(I54=1,$C54/(1+($B$111+시나리오!$A$24/10000)/2)^(J54-1),0)</f>
        <v/>
      </c>
      <c r="AQ54" s="49" t="n">
        <v>40</v>
      </c>
      <c r="AR54" s="50">
        <f>EDATE($AR$2,-6*(62-$AQ54))</f>
        <v/>
      </c>
      <c r="AS54" s="51">
        <f>IF(AND(AR54&gt;$AR$3,AR54&lt;=$AR$2),IF(AR54=$AR$2,$AR$5+100,$AR$5),0)</f>
        <v/>
      </c>
      <c r="AT54" s="49">
        <f>IF(AND($AS54&gt;0,AR54&gt;$AR$6),1,0)</f>
        <v/>
      </c>
      <c r="AU54" s="49">
        <f>IF(AT54=1,SUM($AT$15:AT54),"")</f>
        <v/>
      </c>
      <c r="AV54" s="51">
        <f>IF(AT54=1,$AS54/(1+$AR$8/2)^(AU54-1),0)</f>
        <v/>
      </c>
      <c r="AW54" s="51">
        <f>IF(AT54=1,$AS54/(1+($AR$8+0.0001)/2)^(AU54-1),0)</f>
        <v/>
      </c>
      <c r="AX54" s="51">
        <f>IF(AT54=1,$AS54/(1+($AR$8-0.0001)/2)^(AU54-1),0)</f>
        <v/>
      </c>
      <c r="AY54" s="49">
        <f>IF(AND($AS54&gt;0,AR54&gt;$AR$7),1,0)</f>
        <v/>
      </c>
      <c r="AZ54" s="49">
        <f>IF(AY54=1,SUM($AY$15:AY54),"")</f>
        <v/>
      </c>
      <c r="BA54" s="51">
        <f>IF(AY54=1,$AS54/(1+$AR$104/2)^(AZ54-1),0)</f>
        <v/>
      </c>
      <c r="BB54" s="51">
        <f>IF(AY54=1,$AS54/(1+($AR$104+0.0001)/2)^(AZ54-1),0)</f>
        <v/>
      </c>
      <c r="BC54" s="51">
        <f>IF(AY54=1,$AS54/(1+($AR$104-0.0001)/2)^(AZ54-1),0)</f>
        <v/>
      </c>
      <c r="BD54" s="51">
        <f>IF(AY54=1,$AS54/(1+$AR$109/2)^(AZ54-1),0)</f>
        <v/>
      </c>
      <c r="BE54" s="51">
        <f>IF(AY54=1,$AS54/(1+$AR$111/2)^(AZ54-1),0)</f>
        <v/>
      </c>
      <c r="BF54" s="51">
        <f>IF(AY54=1,$AS54/(1+($AR$111+0.0001)/2)^(AZ54-1),0)</f>
        <v/>
      </c>
      <c r="BG54" s="51">
        <f>IF(AY54=1,$AS54/(1+($AR$111-0.0001)/2)^(AZ54-1),0)</f>
        <v/>
      </c>
      <c r="BH54" s="51">
        <f>IF(AND($AS54&gt;0,AR54&gt;$AR$6,AR54&lt;=$AR$7),$AS54*(1+$AR$10*($AR$7-AR54)/365),0)</f>
        <v/>
      </c>
      <c r="BI54" s="51">
        <f>IF(AY54=1,$AS54/(1+($AR$111+손익!$B$24/10000)/2)^(AZ54-1),0)</f>
        <v/>
      </c>
      <c r="BJ54" s="51">
        <f>IF(AY54=1,$AS54/(1+($AR$111+시나리오!$A$4/10000)/2)^(AZ54-1),0)</f>
        <v/>
      </c>
      <c r="BK54" s="51">
        <f>IF(AY54=1,$AS54/(1+($AR$111+시나리오!$A$5/10000)/2)^(AZ54-1),0)</f>
        <v/>
      </c>
      <c r="BL54" s="51">
        <f>IF(AY54=1,$AS54/(1+($AR$111+시나리오!$A$6/10000)/2)^(AZ54-1),0)</f>
        <v/>
      </c>
      <c r="BM54" s="51">
        <f>IF(AY54=1,$AS54/(1+($AR$111+시나리오!$A$7/10000)/2)^(AZ54-1),0)</f>
        <v/>
      </c>
      <c r="BN54" s="51">
        <f>IF(AY54=1,$AS54/(1+($AR$111+시나리오!$A$8/10000)/2)^(AZ54-1),0)</f>
        <v/>
      </c>
      <c r="BO54" s="51">
        <f>IF(AY54=1,$AS54/(1+($AR$111+시나리오!$A$9/10000)/2)^(AZ54-1),0)</f>
        <v/>
      </c>
      <c r="BP54" s="51">
        <f>IF(AY54=1,$AS54/(1+($AR$111+시나리오!$A$10/10000)/2)^(AZ54-1),0)</f>
        <v/>
      </c>
      <c r="BQ54" s="51">
        <f>IF(AY54=1,$AS54/(1+($AR$111+시나리오!$A$11/10000)/2)^(AZ54-1),0)</f>
        <v/>
      </c>
      <c r="BR54" s="51">
        <f>IF(AY54=1,$AS54/(1+($AR$111+시나리오!$A$12/10000)/2)^(AZ54-1),0)</f>
        <v/>
      </c>
      <c r="BS54" s="51">
        <f>IF(AY54=1,$AS54/(1+($AR$111+시나리오!$A$13/10000)/2)^(AZ54-1),0)</f>
        <v/>
      </c>
      <c r="BT54" s="51">
        <f>IF(AY54=1,$AS54/(1+($AR$111+시나리오!$A$14/10000)/2)^(AZ54-1),0)</f>
        <v/>
      </c>
      <c r="BU54" s="51">
        <f>IF(AY54=1,$AS54/(1+($AR$111+시나리오!$A$15/10000)/2)^(AZ54-1),0)</f>
        <v/>
      </c>
      <c r="BV54" s="51">
        <f>IF(AY54=1,$AS54/(1+($AR$111+시나리오!$A$16/10000)/2)^(AZ54-1),0)</f>
        <v/>
      </c>
      <c r="BW54" s="51">
        <f>IF(AY54=1,$AS54/(1+($AR$111+시나리오!$A$17/10000)/2)^(AZ54-1),0)</f>
        <v/>
      </c>
      <c r="BX54" s="51">
        <f>IF(AY54=1,$AS54/(1+($AR$111+시나리오!$A$18/10000)/2)^(AZ54-1),0)</f>
        <v/>
      </c>
      <c r="BY54" s="51">
        <f>IF(AY54=1,$AS54/(1+($AR$111+시나리오!$A$19/10000)/2)^(AZ54-1),0)</f>
        <v/>
      </c>
      <c r="BZ54" s="51">
        <f>IF(AY54=1,$AS54/(1+($AR$111+시나리오!$A$20/10000)/2)^(AZ54-1),0)</f>
        <v/>
      </c>
      <c r="CA54" s="51">
        <f>IF(AY54=1,$AS54/(1+($AR$111+시나리오!$A$21/10000)/2)^(AZ54-1),0)</f>
        <v/>
      </c>
      <c r="CB54" s="51">
        <f>IF(AY54=1,$AS54/(1+($AR$111+시나리오!$A$22/10000)/2)^(AZ54-1),0)</f>
        <v/>
      </c>
      <c r="CC54" s="51">
        <f>IF(AY54=1,$AS54/(1+($AR$111+시나리오!$A$23/10000)/2)^(AZ54-1),0)</f>
        <v/>
      </c>
      <c r="CD54" s="51">
        <f>IF(AY54=1,$AS54/(1+($AR$111+시나리오!$A$24/10000)/2)^(AZ54-1),0)</f>
        <v/>
      </c>
      <c r="CG54" s="49" t="n">
        <v>40</v>
      </c>
      <c r="CH54" s="50">
        <f>EDATE($CH$2,-6*(62-$CG54))</f>
        <v/>
      </c>
      <c r="CI54" s="51">
        <f>IF(AND(CH54&gt;$CH$3,CH54&lt;=$CH$2),IF(CH54=$CH$2,$CH$5+100,$CH$5),0)</f>
        <v/>
      </c>
      <c r="CJ54" s="49">
        <f>IF(AND($CI54&gt;0,CH54&gt;$CH$6),1,0)</f>
        <v/>
      </c>
      <c r="CK54" s="49">
        <f>IF(CJ54=1,SUM($CJ$15:CJ54),"")</f>
        <v/>
      </c>
      <c r="CL54" s="51">
        <f>IF(CJ54=1,$CI54/(1+$CH$8/2)^(CK54-1),0)</f>
        <v/>
      </c>
      <c r="CM54" s="51">
        <f>IF(CJ54=1,$CI54/(1+($CH$8+0.0001)/2)^(CK54-1),0)</f>
        <v/>
      </c>
      <c r="CN54" s="51">
        <f>IF(CJ54=1,$CI54/(1+($CH$8-0.0001)/2)^(CK54-1),0)</f>
        <v/>
      </c>
      <c r="CO54" s="49">
        <f>IF(AND($CI54&gt;0,CH54&gt;$CH$7),1,0)</f>
        <v/>
      </c>
      <c r="CP54" s="49">
        <f>IF(CO54=1,SUM($CO$15:CO54),"")</f>
        <v/>
      </c>
      <c r="CQ54" s="51">
        <f>IF(CO54=1,$CI54/(1+$CH$104/2)^(CP54-1),0)</f>
        <v/>
      </c>
      <c r="CR54" s="51">
        <f>IF(CO54=1,$CI54/(1+($CH$104+0.0001)/2)^(CP54-1),0)</f>
        <v/>
      </c>
      <c r="CS54" s="51">
        <f>IF(CO54=1,$CI54/(1+($CH$104-0.0001)/2)^(CP54-1),0)</f>
        <v/>
      </c>
      <c r="CT54" s="51">
        <f>IF(CO54=1,$CI54/(1+$CH$109/2)^(CP54-1),0)</f>
        <v/>
      </c>
      <c r="CU54" s="51">
        <f>IF(CO54=1,$CI54/(1+$CH$111/2)^(CP54-1),0)</f>
        <v/>
      </c>
      <c r="CV54" s="51">
        <f>IF(CO54=1,$CI54/(1+($CH$111+0.0001)/2)^(CP54-1),0)</f>
        <v/>
      </c>
      <c r="CW54" s="51">
        <f>IF(CO54=1,$CI54/(1+($CH$111-0.0001)/2)^(CP54-1),0)</f>
        <v/>
      </c>
      <c r="CX54" s="51">
        <f>IF(AND($CI54&gt;0,CH54&gt;$CH$6,CH54&lt;=$CH$7),$CI54*(1+$CH$10*($CH$7-CH54)/365),0)</f>
        <v/>
      </c>
      <c r="CY54" s="51">
        <f>IF(CO54=1,$CI54/(1+($CH$111+손익!$B$24/10000)/2)^(CP54-1),0)</f>
        <v/>
      </c>
      <c r="CZ54" s="51">
        <f>IF(CO54=1,$CI54/(1+($CH$111+시나리오!$A$4/10000)/2)^(CP54-1),0)</f>
        <v/>
      </c>
      <c r="DA54" s="51">
        <f>IF(CO54=1,$CI54/(1+($CH$111+시나리오!$A$5/10000)/2)^(CP54-1),0)</f>
        <v/>
      </c>
      <c r="DB54" s="51">
        <f>IF(CO54=1,$CI54/(1+($CH$111+시나리오!$A$6/10000)/2)^(CP54-1),0)</f>
        <v/>
      </c>
      <c r="DC54" s="51">
        <f>IF(CO54=1,$CI54/(1+($CH$111+시나리오!$A$7/10000)/2)^(CP54-1),0)</f>
        <v/>
      </c>
      <c r="DD54" s="51">
        <f>IF(CO54=1,$CI54/(1+($CH$111+시나리오!$A$8/10000)/2)^(CP54-1),0)</f>
        <v/>
      </c>
      <c r="DE54" s="51">
        <f>IF(CO54=1,$CI54/(1+($CH$111+시나리오!$A$9/10000)/2)^(CP54-1),0)</f>
        <v/>
      </c>
      <c r="DF54" s="51">
        <f>IF(CO54=1,$CI54/(1+($CH$111+시나리오!$A$10/10000)/2)^(CP54-1),0)</f>
        <v/>
      </c>
      <c r="DG54" s="51">
        <f>IF(CO54=1,$CI54/(1+($CH$111+시나리오!$A$11/10000)/2)^(CP54-1),0)</f>
        <v/>
      </c>
      <c r="DH54" s="51">
        <f>IF(CO54=1,$CI54/(1+($CH$111+시나리오!$A$12/10000)/2)^(CP54-1),0)</f>
        <v/>
      </c>
      <c r="DI54" s="51">
        <f>IF(CO54=1,$CI54/(1+($CH$111+시나리오!$A$13/10000)/2)^(CP54-1),0)</f>
        <v/>
      </c>
      <c r="DJ54" s="51">
        <f>IF(CO54=1,$CI54/(1+($CH$111+시나리오!$A$14/10000)/2)^(CP54-1),0)</f>
        <v/>
      </c>
      <c r="DK54" s="51">
        <f>IF(CO54=1,$CI54/(1+($CH$111+시나리오!$A$15/10000)/2)^(CP54-1),0)</f>
        <v/>
      </c>
      <c r="DL54" s="51">
        <f>IF(CO54=1,$CI54/(1+($CH$111+시나리오!$A$16/10000)/2)^(CP54-1),0)</f>
        <v/>
      </c>
      <c r="DM54" s="51">
        <f>IF(CO54=1,$CI54/(1+($CH$111+시나리오!$A$17/10000)/2)^(CP54-1),0)</f>
        <v/>
      </c>
      <c r="DN54" s="51">
        <f>IF(CO54=1,$CI54/(1+($CH$111+시나리오!$A$18/10000)/2)^(CP54-1),0)</f>
        <v/>
      </c>
      <c r="DO54" s="51">
        <f>IF(CO54=1,$CI54/(1+($CH$111+시나리오!$A$19/10000)/2)^(CP54-1),0)</f>
        <v/>
      </c>
      <c r="DP54" s="51">
        <f>IF(CO54=1,$CI54/(1+($CH$111+시나리오!$A$20/10000)/2)^(CP54-1),0)</f>
        <v/>
      </c>
      <c r="DQ54" s="51">
        <f>IF(CO54=1,$CI54/(1+($CH$111+시나리오!$A$21/10000)/2)^(CP54-1),0)</f>
        <v/>
      </c>
      <c r="DR54" s="51">
        <f>IF(CO54=1,$CI54/(1+($CH$111+시나리오!$A$22/10000)/2)^(CP54-1),0)</f>
        <v/>
      </c>
      <c r="DS54" s="51">
        <f>IF(CO54=1,$CI54/(1+($CH$111+시나리오!$A$23/10000)/2)^(CP54-1),0)</f>
        <v/>
      </c>
      <c r="DT54" s="51">
        <f>IF(CO54=1,$CI54/(1+($CH$111+시나리오!$A$24/10000)/2)^(CP54-1),0)</f>
        <v/>
      </c>
    </row>
    <row r="55">
      <c r="A55" s="49" t="n">
        <v>41</v>
      </c>
      <c r="B55" s="50">
        <f>EDATE($B$2,-6*(62-$A55))</f>
        <v/>
      </c>
      <c r="C55" s="51">
        <f>IF(AND(B55&gt;$B$3,B55&lt;=$B$2),IF(B55=$B$2,$B$5+100,$B$5),0)</f>
        <v/>
      </c>
      <c r="D55" s="49">
        <f>IF(AND($C55&gt;0,B55&gt;$B$6),1,0)</f>
        <v/>
      </c>
      <c r="E55" s="49">
        <f>IF(D55=1,SUM($D$15:D55),"")</f>
        <v/>
      </c>
      <c r="F55" s="51">
        <f>IF(D55=1,$C55/(1+$B$8/2)^(E55-1),0)</f>
        <v/>
      </c>
      <c r="G55" s="51">
        <f>IF(D55=1,$C55/(1+($B$8+0.0001)/2)^(E55-1),0)</f>
        <v/>
      </c>
      <c r="H55" s="51">
        <f>IF(D55=1,$C55/(1+($B$8-0.0001)/2)^(E55-1),0)</f>
        <v/>
      </c>
      <c r="I55" s="49">
        <f>IF(AND($C55&gt;0,B55&gt;$B$7),1,0)</f>
        <v/>
      </c>
      <c r="J55" s="49">
        <f>IF(I55=1,SUM($I$15:I55),"")</f>
        <v/>
      </c>
      <c r="K55" s="51">
        <f>IF(I55=1,$C55/(1+$B$104/2)^(J55-1),0)</f>
        <v/>
      </c>
      <c r="L55" s="51">
        <f>IF(I55=1,$C55/(1+($B$104+0.0001)/2)^(J55-1),0)</f>
        <v/>
      </c>
      <c r="M55" s="51">
        <f>IF(I55=1,$C55/(1+($B$104-0.0001)/2)^(J55-1),0)</f>
        <v/>
      </c>
      <c r="N55" s="51">
        <f>IF(I55=1,$C55/(1+$B$109/2)^(J55-1),0)</f>
        <v/>
      </c>
      <c r="O55" s="51">
        <f>IF(I55=1,$C55/(1+$B$111/2)^(J55-1),0)</f>
        <v/>
      </c>
      <c r="P55" s="51">
        <f>IF(I55=1,$C55/(1+($B$111+0.0001)/2)^(J55-1),0)</f>
        <v/>
      </c>
      <c r="Q55" s="51">
        <f>IF(I55=1,$C55/(1+($B$111-0.0001)/2)^(J55-1),0)</f>
        <v/>
      </c>
      <c r="R55" s="51">
        <f>IF(AND($C55&gt;0,B55&gt;$B$6,B55&lt;=$B$7),$C55*(1+$B$10*($B$7-B55)/365),0)</f>
        <v/>
      </c>
      <c r="S55" s="51">
        <f>IF(I55=1,$C55/(1+($B$111+손익!$B$24/10000)/2)^(J55-1),0)</f>
        <v/>
      </c>
      <c r="T55" s="51">
        <f>IF(I55=1,$C55/(1+($B$111+시나리오!$A$4/10000)/2)^(J55-1),0)</f>
        <v/>
      </c>
      <c r="U55" s="51">
        <f>IF(I55=1,$C55/(1+($B$111+시나리오!$A$5/10000)/2)^(J55-1),0)</f>
        <v/>
      </c>
      <c r="V55" s="51">
        <f>IF(I55=1,$C55/(1+($B$111+시나리오!$A$6/10000)/2)^(J55-1),0)</f>
        <v/>
      </c>
      <c r="W55" s="51">
        <f>IF(I55=1,$C55/(1+($B$111+시나리오!$A$7/10000)/2)^(J55-1),0)</f>
        <v/>
      </c>
      <c r="X55" s="51">
        <f>IF(I55=1,$C55/(1+($B$111+시나리오!$A$8/10000)/2)^(J55-1),0)</f>
        <v/>
      </c>
      <c r="Y55" s="51">
        <f>IF(I55=1,$C55/(1+($B$111+시나리오!$A$9/10000)/2)^(J55-1),0)</f>
        <v/>
      </c>
      <c r="Z55" s="51">
        <f>IF(I55=1,$C55/(1+($B$111+시나리오!$A$10/10000)/2)^(J55-1),0)</f>
        <v/>
      </c>
      <c r="AA55" s="51">
        <f>IF(I55=1,$C55/(1+($B$111+시나리오!$A$11/10000)/2)^(J55-1),0)</f>
        <v/>
      </c>
      <c r="AB55" s="51">
        <f>IF(I55=1,$C55/(1+($B$111+시나리오!$A$12/10000)/2)^(J55-1),0)</f>
        <v/>
      </c>
      <c r="AC55" s="51">
        <f>IF(I55=1,$C55/(1+($B$111+시나리오!$A$13/10000)/2)^(J55-1),0)</f>
        <v/>
      </c>
      <c r="AD55" s="51">
        <f>IF(I55=1,$C55/(1+($B$111+시나리오!$A$14/10000)/2)^(J55-1),0)</f>
        <v/>
      </c>
      <c r="AE55" s="51">
        <f>IF(I55=1,$C55/(1+($B$111+시나리오!$A$15/10000)/2)^(J55-1),0)</f>
        <v/>
      </c>
      <c r="AF55" s="51">
        <f>IF(I55=1,$C55/(1+($B$111+시나리오!$A$16/10000)/2)^(J55-1),0)</f>
        <v/>
      </c>
      <c r="AG55" s="51">
        <f>IF(I55=1,$C55/(1+($B$111+시나리오!$A$17/10000)/2)^(J55-1),0)</f>
        <v/>
      </c>
      <c r="AH55" s="51">
        <f>IF(I55=1,$C55/(1+($B$111+시나리오!$A$18/10000)/2)^(J55-1),0)</f>
        <v/>
      </c>
      <c r="AI55" s="51">
        <f>IF(I55=1,$C55/(1+($B$111+시나리오!$A$19/10000)/2)^(J55-1),0)</f>
        <v/>
      </c>
      <c r="AJ55" s="51">
        <f>IF(I55=1,$C55/(1+($B$111+시나리오!$A$20/10000)/2)^(J55-1),0)</f>
        <v/>
      </c>
      <c r="AK55" s="51">
        <f>IF(I55=1,$C55/(1+($B$111+시나리오!$A$21/10000)/2)^(J55-1),0)</f>
        <v/>
      </c>
      <c r="AL55" s="51">
        <f>IF(I55=1,$C55/(1+($B$111+시나리오!$A$22/10000)/2)^(J55-1),0)</f>
        <v/>
      </c>
      <c r="AM55" s="51">
        <f>IF(I55=1,$C55/(1+($B$111+시나리오!$A$23/10000)/2)^(J55-1),0)</f>
        <v/>
      </c>
      <c r="AN55" s="51">
        <f>IF(I55=1,$C55/(1+($B$111+시나리오!$A$24/10000)/2)^(J55-1),0)</f>
        <v/>
      </c>
      <c r="AQ55" s="49" t="n">
        <v>41</v>
      </c>
      <c r="AR55" s="50">
        <f>EDATE($AR$2,-6*(62-$AQ55))</f>
        <v/>
      </c>
      <c r="AS55" s="51">
        <f>IF(AND(AR55&gt;$AR$3,AR55&lt;=$AR$2),IF(AR55=$AR$2,$AR$5+100,$AR$5),0)</f>
        <v/>
      </c>
      <c r="AT55" s="49">
        <f>IF(AND($AS55&gt;0,AR55&gt;$AR$6),1,0)</f>
        <v/>
      </c>
      <c r="AU55" s="49">
        <f>IF(AT55=1,SUM($AT$15:AT55),"")</f>
        <v/>
      </c>
      <c r="AV55" s="51">
        <f>IF(AT55=1,$AS55/(1+$AR$8/2)^(AU55-1),0)</f>
        <v/>
      </c>
      <c r="AW55" s="51">
        <f>IF(AT55=1,$AS55/(1+($AR$8+0.0001)/2)^(AU55-1),0)</f>
        <v/>
      </c>
      <c r="AX55" s="51">
        <f>IF(AT55=1,$AS55/(1+($AR$8-0.0001)/2)^(AU55-1),0)</f>
        <v/>
      </c>
      <c r="AY55" s="49">
        <f>IF(AND($AS55&gt;0,AR55&gt;$AR$7),1,0)</f>
        <v/>
      </c>
      <c r="AZ55" s="49">
        <f>IF(AY55=1,SUM($AY$15:AY55),"")</f>
        <v/>
      </c>
      <c r="BA55" s="51">
        <f>IF(AY55=1,$AS55/(1+$AR$104/2)^(AZ55-1),0)</f>
        <v/>
      </c>
      <c r="BB55" s="51">
        <f>IF(AY55=1,$AS55/(1+($AR$104+0.0001)/2)^(AZ55-1),0)</f>
        <v/>
      </c>
      <c r="BC55" s="51">
        <f>IF(AY55=1,$AS55/(1+($AR$104-0.0001)/2)^(AZ55-1),0)</f>
        <v/>
      </c>
      <c r="BD55" s="51">
        <f>IF(AY55=1,$AS55/(1+$AR$109/2)^(AZ55-1),0)</f>
        <v/>
      </c>
      <c r="BE55" s="51">
        <f>IF(AY55=1,$AS55/(1+$AR$111/2)^(AZ55-1),0)</f>
        <v/>
      </c>
      <c r="BF55" s="51">
        <f>IF(AY55=1,$AS55/(1+($AR$111+0.0001)/2)^(AZ55-1),0)</f>
        <v/>
      </c>
      <c r="BG55" s="51">
        <f>IF(AY55=1,$AS55/(1+($AR$111-0.0001)/2)^(AZ55-1),0)</f>
        <v/>
      </c>
      <c r="BH55" s="51">
        <f>IF(AND($AS55&gt;0,AR55&gt;$AR$6,AR55&lt;=$AR$7),$AS55*(1+$AR$10*($AR$7-AR55)/365),0)</f>
        <v/>
      </c>
      <c r="BI55" s="51">
        <f>IF(AY55=1,$AS55/(1+($AR$111+손익!$B$24/10000)/2)^(AZ55-1),0)</f>
        <v/>
      </c>
      <c r="BJ55" s="51">
        <f>IF(AY55=1,$AS55/(1+($AR$111+시나리오!$A$4/10000)/2)^(AZ55-1),0)</f>
        <v/>
      </c>
      <c r="BK55" s="51">
        <f>IF(AY55=1,$AS55/(1+($AR$111+시나리오!$A$5/10000)/2)^(AZ55-1),0)</f>
        <v/>
      </c>
      <c r="BL55" s="51">
        <f>IF(AY55=1,$AS55/(1+($AR$111+시나리오!$A$6/10000)/2)^(AZ55-1),0)</f>
        <v/>
      </c>
      <c r="BM55" s="51">
        <f>IF(AY55=1,$AS55/(1+($AR$111+시나리오!$A$7/10000)/2)^(AZ55-1),0)</f>
        <v/>
      </c>
      <c r="BN55" s="51">
        <f>IF(AY55=1,$AS55/(1+($AR$111+시나리오!$A$8/10000)/2)^(AZ55-1),0)</f>
        <v/>
      </c>
      <c r="BO55" s="51">
        <f>IF(AY55=1,$AS55/(1+($AR$111+시나리오!$A$9/10000)/2)^(AZ55-1),0)</f>
        <v/>
      </c>
      <c r="BP55" s="51">
        <f>IF(AY55=1,$AS55/(1+($AR$111+시나리오!$A$10/10000)/2)^(AZ55-1),0)</f>
        <v/>
      </c>
      <c r="BQ55" s="51">
        <f>IF(AY55=1,$AS55/(1+($AR$111+시나리오!$A$11/10000)/2)^(AZ55-1),0)</f>
        <v/>
      </c>
      <c r="BR55" s="51">
        <f>IF(AY55=1,$AS55/(1+($AR$111+시나리오!$A$12/10000)/2)^(AZ55-1),0)</f>
        <v/>
      </c>
      <c r="BS55" s="51">
        <f>IF(AY55=1,$AS55/(1+($AR$111+시나리오!$A$13/10000)/2)^(AZ55-1),0)</f>
        <v/>
      </c>
      <c r="BT55" s="51">
        <f>IF(AY55=1,$AS55/(1+($AR$111+시나리오!$A$14/10000)/2)^(AZ55-1),0)</f>
        <v/>
      </c>
      <c r="BU55" s="51">
        <f>IF(AY55=1,$AS55/(1+($AR$111+시나리오!$A$15/10000)/2)^(AZ55-1),0)</f>
        <v/>
      </c>
      <c r="BV55" s="51">
        <f>IF(AY55=1,$AS55/(1+($AR$111+시나리오!$A$16/10000)/2)^(AZ55-1),0)</f>
        <v/>
      </c>
      <c r="BW55" s="51">
        <f>IF(AY55=1,$AS55/(1+($AR$111+시나리오!$A$17/10000)/2)^(AZ55-1),0)</f>
        <v/>
      </c>
      <c r="BX55" s="51">
        <f>IF(AY55=1,$AS55/(1+($AR$111+시나리오!$A$18/10000)/2)^(AZ55-1),0)</f>
        <v/>
      </c>
      <c r="BY55" s="51">
        <f>IF(AY55=1,$AS55/(1+($AR$111+시나리오!$A$19/10000)/2)^(AZ55-1),0)</f>
        <v/>
      </c>
      <c r="BZ55" s="51">
        <f>IF(AY55=1,$AS55/(1+($AR$111+시나리오!$A$20/10000)/2)^(AZ55-1),0)</f>
        <v/>
      </c>
      <c r="CA55" s="51">
        <f>IF(AY55=1,$AS55/(1+($AR$111+시나리오!$A$21/10000)/2)^(AZ55-1),0)</f>
        <v/>
      </c>
      <c r="CB55" s="51">
        <f>IF(AY55=1,$AS55/(1+($AR$111+시나리오!$A$22/10000)/2)^(AZ55-1),0)</f>
        <v/>
      </c>
      <c r="CC55" s="51">
        <f>IF(AY55=1,$AS55/(1+($AR$111+시나리오!$A$23/10000)/2)^(AZ55-1),0)</f>
        <v/>
      </c>
      <c r="CD55" s="51">
        <f>IF(AY55=1,$AS55/(1+($AR$111+시나리오!$A$24/10000)/2)^(AZ55-1),0)</f>
        <v/>
      </c>
      <c r="CG55" s="49" t="n">
        <v>41</v>
      </c>
      <c r="CH55" s="50">
        <f>EDATE($CH$2,-6*(62-$CG55))</f>
        <v/>
      </c>
      <c r="CI55" s="51">
        <f>IF(AND(CH55&gt;$CH$3,CH55&lt;=$CH$2),IF(CH55=$CH$2,$CH$5+100,$CH$5),0)</f>
        <v/>
      </c>
      <c r="CJ55" s="49">
        <f>IF(AND($CI55&gt;0,CH55&gt;$CH$6),1,0)</f>
        <v/>
      </c>
      <c r="CK55" s="49">
        <f>IF(CJ55=1,SUM($CJ$15:CJ55),"")</f>
        <v/>
      </c>
      <c r="CL55" s="51">
        <f>IF(CJ55=1,$CI55/(1+$CH$8/2)^(CK55-1),0)</f>
        <v/>
      </c>
      <c r="CM55" s="51">
        <f>IF(CJ55=1,$CI55/(1+($CH$8+0.0001)/2)^(CK55-1),0)</f>
        <v/>
      </c>
      <c r="CN55" s="51">
        <f>IF(CJ55=1,$CI55/(1+($CH$8-0.0001)/2)^(CK55-1),0)</f>
        <v/>
      </c>
      <c r="CO55" s="49">
        <f>IF(AND($CI55&gt;0,CH55&gt;$CH$7),1,0)</f>
        <v/>
      </c>
      <c r="CP55" s="49">
        <f>IF(CO55=1,SUM($CO$15:CO55),"")</f>
        <v/>
      </c>
      <c r="CQ55" s="51">
        <f>IF(CO55=1,$CI55/(1+$CH$104/2)^(CP55-1),0)</f>
        <v/>
      </c>
      <c r="CR55" s="51">
        <f>IF(CO55=1,$CI55/(1+($CH$104+0.0001)/2)^(CP55-1),0)</f>
        <v/>
      </c>
      <c r="CS55" s="51">
        <f>IF(CO55=1,$CI55/(1+($CH$104-0.0001)/2)^(CP55-1),0)</f>
        <v/>
      </c>
      <c r="CT55" s="51">
        <f>IF(CO55=1,$CI55/(1+$CH$109/2)^(CP55-1),0)</f>
        <v/>
      </c>
      <c r="CU55" s="51">
        <f>IF(CO55=1,$CI55/(1+$CH$111/2)^(CP55-1),0)</f>
        <v/>
      </c>
      <c r="CV55" s="51">
        <f>IF(CO55=1,$CI55/(1+($CH$111+0.0001)/2)^(CP55-1),0)</f>
        <v/>
      </c>
      <c r="CW55" s="51">
        <f>IF(CO55=1,$CI55/(1+($CH$111-0.0001)/2)^(CP55-1),0)</f>
        <v/>
      </c>
      <c r="CX55" s="51">
        <f>IF(AND($CI55&gt;0,CH55&gt;$CH$6,CH55&lt;=$CH$7),$CI55*(1+$CH$10*($CH$7-CH55)/365),0)</f>
        <v/>
      </c>
      <c r="CY55" s="51">
        <f>IF(CO55=1,$CI55/(1+($CH$111+손익!$B$24/10000)/2)^(CP55-1),0)</f>
        <v/>
      </c>
      <c r="CZ55" s="51">
        <f>IF(CO55=1,$CI55/(1+($CH$111+시나리오!$A$4/10000)/2)^(CP55-1),0)</f>
        <v/>
      </c>
      <c r="DA55" s="51">
        <f>IF(CO55=1,$CI55/(1+($CH$111+시나리오!$A$5/10000)/2)^(CP55-1),0)</f>
        <v/>
      </c>
      <c r="DB55" s="51">
        <f>IF(CO55=1,$CI55/(1+($CH$111+시나리오!$A$6/10000)/2)^(CP55-1),0)</f>
        <v/>
      </c>
      <c r="DC55" s="51">
        <f>IF(CO55=1,$CI55/(1+($CH$111+시나리오!$A$7/10000)/2)^(CP55-1),0)</f>
        <v/>
      </c>
      <c r="DD55" s="51">
        <f>IF(CO55=1,$CI55/(1+($CH$111+시나리오!$A$8/10000)/2)^(CP55-1),0)</f>
        <v/>
      </c>
      <c r="DE55" s="51">
        <f>IF(CO55=1,$CI55/(1+($CH$111+시나리오!$A$9/10000)/2)^(CP55-1),0)</f>
        <v/>
      </c>
      <c r="DF55" s="51">
        <f>IF(CO55=1,$CI55/(1+($CH$111+시나리오!$A$10/10000)/2)^(CP55-1),0)</f>
        <v/>
      </c>
      <c r="DG55" s="51">
        <f>IF(CO55=1,$CI55/(1+($CH$111+시나리오!$A$11/10000)/2)^(CP55-1),0)</f>
        <v/>
      </c>
      <c r="DH55" s="51">
        <f>IF(CO55=1,$CI55/(1+($CH$111+시나리오!$A$12/10000)/2)^(CP55-1),0)</f>
        <v/>
      </c>
      <c r="DI55" s="51">
        <f>IF(CO55=1,$CI55/(1+($CH$111+시나리오!$A$13/10000)/2)^(CP55-1),0)</f>
        <v/>
      </c>
      <c r="DJ55" s="51">
        <f>IF(CO55=1,$CI55/(1+($CH$111+시나리오!$A$14/10000)/2)^(CP55-1),0)</f>
        <v/>
      </c>
      <c r="DK55" s="51">
        <f>IF(CO55=1,$CI55/(1+($CH$111+시나리오!$A$15/10000)/2)^(CP55-1),0)</f>
        <v/>
      </c>
      <c r="DL55" s="51">
        <f>IF(CO55=1,$CI55/(1+($CH$111+시나리오!$A$16/10000)/2)^(CP55-1),0)</f>
        <v/>
      </c>
      <c r="DM55" s="51">
        <f>IF(CO55=1,$CI55/(1+($CH$111+시나리오!$A$17/10000)/2)^(CP55-1),0)</f>
        <v/>
      </c>
      <c r="DN55" s="51">
        <f>IF(CO55=1,$CI55/(1+($CH$111+시나리오!$A$18/10000)/2)^(CP55-1),0)</f>
        <v/>
      </c>
      <c r="DO55" s="51">
        <f>IF(CO55=1,$CI55/(1+($CH$111+시나리오!$A$19/10000)/2)^(CP55-1),0)</f>
        <v/>
      </c>
      <c r="DP55" s="51">
        <f>IF(CO55=1,$CI55/(1+($CH$111+시나리오!$A$20/10000)/2)^(CP55-1),0)</f>
        <v/>
      </c>
      <c r="DQ55" s="51">
        <f>IF(CO55=1,$CI55/(1+($CH$111+시나리오!$A$21/10000)/2)^(CP55-1),0)</f>
        <v/>
      </c>
      <c r="DR55" s="51">
        <f>IF(CO55=1,$CI55/(1+($CH$111+시나리오!$A$22/10000)/2)^(CP55-1),0)</f>
        <v/>
      </c>
      <c r="DS55" s="51">
        <f>IF(CO55=1,$CI55/(1+($CH$111+시나리오!$A$23/10000)/2)^(CP55-1),0)</f>
        <v/>
      </c>
      <c r="DT55" s="51">
        <f>IF(CO55=1,$CI55/(1+($CH$111+시나리오!$A$24/10000)/2)^(CP55-1),0)</f>
        <v/>
      </c>
    </row>
    <row r="56">
      <c r="A56" s="49" t="n">
        <v>42</v>
      </c>
      <c r="B56" s="50">
        <f>EDATE($B$2,-6*(62-$A56))</f>
        <v/>
      </c>
      <c r="C56" s="51">
        <f>IF(AND(B56&gt;$B$3,B56&lt;=$B$2),IF(B56=$B$2,$B$5+100,$B$5),0)</f>
        <v/>
      </c>
      <c r="D56" s="49">
        <f>IF(AND($C56&gt;0,B56&gt;$B$6),1,0)</f>
        <v/>
      </c>
      <c r="E56" s="49">
        <f>IF(D56=1,SUM($D$15:D56),"")</f>
        <v/>
      </c>
      <c r="F56" s="51">
        <f>IF(D56=1,$C56/(1+$B$8/2)^(E56-1),0)</f>
        <v/>
      </c>
      <c r="G56" s="51">
        <f>IF(D56=1,$C56/(1+($B$8+0.0001)/2)^(E56-1),0)</f>
        <v/>
      </c>
      <c r="H56" s="51">
        <f>IF(D56=1,$C56/(1+($B$8-0.0001)/2)^(E56-1),0)</f>
        <v/>
      </c>
      <c r="I56" s="49">
        <f>IF(AND($C56&gt;0,B56&gt;$B$7),1,0)</f>
        <v/>
      </c>
      <c r="J56" s="49">
        <f>IF(I56=1,SUM($I$15:I56),"")</f>
        <v/>
      </c>
      <c r="K56" s="51">
        <f>IF(I56=1,$C56/(1+$B$104/2)^(J56-1),0)</f>
        <v/>
      </c>
      <c r="L56" s="51">
        <f>IF(I56=1,$C56/(1+($B$104+0.0001)/2)^(J56-1),0)</f>
        <v/>
      </c>
      <c r="M56" s="51">
        <f>IF(I56=1,$C56/(1+($B$104-0.0001)/2)^(J56-1),0)</f>
        <v/>
      </c>
      <c r="N56" s="51">
        <f>IF(I56=1,$C56/(1+$B$109/2)^(J56-1),0)</f>
        <v/>
      </c>
      <c r="O56" s="51">
        <f>IF(I56=1,$C56/(1+$B$111/2)^(J56-1),0)</f>
        <v/>
      </c>
      <c r="P56" s="51">
        <f>IF(I56=1,$C56/(1+($B$111+0.0001)/2)^(J56-1),0)</f>
        <v/>
      </c>
      <c r="Q56" s="51">
        <f>IF(I56=1,$C56/(1+($B$111-0.0001)/2)^(J56-1),0)</f>
        <v/>
      </c>
      <c r="R56" s="51">
        <f>IF(AND($C56&gt;0,B56&gt;$B$6,B56&lt;=$B$7),$C56*(1+$B$10*($B$7-B56)/365),0)</f>
        <v/>
      </c>
      <c r="S56" s="51">
        <f>IF(I56=1,$C56/(1+($B$111+손익!$B$24/10000)/2)^(J56-1),0)</f>
        <v/>
      </c>
      <c r="T56" s="51">
        <f>IF(I56=1,$C56/(1+($B$111+시나리오!$A$4/10000)/2)^(J56-1),0)</f>
        <v/>
      </c>
      <c r="U56" s="51">
        <f>IF(I56=1,$C56/(1+($B$111+시나리오!$A$5/10000)/2)^(J56-1),0)</f>
        <v/>
      </c>
      <c r="V56" s="51">
        <f>IF(I56=1,$C56/(1+($B$111+시나리오!$A$6/10000)/2)^(J56-1),0)</f>
        <v/>
      </c>
      <c r="W56" s="51">
        <f>IF(I56=1,$C56/(1+($B$111+시나리오!$A$7/10000)/2)^(J56-1),0)</f>
        <v/>
      </c>
      <c r="X56" s="51">
        <f>IF(I56=1,$C56/(1+($B$111+시나리오!$A$8/10000)/2)^(J56-1),0)</f>
        <v/>
      </c>
      <c r="Y56" s="51">
        <f>IF(I56=1,$C56/(1+($B$111+시나리오!$A$9/10000)/2)^(J56-1),0)</f>
        <v/>
      </c>
      <c r="Z56" s="51">
        <f>IF(I56=1,$C56/(1+($B$111+시나리오!$A$10/10000)/2)^(J56-1),0)</f>
        <v/>
      </c>
      <c r="AA56" s="51">
        <f>IF(I56=1,$C56/(1+($B$111+시나리오!$A$11/10000)/2)^(J56-1),0)</f>
        <v/>
      </c>
      <c r="AB56" s="51">
        <f>IF(I56=1,$C56/(1+($B$111+시나리오!$A$12/10000)/2)^(J56-1),0)</f>
        <v/>
      </c>
      <c r="AC56" s="51">
        <f>IF(I56=1,$C56/(1+($B$111+시나리오!$A$13/10000)/2)^(J56-1),0)</f>
        <v/>
      </c>
      <c r="AD56" s="51">
        <f>IF(I56=1,$C56/(1+($B$111+시나리오!$A$14/10000)/2)^(J56-1),0)</f>
        <v/>
      </c>
      <c r="AE56" s="51">
        <f>IF(I56=1,$C56/(1+($B$111+시나리오!$A$15/10000)/2)^(J56-1),0)</f>
        <v/>
      </c>
      <c r="AF56" s="51">
        <f>IF(I56=1,$C56/(1+($B$111+시나리오!$A$16/10000)/2)^(J56-1),0)</f>
        <v/>
      </c>
      <c r="AG56" s="51">
        <f>IF(I56=1,$C56/(1+($B$111+시나리오!$A$17/10000)/2)^(J56-1),0)</f>
        <v/>
      </c>
      <c r="AH56" s="51">
        <f>IF(I56=1,$C56/(1+($B$111+시나리오!$A$18/10000)/2)^(J56-1),0)</f>
        <v/>
      </c>
      <c r="AI56" s="51">
        <f>IF(I56=1,$C56/(1+($B$111+시나리오!$A$19/10000)/2)^(J56-1),0)</f>
        <v/>
      </c>
      <c r="AJ56" s="51">
        <f>IF(I56=1,$C56/(1+($B$111+시나리오!$A$20/10000)/2)^(J56-1),0)</f>
        <v/>
      </c>
      <c r="AK56" s="51">
        <f>IF(I56=1,$C56/(1+($B$111+시나리오!$A$21/10000)/2)^(J56-1),0)</f>
        <v/>
      </c>
      <c r="AL56" s="51">
        <f>IF(I56=1,$C56/(1+($B$111+시나리오!$A$22/10000)/2)^(J56-1),0)</f>
        <v/>
      </c>
      <c r="AM56" s="51">
        <f>IF(I56=1,$C56/(1+($B$111+시나리오!$A$23/10000)/2)^(J56-1),0)</f>
        <v/>
      </c>
      <c r="AN56" s="51">
        <f>IF(I56=1,$C56/(1+($B$111+시나리오!$A$24/10000)/2)^(J56-1),0)</f>
        <v/>
      </c>
      <c r="AQ56" s="49" t="n">
        <v>42</v>
      </c>
      <c r="AR56" s="50">
        <f>EDATE($AR$2,-6*(62-$AQ56))</f>
        <v/>
      </c>
      <c r="AS56" s="51">
        <f>IF(AND(AR56&gt;$AR$3,AR56&lt;=$AR$2),IF(AR56=$AR$2,$AR$5+100,$AR$5),0)</f>
        <v/>
      </c>
      <c r="AT56" s="49">
        <f>IF(AND($AS56&gt;0,AR56&gt;$AR$6),1,0)</f>
        <v/>
      </c>
      <c r="AU56" s="49">
        <f>IF(AT56=1,SUM($AT$15:AT56),"")</f>
        <v/>
      </c>
      <c r="AV56" s="51">
        <f>IF(AT56=1,$AS56/(1+$AR$8/2)^(AU56-1),0)</f>
        <v/>
      </c>
      <c r="AW56" s="51">
        <f>IF(AT56=1,$AS56/(1+($AR$8+0.0001)/2)^(AU56-1),0)</f>
        <v/>
      </c>
      <c r="AX56" s="51">
        <f>IF(AT56=1,$AS56/(1+($AR$8-0.0001)/2)^(AU56-1),0)</f>
        <v/>
      </c>
      <c r="AY56" s="49">
        <f>IF(AND($AS56&gt;0,AR56&gt;$AR$7),1,0)</f>
        <v/>
      </c>
      <c r="AZ56" s="49">
        <f>IF(AY56=1,SUM($AY$15:AY56),"")</f>
        <v/>
      </c>
      <c r="BA56" s="51">
        <f>IF(AY56=1,$AS56/(1+$AR$104/2)^(AZ56-1),0)</f>
        <v/>
      </c>
      <c r="BB56" s="51">
        <f>IF(AY56=1,$AS56/(1+($AR$104+0.0001)/2)^(AZ56-1),0)</f>
        <v/>
      </c>
      <c r="BC56" s="51">
        <f>IF(AY56=1,$AS56/(1+($AR$104-0.0001)/2)^(AZ56-1),0)</f>
        <v/>
      </c>
      <c r="BD56" s="51">
        <f>IF(AY56=1,$AS56/(1+$AR$109/2)^(AZ56-1),0)</f>
        <v/>
      </c>
      <c r="BE56" s="51">
        <f>IF(AY56=1,$AS56/(1+$AR$111/2)^(AZ56-1),0)</f>
        <v/>
      </c>
      <c r="BF56" s="51">
        <f>IF(AY56=1,$AS56/(1+($AR$111+0.0001)/2)^(AZ56-1),0)</f>
        <v/>
      </c>
      <c r="BG56" s="51">
        <f>IF(AY56=1,$AS56/(1+($AR$111-0.0001)/2)^(AZ56-1),0)</f>
        <v/>
      </c>
      <c r="BH56" s="51">
        <f>IF(AND($AS56&gt;0,AR56&gt;$AR$6,AR56&lt;=$AR$7),$AS56*(1+$AR$10*($AR$7-AR56)/365),0)</f>
        <v/>
      </c>
      <c r="BI56" s="51">
        <f>IF(AY56=1,$AS56/(1+($AR$111+손익!$B$24/10000)/2)^(AZ56-1),0)</f>
        <v/>
      </c>
      <c r="BJ56" s="51">
        <f>IF(AY56=1,$AS56/(1+($AR$111+시나리오!$A$4/10000)/2)^(AZ56-1),0)</f>
        <v/>
      </c>
      <c r="BK56" s="51">
        <f>IF(AY56=1,$AS56/(1+($AR$111+시나리오!$A$5/10000)/2)^(AZ56-1),0)</f>
        <v/>
      </c>
      <c r="BL56" s="51">
        <f>IF(AY56=1,$AS56/(1+($AR$111+시나리오!$A$6/10000)/2)^(AZ56-1),0)</f>
        <v/>
      </c>
      <c r="BM56" s="51">
        <f>IF(AY56=1,$AS56/(1+($AR$111+시나리오!$A$7/10000)/2)^(AZ56-1),0)</f>
        <v/>
      </c>
      <c r="BN56" s="51">
        <f>IF(AY56=1,$AS56/(1+($AR$111+시나리오!$A$8/10000)/2)^(AZ56-1),0)</f>
        <v/>
      </c>
      <c r="BO56" s="51">
        <f>IF(AY56=1,$AS56/(1+($AR$111+시나리오!$A$9/10000)/2)^(AZ56-1),0)</f>
        <v/>
      </c>
      <c r="BP56" s="51">
        <f>IF(AY56=1,$AS56/(1+($AR$111+시나리오!$A$10/10000)/2)^(AZ56-1),0)</f>
        <v/>
      </c>
      <c r="BQ56" s="51">
        <f>IF(AY56=1,$AS56/(1+($AR$111+시나리오!$A$11/10000)/2)^(AZ56-1),0)</f>
        <v/>
      </c>
      <c r="BR56" s="51">
        <f>IF(AY56=1,$AS56/(1+($AR$111+시나리오!$A$12/10000)/2)^(AZ56-1),0)</f>
        <v/>
      </c>
      <c r="BS56" s="51">
        <f>IF(AY56=1,$AS56/(1+($AR$111+시나리오!$A$13/10000)/2)^(AZ56-1),0)</f>
        <v/>
      </c>
      <c r="BT56" s="51">
        <f>IF(AY56=1,$AS56/(1+($AR$111+시나리오!$A$14/10000)/2)^(AZ56-1),0)</f>
        <v/>
      </c>
      <c r="BU56" s="51">
        <f>IF(AY56=1,$AS56/(1+($AR$111+시나리오!$A$15/10000)/2)^(AZ56-1),0)</f>
        <v/>
      </c>
      <c r="BV56" s="51">
        <f>IF(AY56=1,$AS56/(1+($AR$111+시나리오!$A$16/10000)/2)^(AZ56-1),0)</f>
        <v/>
      </c>
      <c r="BW56" s="51">
        <f>IF(AY56=1,$AS56/(1+($AR$111+시나리오!$A$17/10000)/2)^(AZ56-1),0)</f>
        <v/>
      </c>
      <c r="BX56" s="51">
        <f>IF(AY56=1,$AS56/(1+($AR$111+시나리오!$A$18/10000)/2)^(AZ56-1),0)</f>
        <v/>
      </c>
      <c r="BY56" s="51">
        <f>IF(AY56=1,$AS56/(1+($AR$111+시나리오!$A$19/10000)/2)^(AZ56-1),0)</f>
        <v/>
      </c>
      <c r="BZ56" s="51">
        <f>IF(AY56=1,$AS56/(1+($AR$111+시나리오!$A$20/10000)/2)^(AZ56-1),0)</f>
        <v/>
      </c>
      <c r="CA56" s="51">
        <f>IF(AY56=1,$AS56/(1+($AR$111+시나리오!$A$21/10000)/2)^(AZ56-1),0)</f>
        <v/>
      </c>
      <c r="CB56" s="51">
        <f>IF(AY56=1,$AS56/(1+($AR$111+시나리오!$A$22/10000)/2)^(AZ56-1),0)</f>
        <v/>
      </c>
      <c r="CC56" s="51">
        <f>IF(AY56=1,$AS56/(1+($AR$111+시나리오!$A$23/10000)/2)^(AZ56-1),0)</f>
        <v/>
      </c>
      <c r="CD56" s="51">
        <f>IF(AY56=1,$AS56/(1+($AR$111+시나리오!$A$24/10000)/2)^(AZ56-1),0)</f>
        <v/>
      </c>
      <c r="CG56" s="49" t="n">
        <v>42</v>
      </c>
      <c r="CH56" s="50">
        <f>EDATE($CH$2,-6*(62-$CG56))</f>
        <v/>
      </c>
      <c r="CI56" s="51">
        <f>IF(AND(CH56&gt;$CH$3,CH56&lt;=$CH$2),IF(CH56=$CH$2,$CH$5+100,$CH$5),0)</f>
        <v/>
      </c>
      <c r="CJ56" s="49">
        <f>IF(AND($CI56&gt;0,CH56&gt;$CH$6),1,0)</f>
        <v/>
      </c>
      <c r="CK56" s="49">
        <f>IF(CJ56=1,SUM($CJ$15:CJ56),"")</f>
        <v/>
      </c>
      <c r="CL56" s="51">
        <f>IF(CJ56=1,$CI56/(1+$CH$8/2)^(CK56-1),0)</f>
        <v/>
      </c>
      <c r="CM56" s="51">
        <f>IF(CJ56=1,$CI56/(1+($CH$8+0.0001)/2)^(CK56-1),0)</f>
        <v/>
      </c>
      <c r="CN56" s="51">
        <f>IF(CJ56=1,$CI56/(1+($CH$8-0.0001)/2)^(CK56-1),0)</f>
        <v/>
      </c>
      <c r="CO56" s="49">
        <f>IF(AND($CI56&gt;0,CH56&gt;$CH$7),1,0)</f>
        <v/>
      </c>
      <c r="CP56" s="49">
        <f>IF(CO56=1,SUM($CO$15:CO56),"")</f>
        <v/>
      </c>
      <c r="CQ56" s="51">
        <f>IF(CO56=1,$CI56/(1+$CH$104/2)^(CP56-1),0)</f>
        <v/>
      </c>
      <c r="CR56" s="51">
        <f>IF(CO56=1,$CI56/(1+($CH$104+0.0001)/2)^(CP56-1),0)</f>
        <v/>
      </c>
      <c r="CS56" s="51">
        <f>IF(CO56=1,$CI56/(1+($CH$104-0.0001)/2)^(CP56-1),0)</f>
        <v/>
      </c>
      <c r="CT56" s="51">
        <f>IF(CO56=1,$CI56/(1+$CH$109/2)^(CP56-1),0)</f>
        <v/>
      </c>
      <c r="CU56" s="51">
        <f>IF(CO56=1,$CI56/(1+$CH$111/2)^(CP56-1),0)</f>
        <v/>
      </c>
      <c r="CV56" s="51">
        <f>IF(CO56=1,$CI56/(1+($CH$111+0.0001)/2)^(CP56-1),0)</f>
        <v/>
      </c>
      <c r="CW56" s="51">
        <f>IF(CO56=1,$CI56/(1+($CH$111-0.0001)/2)^(CP56-1),0)</f>
        <v/>
      </c>
      <c r="CX56" s="51">
        <f>IF(AND($CI56&gt;0,CH56&gt;$CH$6,CH56&lt;=$CH$7),$CI56*(1+$CH$10*($CH$7-CH56)/365),0)</f>
        <v/>
      </c>
      <c r="CY56" s="51">
        <f>IF(CO56=1,$CI56/(1+($CH$111+손익!$B$24/10000)/2)^(CP56-1),0)</f>
        <v/>
      </c>
      <c r="CZ56" s="51">
        <f>IF(CO56=1,$CI56/(1+($CH$111+시나리오!$A$4/10000)/2)^(CP56-1),0)</f>
        <v/>
      </c>
      <c r="DA56" s="51">
        <f>IF(CO56=1,$CI56/(1+($CH$111+시나리오!$A$5/10000)/2)^(CP56-1),0)</f>
        <v/>
      </c>
      <c r="DB56" s="51">
        <f>IF(CO56=1,$CI56/(1+($CH$111+시나리오!$A$6/10000)/2)^(CP56-1),0)</f>
        <v/>
      </c>
      <c r="DC56" s="51">
        <f>IF(CO56=1,$CI56/(1+($CH$111+시나리오!$A$7/10000)/2)^(CP56-1),0)</f>
        <v/>
      </c>
      <c r="DD56" s="51">
        <f>IF(CO56=1,$CI56/(1+($CH$111+시나리오!$A$8/10000)/2)^(CP56-1),0)</f>
        <v/>
      </c>
      <c r="DE56" s="51">
        <f>IF(CO56=1,$CI56/(1+($CH$111+시나리오!$A$9/10000)/2)^(CP56-1),0)</f>
        <v/>
      </c>
      <c r="DF56" s="51">
        <f>IF(CO56=1,$CI56/(1+($CH$111+시나리오!$A$10/10000)/2)^(CP56-1),0)</f>
        <v/>
      </c>
      <c r="DG56" s="51">
        <f>IF(CO56=1,$CI56/(1+($CH$111+시나리오!$A$11/10000)/2)^(CP56-1),0)</f>
        <v/>
      </c>
      <c r="DH56" s="51">
        <f>IF(CO56=1,$CI56/(1+($CH$111+시나리오!$A$12/10000)/2)^(CP56-1),0)</f>
        <v/>
      </c>
      <c r="DI56" s="51">
        <f>IF(CO56=1,$CI56/(1+($CH$111+시나리오!$A$13/10000)/2)^(CP56-1),0)</f>
        <v/>
      </c>
      <c r="DJ56" s="51">
        <f>IF(CO56=1,$CI56/(1+($CH$111+시나리오!$A$14/10000)/2)^(CP56-1),0)</f>
        <v/>
      </c>
      <c r="DK56" s="51">
        <f>IF(CO56=1,$CI56/(1+($CH$111+시나리오!$A$15/10000)/2)^(CP56-1),0)</f>
        <v/>
      </c>
      <c r="DL56" s="51">
        <f>IF(CO56=1,$CI56/(1+($CH$111+시나리오!$A$16/10000)/2)^(CP56-1),0)</f>
        <v/>
      </c>
      <c r="DM56" s="51">
        <f>IF(CO56=1,$CI56/(1+($CH$111+시나리오!$A$17/10000)/2)^(CP56-1),0)</f>
        <v/>
      </c>
      <c r="DN56" s="51">
        <f>IF(CO56=1,$CI56/(1+($CH$111+시나리오!$A$18/10000)/2)^(CP56-1),0)</f>
        <v/>
      </c>
      <c r="DO56" s="51">
        <f>IF(CO56=1,$CI56/(1+($CH$111+시나리오!$A$19/10000)/2)^(CP56-1),0)</f>
        <v/>
      </c>
      <c r="DP56" s="51">
        <f>IF(CO56=1,$CI56/(1+($CH$111+시나리오!$A$20/10000)/2)^(CP56-1),0)</f>
        <v/>
      </c>
      <c r="DQ56" s="51">
        <f>IF(CO56=1,$CI56/(1+($CH$111+시나리오!$A$21/10000)/2)^(CP56-1),0)</f>
        <v/>
      </c>
      <c r="DR56" s="51">
        <f>IF(CO56=1,$CI56/(1+($CH$111+시나리오!$A$22/10000)/2)^(CP56-1),0)</f>
        <v/>
      </c>
      <c r="DS56" s="51">
        <f>IF(CO56=1,$CI56/(1+($CH$111+시나리오!$A$23/10000)/2)^(CP56-1),0)</f>
        <v/>
      </c>
      <c r="DT56" s="51">
        <f>IF(CO56=1,$CI56/(1+($CH$111+시나리오!$A$24/10000)/2)^(CP56-1),0)</f>
        <v/>
      </c>
    </row>
    <row r="57">
      <c r="A57" s="49" t="n">
        <v>43</v>
      </c>
      <c r="B57" s="50">
        <f>EDATE($B$2,-6*(62-$A57))</f>
        <v/>
      </c>
      <c r="C57" s="51">
        <f>IF(AND(B57&gt;$B$3,B57&lt;=$B$2),IF(B57=$B$2,$B$5+100,$B$5),0)</f>
        <v/>
      </c>
      <c r="D57" s="49">
        <f>IF(AND($C57&gt;0,B57&gt;$B$6),1,0)</f>
        <v/>
      </c>
      <c r="E57" s="49">
        <f>IF(D57=1,SUM($D$15:D57),"")</f>
        <v/>
      </c>
      <c r="F57" s="51">
        <f>IF(D57=1,$C57/(1+$B$8/2)^(E57-1),0)</f>
        <v/>
      </c>
      <c r="G57" s="51">
        <f>IF(D57=1,$C57/(1+($B$8+0.0001)/2)^(E57-1),0)</f>
        <v/>
      </c>
      <c r="H57" s="51">
        <f>IF(D57=1,$C57/(1+($B$8-0.0001)/2)^(E57-1),0)</f>
        <v/>
      </c>
      <c r="I57" s="49">
        <f>IF(AND($C57&gt;0,B57&gt;$B$7),1,0)</f>
        <v/>
      </c>
      <c r="J57" s="49">
        <f>IF(I57=1,SUM($I$15:I57),"")</f>
        <v/>
      </c>
      <c r="K57" s="51">
        <f>IF(I57=1,$C57/(1+$B$104/2)^(J57-1),0)</f>
        <v/>
      </c>
      <c r="L57" s="51">
        <f>IF(I57=1,$C57/(1+($B$104+0.0001)/2)^(J57-1),0)</f>
        <v/>
      </c>
      <c r="M57" s="51">
        <f>IF(I57=1,$C57/(1+($B$104-0.0001)/2)^(J57-1),0)</f>
        <v/>
      </c>
      <c r="N57" s="51">
        <f>IF(I57=1,$C57/(1+$B$109/2)^(J57-1),0)</f>
        <v/>
      </c>
      <c r="O57" s="51">
        <f>IF(I57=1,$C57/(1+$B$111/2)^(J57-1),0)</f>
        <v/>
      </c>
      <c r="P57" s="51">
        <f>IF(I57=1,$C57/(1+($B$111+0.0001)/2)^(J57-1),0)</f>
        <v/>
      </c>
      <c r="Q57" s="51">
        <f>IF(I57=1,$C57/(1+($B$111-0.0001)/2)^(J57-1),0)</f>
        <v/>
      </c>
      <c r="R57" s="51">
        <f>IF(AND($C57&gt;0,B57&gt;$B$6,B57&lt;=$B$7),$C57*(1+$B$10*($B$7-B57)/365),0)</f>
        <v/>
      </c>
      <c r="S57" s="51">
        <f>IF(I57=1,$C57/(1+($B$111+손익!$B$24/10000)/2)^(J57-1),0)</f>
        <v/>
      </c>
      <c r="T57" s="51">
        <f>IF(I57=1,$C57/(1+($B$111+시나리오!$A$4/10000)/2)^(J57-1),0)</f>
        <v/>
      </c>
      <c r="U57" s="51">
        <f>IF(I57=1,$C57/(1+($B$111+시나리오!$A$5/10000)/2)^(J57-1),0)</f>
        <v/>
      </c>
      <c r="V57" s="51">
        <f>IF(I57=1,$C57/(1+($B$111+시나리오!$A$6/10000)/2)^(J57-1),0)</f>
        <v/>
      </c>
      <c r="W57" s="51">
        <f>IF(I57=1,$C57/(1+($B$111+시나리오!$A$7/10000)/2)^(J57-1),0)</f>
        <v/>
      </c>
      <c r="X57" s="51">
        <f>IF(I57=1,$C57/(1+($B$111+시나리오!$A$8/10000)/2)^(J57-1),0)</f>
        <v/>
      </c>
      <c r="Y57" s="51">
        <f>IF(I57=1,$C57/(1+($B$111+시나리오!$A$9/10000)/2)^(J57-1),0)</f>
        <v/>
      </c>
      <c r="Z57" s="51">
        <f>IF(I57=1,$C57/(1+($B$111+시나리오!$A$10/10000)/2)^(J57-1),0)</f>
        <v/>
      </c>
      <c r="AA57" s="51">
        <f>IF(I57=1,$C57/(1+($B$111+시나리오!$A$11/10000)/2)^(J57-1),0)</f>
        <v/>
      </c>
      <c r="AB57" s="51">
        <f>IF(I57=1,$C57/(1+($B$111+시나리오!$A$12/10000)/2)^(J57-1),0)</f>
        <v/>
      </c>
      <c r="AC57" s="51">
        <f>IF(I57=1,$C57/(1+($B$111+시나리오!$A$13/10000)/2)^(J57-1),0)</f>
        <v/>
      </c>
      <c r="AD57" s="51">
        <f>IF(I57=1,$C57/(1+($B$111+시나리오!$A$14/10000)/2)^(J57-1),0)</f>
        <v/>
      </c>
      <c r="AE57" s="51">
        <f>IF(I57=1,$C57/(1+($B$111+시나리오!$A$15/10000)/2)^(J57-1),0)</f>
        <v/>
      </c>
      <c r="AF57" s="51">
        <f>IF(I57=1,$C57/(1+($B$111+시나리오!$A$16/10000)/2)^(J57-1),0)</f>
        <v/>
      </c>
      <c r="AG57" s="51">
        <f>IF(I57=1,$C57/(1+($B$111+시나리오!$A$17/10000)/2)^(J57-1),0)</f>
        <v/>
      </c>
      <c r="AH57" s="51">
        <f>IF(I57=1,$C57/(1+($B$111+시나리오!$A$18/10000)/2)^(J57-1),0)</f>
        <v/>
      </c>
      <c r="AI57" s="51">
        <f>IF(I57=1,$C57/(1+($B$111+시나리오!$A$19/10000)/2)^(J57-1),0)</f>
        <v/>
      </c>
      <c r="AJ57" s="51">
        <f>IF(I57=1,$C57/(1+($B$111+시나리오!$A$20/10000)/2)^(J57-1),0)</f>
        <v/>
      </c>
      <c r="AK57" s="51">
        <f>IF(I57=1,$C57/(1+($B$111+시나리오!$A$21/10000)/2)^(J57-1),0)</f>
        <v/>
      </c>
      <c r="AL57" s="51">
        <f>IF(I57=1,$C57/(1+($B$111+시나리오!$A$22/10000)/2)^(J57-1),0)</f>
        <v/>
      </c>
      <c r="AM57" s="51">
        <f>IF(I57=1,$C57/(1+($B$111+시나리오!$A$23/10000)/2)^(J57-1),0)</f>
        <v/>
      </c>
      <c r="AN57" s="51">
        <f>IF(I57=1,$C57/(1+($B$111+시나리오!$A$24/10000)/2)^(J57-1),0)</f>
        <v/>
      </c>
      <c r="AQ57" s="49" t="n">
        <v>43</v>
      </c>
      <c r="AR57" s="50">
        <f>EDATE($AR$2,-6*(62-$AQ57))</f>
        <v/>
      </c>
      <c r="AS57" s="51">
        <f>IF(AND(AR57&gt;$AR$3,AR57&lt;=$AR$2),IF(AR57=$AR$2,$AR$5+100,$AR$5),0)</f>
        <v/>
      </c>
      <c r="AT57" s="49">
        <f>IF(AND($AS57&gt;0,AR57&gt;$AR$6),1,0)</f>
        <v/>
      </c>
      <c r="AU57" s="49">
        <f>IF(AT57=1,SUM($AT$15:AT57),"")</f>
        <v/>
      </c>
      <c r="AV57" s="51">
        <f>IF(AT57=1,$AS57/(1+$AR$8/2)^(AU57-1),0)</f>
        <v/>
      </c>
      <c r="AW57" s="51">
        <f>IF(AT57=1,$AS57/(1+($AR$8+0.0001)/2)^(AU57-1),0)</f>
        <v/>
      </c>
      <c r="AX57" s="51">
        <f>IF(AT57=1,$AS57/(1+($AR$8-0.0001)/2)^(AU57-1),0)</f>
        <v/>
      </c>
      <c r="AY57" s="49">
        <f>IF(AND($AS57&gt;0,AR57&gt;$AR$7),1,0)</f>
        <v/>
      </c>
      <c r="AZ57" s="49">
        <f>IF(AY57=1,SUM($AY$15:AY57),"")</f>
        <v/>
      </c>
      <c r="BA57" s="51">
        <f>IF(AY57=1,$AS57/(1+$AR$104/2)^(AZ57-1),0)</f>
        <v/>
      </c>
      <c r="BB57" s="51">
        <f>IF(AY57=1,$AS57/(1+($AR$104+0.0001)/2)^(AZ57-1),0)</f>
        <v/>
      </c>
      <c r="BC57" s="51">
        <f>IF(AY57=1,$AS57/(1+($AR$104-0.0001)/2)^(AZ57-1),0)</f>
        <v/>
      </c>
      <c r="BD57" s="51">
        <f>IF(AY57=1,$AS57/(1+$AR$109/2)^(AZ57-1),0)</f>
        <v/>
      </c>
      <c r="BE57" s="51">
        <f>IF(AY57=1,$AS57/(1+$AR$111/2)^(AZ57-1),0)</f>
        <v/>
      </c>
      <c r="BF57" s="51">
        <f>IF(AY57=1,$AS57/(1+($AR$111+0.0001)/2)^(AZ57-1),0)</f>
        <v/>
      </c>
      <c r="BG57" s="51">
        <f>IF(AY57=1,$AS57/(1+($AR$111-0.0001)/2)^(AZ57-1),0)</f>
        <v/>
      </c>
      <c r="BH57" s="51">
        <f>IF(AND($AS57&gt;0,AR57&gt;$AR$6,AR57&lt;=$AR$7),$AS57*(1+$AR$10*($AR$7-AR57)/365),0)</f>
        <v/>
      </c>
      <c r="BI57" s="51">
        <f>IF(AY57=1,$AS57/(1+($AR$111+손익!$B$24/10000)/2)^(AZ57-1),0)</f>
        <v/>
      </c>
      <c r="BJ57" s="51">
        <f>IF(AY57=1,$AS57/(1+($AR$111+시나리오!$A$4/10000)/2)^(AZ57-1),0)</f>
        <v/>
      </c>
      <c r="BK57" s="51">
        <f>IF(AY57=1,$AS57/(1+($AR$111+시나리오!$A$5/10000)/2)^(AZ57-1),0)</f>
        <v/>
      </c>
      <c r="BL57" s="51">
        <f>IF(AY57=1,$AS57/(1+($AR$111+시나리오!$A$6/10000)/2)^(AZ57-1),0)</f>
        <v/>
      </c>
      <c r="BM57" s="51">
        <f>IF(AY57=1,$AS57/(1+($AR$111+시나리오!$A$7/10000)/2)^(AZ57-1),0)</f>
        <v/>
      </c>
      <c r="BN57" s="51">
        <f>IF(AY57=1,$AS57/(1+($AR$111+시나리오!$A$8/10000)/2)^(AZ57-1),0)</f>
        <v/>
      </c>
      <c r="BO57" s="51">
        <f>IF(AY57=1,$AS57/(1+($AR$111+시나리오!$A$9/10000)/2)^(AZ57-1),0)</f>
        <v/>
      </c>
      <c r="BP57" s="51">
        <f>IF(AY57=1,$AS57/(1+($AR$111+시나리오!$A$10/10000)/2)^(AZ57-1),0)</f>
        <v/>
      </c>
      <c r="BQ57" s="51">
        <f>IF(AY57=1,$AS57/(1+($AR$111+시나리오!$A$11/10000)/2)^(AZ57-1),0)</f>
        <v/>
      </c>
      <c r="BR57" s="51">
        <f>IF(AY57=1,$AS57/(1+($AR$111+시나리오!$A$12/10000)/2)^(AZ57-1),0)</f>
        <v/>
      </c>
      <c r="BS57" s="51">
        <f>IF(AY57=1,$AS57/(1+($AR$111+시나리오!$A$13/10000)/2)^(AZ57-1),0)</f>
        <v/>
      </c>
      <c r="BT57" s="51">
        <f>IF(AY57=1,$AS57/(1+($AR$111+시나리오!$A$14/10000)/2)^(AZ57-1),0)</f>
        <v/>
      </c>
      <c r="BU57" s="51">
        <f>IF(AY57=1,$AS57/(1+($AR$111+시나리오!$A$15/10000)/2)^(AZ57-1),0)</f>
        <v/>
      </c>
      <c r="BV57" s="51">
        <f>IF(AY57=1,$AS57/(1+($AR$111+시나리오!$A$16/10000)/2)^(AZ57-1),0)</f>
        <v/>
      </c>
      <c r="BW57" s="51">
        <f>IF(AY57=1,$AS57/(1+($AR$111+시나리오!$A$17/10000)/2)^(AZ57-1),0)</f>
        <v/>
      </c>
      <c r="BX57" s="51">
        <f>IF(AY57=1,$AS57/(1+($AR$111+시나리오!$A$18/10000)/2)^(AZ57-1),0)</f>
        <v/>
      </c>
      <c r="BY57" s="51">
        <f>IF(AY57=1,$AS57/(1+($AR$111+시나리오!$A$19/10000)/2)^(AZ57-1),0)</f>
        <v/>
      </c>
      <c r="BZ57" s="51">
        <f>IF(AY57=1,$AS57/(1+($AR$111+시나리오!$A$20/10000)/2)^(AZ57-1),0)</f>
        <v/>
      </c>
      <c r="CA57" s="51">
        <f>IF(AY57=1,$AS57/(1+($AR$111+시나리오!$A$21/10000)/2)^(AZ57-1),0)</f>
        <v/>
      </c>
      <c r="CB57" s="51">
        <f>IF(AY57=1,$AS57/(1+($AR$111+시나리오!$A$22/10000)/2)^(AZ57-1),0)</f>
        <v/>
      </c>
      <c r="CC57" s="51">
        <f>IF(AY57=1,$AS57/(1+($AR$111+시나리오!$A$23/10000)/2)^(AZ57-1),0)</f>
        <v/>
      </c>
      <c r="CD57" s="51">
        <f>IF(AY57=1,$AS57/(1+($AR$111+시나리오!$A$24/10000)/2)^(AZ57-1),0)</f>
        <v/>
      </c>
      <c r="CG57" s="49" t="n">
        <v>43</v>
      </c>
      <c r="CH57" s="50">
        <f>EDATE($CH$2,-6*(62-$CG57))</f>
        <v/>
      </c>
      <c r="CI57" s="51">
        <f>IF(AND(CH57&gt;$CH$3,CH57&lt;=$CH$2),IF(CH57=$CH$2,$CH$5+100,$CH$5),0)</f>
        <v/>
      </c>
      <c r="CJ57" s="49">
        <f>IF(AND($CI57&gt;0,CH57&gt;$CH$6),1,0)</f>
        <v/>
      </c>
      <c r="CK57" s="49">
        <f>IF(CJ57=1,SUM($CJ$15:CJ57),"")</f>
        <v/>
      </c>
      <c r="CL57" s="51">
        <f>IF(CJ57=1,$CI57/(1+$CH$8/2)^(CK57-1),0)</f>
        <v/>
      </c>
      <c r="CM57" s="51">
        <f>IF(CJ57=1,$CI57/(1+($CH$8+0.0001)/2)^(CK57-1),0)</f>
        <v/>
      </c>
      <c r="CN57" s="51">
        <f>IF(CJ57=1,$CI57/(1+($CH$8-0.0001)/2)^(CK57-1),0)</f>
        <v/>
      </c>
      <c r="CO57" s="49">
        <f>IF(AND($CI57&gt;0,CH57&gt;$CH$7),1,0)</f>
        <v/>
      </c>
      <c r="CP57" s="49">
        <f>IF(CO57=1,SUM($CO$15:CO57),"")</f>
        <v/>
      </c>
      <c r="CQ57" s="51">
        <f>IF(CO57=1,$CI57/(1+$CH$104/2)^(CP57-1),0)</f>
        <v/>
      </c>
      <c r="CR57" s="51">
        <f>IF(CO57=1,$CI57/(1+($CH$104+0.0001)/2)^(CP57-1),0)</f>
        <v/>
      </c>
      <c r="CS57" s="51">
        <f>IF(CO57=1,$CI57/(1+($CH$104-0.0001)/2)^(CP57-1),0)</f>
        <v/>
      </c>
      <c r="CT57" s="51">
        <f>IF(CO57=1,$CI57/(1+$CH$109/2)^(CP57-1),0)</f>
        <v/>
      </c>
      <c r="CU57" s="51">
        <f>IF(CO57=1,$CI57/(1+$CH$111/2)^(CP57-1),0)</f>
        <v/>
      </c>
      <c r="CV57" s="51">
        <f>IF(CO57=1,$CI57/(1+($CH$111+0.0001)/2)^(CP57-1),0)</f>
        <v/>
      </c>
      <c r="CW57" s="51">
        <f>IF(CO57=1,$CI57/(1+($CH$111-0.0001)/2)^(CP57-1),0)</f>
        <v/>
      </c>
      <c r="CX57" s="51">
        <f>IF(AND($CI57&gt;0,CH57&gt;$CH$6,CH57&lt;=$CH$7),$CI57*(1+$CH$10*($CH$7-CH57)/365),0)</f>
        <v/>
      </c>
      <c r="CY57" s="51">
        <f>IF(CO57=1,$CI57/(1+($CH$111+손익!$B$24/10000)/2)^(CP57-1),0)</f>
        <v/>
      </c>
      <c r="CZ57" s="51">
        <f>IF(CO57=1,$CI57/(1+($CH$111+시나리오!$A$4/10000)/2)^(CP57-1),0)</f>
        <v/>
      </c>
      <c r="DA57" s="51">
        <f>IF(CO57=1,$CI57/(1+($CH$111+시나리오!$A$5/10000)/2)^(CP57-1),0)</f>
        <v/>
      </c>
      <c r="DB57" s="51">
        <f>IF(CO57=1,$CI57/(1+($CH$111+시나리오!$A$6/10000)/2)^(CP57-1),0)</f>
        <v/>
      </c>
      <c r="DC57" s="51">
        <f>IF(CO57=1,$CI57/(1+($CH$111+시나리오!$A$7/10000)/2)^(CP57-1),0)</f>
        <v/>
      </c>
      <c r="DD57" s="51">
        <f>IF(CO57=1,$CI57/(1+($CH$111+시나리오!$A$8/10000)/2)^(CP57-1),0)</f>
        <v/>
      </c>
      <c r="DE57" s="51">
        <f>IF(CO57=1,$CI57/(1+($CH$111+시나리오!$A$9/10000)/2)^(CP57-1),0)</f>
        <v/>
      </c>
      <c r="DF57" s="51">
        <f>IF(CO57=1,$CI57/(1+($CH$111+시나리오!$A$10/10000)/2)^(CP57-1),0)</f>
        <v/>
      </c>
      <c r="DG57" s="51">
        <f>IF(CO57=1,$CI57/(1+($CH$111+시나리오!$A$11/10000)/2)^(CP57-1),0)</f>
        <v/>
      </c>
      <c r="DH57" s="51">
        <f>IF(CO57=1,$CI57/(1+($CH$111+시나리오!$A$12/10000)/2)^(CP57-1),0)</f>
        <v/>
      </c>
      <c r="DI57" s="51">
        <f>IF(CO57=1,$CI57/(1+($CH$111+시나리오!$A$13/10000)/2)^(CP57-1),0)</f>
        <v/>
      </c>
      <c r="DJ57" s="51">
        <f>IF(CO57=1,$CI57/(1+($CH$111+시나리오!$A$14/10000)/2)^(CP57-1),0)</f>
        <v/>
      </c>
      <c r="DK57" s="51">
        <f>IF(CO57=1,$CI57/(1+($CH$111+시나리오!$A$15/10000)/2)^(CP57-1),0)</f>
        <v/>
      </c>
      <c r="DL57" s="51">
        <f>IF(CO57=1,$CI57/(1+($CH$111+시나리오!$A$16/10000)/2)^(CP57-1),0)</f>
        <v/>
      </c>
      <c r="DM57" s="51">
        <f>IF(CO57=1,$CI57/(1+($CH$111+시나리오!$A$17/10000)/2)^(CP57-1),0)</f>
        <v/>
      </c>
      <c r="DN57" s="51">
        <f>IF(CO57=1,$CI57/(1+($CH$111+시나리오!$A$18/10000)/2)^(CP57-1),0)</f>
        <v/>
      </c>
      <c r="DO57" s="51">
        <f>IF(CO57=1,$CI57/(1+($CH$111+시나리오!$A$19/10000)/2)^(CP57-1),0)</f>
        <v/>
      </c>
      <c r="DP57" s="51">
        <f>IF(CO57=1,$CI57/(1+($CH$111+시나리오!$A$20/10000)/2)^(CP57-1),0)</f>
        <v/>
      </c>
      <c r="DQ57" s="51">
        <f>IF(CO57=1,$CI57/(1+($CH$111+시나리오!$A$21/10000)/2)^(CP57-1),0)</f>
        <v/>
      </c>
      <c r="DR57" s="51">
        <f>IF(CO57=1,$CI57/(1+($CH$111+시나리오!$A$22/10000)/2)^(CP57-1),0)</f>
        <v/>
      </c>
      <c r="DS57" s="51">
        <f>IF(CO57=1,$CI57/(1+($CH$111+시나리오!$A$23/10000)/2)^(CP57-1),0)</f>
        <v/>
      </c>
      <c r="DT57" s="51">
        <f>IF(CO57=1,$CI57/(1+($CH$111+시나리오!$A$24/10000)/2)^(CP57-1),0)</f>
        <v/>
      </c>
    </row>
    <row r="58">
      <c r="A58" s="49" t="n">
        <v>44</v>
      </c>
      <c r="B58" s="50">
        <f>EDATE($B$2,-6*(62-$A58))</f>
        <v/>
      </c>
      <c r="C58" s="51">
        <f>IF(AND(B58&gt;$B$3,B58&lt;=$B$2),IF(B58=$B$2,$B$5+100,$B$5),0)</f>
        <v/>
      </c>
      <c r="D58" s="49">
        <f>IF(AND($C58&gt;0,B58&gt;$B$6),1,0)</f>
        <v/>
      </c>
      <c r="E58" s="49">
        <f>IF(D58=1,SUM($D$15:D58),"")</f>
        <v/>
      </c>
      <c r="F58" s="51">
        <f>IF(D58=1,$C58/(1+$B$8/2)^(E58-1),0)</f>
        <v/>
      </c>
      <c r="G58" s="51">
        <f>IF(D58=1,$C58/(1+($B$8+0.0001)/2)^(E58-1),0)</f>
        <v/>
      </c>
      <c r="H58" s="51">
        <f>IF(D58=1,$C58/(1+($B$8-0.0001)/2)^(E58-1),0)</f>
        <v/>
      </c>
      <c r="I58" s="49">
        <f>IF(AND($C58&gt;0,B58&gt;$B$7),1,0)</f>
        <v/>
      </c>
      <c r="J58" s="49">
        <f>IF(I58=1,SUM($I$15:I58),"")</f>
        <v/>
      </c>
      <c r="K58" s="51">
        <f>IF(I58=1,$C58/(1+$B$104/2)^(J58-1),0)</f>
        <v/>
      </c>
      <c r="L58" s="51">
        <f>IF(I58=1,$C58/(1+($B$104+0.0001)/2)^(J58-1),0)</f>
        <v/>
      </c>
      <c r="M58" s="51">
        <f>IF(I58=1,$C58/(1+($B$104-0.0001)/2)^(J58-1),0)</f>
        <v/>
      </c>
      <c r="N58" s="51">
        <f>IF(I58=1,$C58/(1+$B$109/2)^(J58-1),0)</f>
        <v/>
      </c>
      <c r="O58" s="51">
        <f>IF(I58=1,$C58/(1+$B$111/2)^(J58-1),0)</f>
        <v/>
      </c>
      <c r="P58" s="51">
        <f>IF(I58=1,$C58/(1+($B$111+0.0001)/2)^(J58-1),0)</f>
        <v/>
      </c>
      <c r="Q58" s="51">
        <f>IF(I58=1,$C58/(1+($B$111-0.0001)/2)^(J58-1),0)</f>
        <v/>
      </c>
      <c r="R58" s="51">
        <f>IF(AND($C58&gt;0,B58&gt;$B$6,B58&lt;=$B$7),$C58*(1+$B$10*($B$7-B58)/365),0)</f>
        <v/>
      </c>
      <c r="S58" s="51">
        <f>IF(I58=1,$C58/(1+($B$111+손익!$B$24/10000)/2)^(J58-1),0)</f>
        <v/>
      </c>
      <c r="T58" s="51">
        <f>IF(I58=1,$C58/(1+($B$111+시나리오!$A$4/10000)/2)^(J58-1),0)</f>
        <v/>
      </c>
      <c r="U58" s="51">
        <f>IF(I58=1,$C58/(1+($B$111+시나리오!$A$5/10000)/2)^(J58-1),0)</f>
        <v/>
      </c>
      <c r="V58" s="51">
        <f>IF(I58=1,$C58/(1+($B$111+시나리오!$A$6/10000)/2)^(J58-1),0)</f>
        <v/>
      </c>
      <c r="W58" s="51">
        <f>IF(I58=1,$C58/(1+($B$111+시나리오!$A$7/10000)/2)^(J58-1),0)</f>
        <v/>
      </c>
      <c r="X58" s="51">
        <f>IF(I58=1,$C58/(1+($B$111+시나리오!$A$8/10000)/2)^(J58-1),0)</f>
        <v/>
      </c>
      <c r="Y58" s="51">
        <f>IF(I58=1,$C58/(1+($B$111+시나리오!$A$9/10000)/2)^(J58-1),0)</f>
        <v/>
      </c>
      <c r="Z58" s="51">
        <f>IF(I58=1,$C58/(1+($B$111+시나리오!$A$10/10000)/2)^(J58-1),0)</f>
        <v/>
      </c>
      <c r="AA58" s="51">
        <f>IF(I58=1,$C58/(1+($B$111+시나리오!$A$11/10000)/2)^(J58-1),0)</f>
        <v/>
      </c>
      <c r="AB58" s="51">
        <f>IF(I58=1,$C58/(1+($B$111+시나리오!$A$12/10000)/2)^(J58-1),0)</f>
        <v/>
      </c>
      <c r="AC58" s="51">
        <f>IF(I58=1,$C58/(1+($B$111+시나리오!$A$13/10000)/2)^(J58-1),0)</f>
        <v/>
      </c>
      <c r="AD58" s="51">
        <f>IF(I58=1,$C58/(1+($B$111+시나리오!$A$14/10000)/2)^(J58-1),0)</f>
        <v/>
      </c>
      <c r="AE58" s="51">
        <f>IF(I58=1,$C58/(1+($B$111+시나리오!$A$15/10000)/2)^(J58-1),0)</f>
        <v/>
      </c>
      <c r="AF58" s="51">
        <f>IF(I58=1,$C58/(1+($B$111+시나리오!$A$16/10000)/2)^(J58-1),0)</f>
        <v/>
      </c>
      <c r="AG58" s="51">
        <f>IF(I58=1,$C58/(1+($B$111+시나리오!$A$17/10000)/2)^(J58-1),0)</f>
        <v/>
      </c>
      <c r="AH58" s="51">
        <f>IF(I58=1,$C58/(1+($B$111+시나리오!$A$18/10000)/2)^(J58-1),0)</f>
        <v/>
      </c>
      <c r="AI58" s="51">
        <f>IF(I58=1,$C58/(1+($B$111+시나리오!$A$19/10000)/2)^(J58-1),0)</f>
        <v/>
      </c>
      <c r="AJ58" s="51">
        <f>IF(I58=1,$C58/(1+($B$111+시나리오!$A$20/10000)/2)^(J58-1),0)</f>
        <v/>
      </c>
      <c r="AK58" s="51">
        <f>IF(I58=1,$C58/(1+($B$111+시나리오!$A$21/10000)/2)^(J58-1),0)</f>
        <v/>
      </c>
      <c r="AL58" s="51">
        <f>IF(I58=1,$C58/(1+($B$111+시나리오!$A$22/10000)/2)^(J58-1),0)</f>
        <v/>
      </c>
      <c r="AM58" s="51">
        <f>IF(I58=1,$C58/(1+($B$111+시나리오!$A$23/10000)/2)^(J58-1),0)</f>
        <v/>
      </c>
      <c r="AN58" s="51">
        <f>IF(I58=1,$C58/(1+($B$111+시나리오!$A$24/10000)/2)^(J58-1),0)</f>
        <v/>
      </c>
      <c r="AQ58" s="49" t="n">
        <v>44</v>
      </c>
      <c r="AR58" s="50">
        <f>EDATE($AR$2,-6*(62-$AQ58))</f>
        <v/>
      </c>
      <c r="AS58" s="51">
        <f>IF(AND(AR58&gt;$AR$3,AR58&lt;=$AR$2),IF(AR58=$AR$2,$AR$5+100,$AR$5),0)</f>
        <v/>
      </c>
      <c r="AT58" s="49">
        <f>IF(AND($AS58&gt;0,AR58&gt;$AR$6),1,0)</f>
        <v/>
      </c>
      <c r="AU58" s="49">
        <f>IF(AT58=1,SUM($AT$15:AT58),"")</f>
        <v/>
      </c>
      <c r="AV58" s="51">
        <f>IF(AT58=1,$AS58/(1+$AR$8/2)^(AU58-1),0)</f>
        <v/>
      </c>
      <c r="AW58" s="51">
        <f>IF(AT58=1,$AS58/(1+($AR$8+0.0001)/2)^(AU58-1),0)</f>
        <v/>
      </c>
      <c r="AX58" s="51">
        <f>IF(AT58=1,$AS58/(1+($AR$8-0.0001)/2)^(AU58-1),0)</f>
        <v/>
      </c>
      <c r="AY58" s="49">
        <f>IF(AND($AS58&gt;0,AR58&gt;$AR$7),1,0)</f>
        <v/>
      </c>
      <c r="AZ58" s="49">
        <f>IF(AY58=1,SUM($AY$15:AY58),"")</f>
        <v/>
      </c>
      <c r="BA58" s="51">
        <f>IF(AY58=1,$AS58/(1+$AR$104/2)^(AZ58-1),0)</f>
        <v/>
      </c>
      <c r="BB58" s="51">
        <f>IF(AY58=1,$AS58/(1+($AR$104+0.0001)/2)^(AZ58-1),0)</f>
        <v/>
      </c>
      <c r="BC58" s="51">
        <f>IF(AY58=1,$AS58/(1+($AR$104-0.0001)/2)^(AZ58-1),0)</f>
        <v/>
      </c>
      <c r="BD58" s="51">
        <f>IF(AY58=1,$AS58/(1+$AR$109/2)^(AZ58-1),0)</f>
        <v/>
      </c>
      <c r="BE58" s="51">
        <f>IF(AY58=1,$AS58/(1+$AR$111/2)^(AZ58-1),0)</f>
        <v/>
      </c>
      <c r="BF58" s="51">
        <f>IF(AY58=1,$AS58/(1+($AR$111+0.0001)/2)^(AZ58-1),0)</f>
        <v/>
      </c>
      <c r="BG58" s="51">
        <f>IF(AY58=1,$AS58/(1+($AR$111-0.0001)/2)^(AZ58-1),0)</f>
        <v/>
      </c>
      <c r="BH58" s="51">
        <f>IF(AND($AS58&gt;0,AR58&gt;$AR$6,AR58&lt;=$AR$7),$AS58*(1+$AR$10*($AR$7-AR58)/365),0)</f>
        <v/>
      </c>
      <c r="BI58" s="51">
        <f>IF(AY58=1,$AS58/(1+($AR$111+손익!$B$24/10000)/2)^(AZ58-1),0)</f>
        <v/>
      </c>
      <c r="BJ58" s="51">
        <f>IF(AY58=1,$AS58/(1+($AR$111+시나리오!$A$4/10000)/2)^(AZ58-1),0)</f>
        <v/>
      </c>
      <c r="BK58" s="51">
        <f>IF(AY58=1,$AS58/(1+($AR$111+시나리오!$A$5/10000)/2)^(AZ58-1),0)</f>
        <v/>
      </c>
      <c r="BL58" s="51">
        <f>IF(AY58=1,$AS58/(1+($AR$111+시나리오!$A$6/10000)/2)^(AZ58-1),0)</f>
        <v/>
      </c>
      <c r="BM58" s="51">
        <f>IF(AY58=1,$AS58/(1+($AR$111+시나리오!$A$7/10000)/2)^(AZ58-1),0)</f>
        <v/>
      </c>
      <c r="BN58" s="51">
        <f>IF(AY58=1,$AS58/(1+($AR$111+시나리오!$A$8/10000)/2)^(AZ58-1),0)</f>
        <v/>
      </c>
      <c r="BO58" s="51">
        <f>IF(AY58=1,$AS58/(1+($AR$111+시나리오!$A$9/10000)/2)^(AZ58-1),0)</f>
        <v/>
      </c>
      <c r="BP58" s="51">
        <f>IF(AY58=1,$AS58/(1+($AR$111+시나리오!$A$10/10000)/2)^(AZ58-1),0)</f>
        <v/>
      </c>
      <c r="BQ58" s="51">
        <f>IF(AY58=1,$AS58/(1+($AR$111+시나리오!$A$11/10000)/2)^(AZ58-1),0)</f>
        <v/>
      </c>
      <c r="BR58" s="51">
        <f>IF(AY58=1,$AS58/(1+($AR$111+시나리오!$A$12/10000)/2)^(AZ58-1),0)</f>
        <v/>
      </c>
      <c r="BS58" s="51">
        <f>IF(AY58=1,$AS58/(1+($AR$111+시나리오!$A$13/10000)/2)^(AZ58-1),0)</f>
        <v/>
      </c>
      <c r="BT58" s="51">
        <f>IF(AY58=1,$AS58/(1+($AR$111+시나리오!$A$14/10000)/2)^(AZ58-1),0)</f>
        <v/>
      </c>
      <c r="BU58" s="51">
        <f>IF(AY58=1,$AS58/(1+($AR$111+시나리오!$A$15/10000)/2)^(AZ58-1),0)</f>
        <v/>
      </c>
      <c r="BV58" s="51">
        <f>IF(AY58=1,$AS58/(1+($AR$111+시나리오!$A$16/10000)/2)^(AZ58-1),0)</f>
        <v/>
      </c>
      <c r="BW58" s="51">
        <f>IF(AY58=1,$AS58/(1+($AR$111+시나리오!$A$17/10000)/2)^(AZ58-1),0)</f>
        <v/>
      </c>
      <c r="BX58" s="51">
        <f>IF(AY58=1,$AS58/(1+($AR$111+시나리오!$A$18/10000)/2)^(AZ58-1),0)</f>
        <v/>
      </c>
      <c r="BY58" s="51">
        <f>IF(AY58=1,$AS58/(1+($AR$111+시나리오!$A$19/10000)/2)^(AZ58-1),0)</f>
        <v/>
      </c>
      <c r="BZ58" s="51">
        <f>IF(AY58=1,$AS58/(1+($AR$111+시나리오!$A$20/10000)/2)^(AZ58-1),0)</f>
        <v/>
      </c>
      <c r="CA58" s="51">
        <f>IF(AY58=1,$AS58/(1+($AR$111+시나리오!$A$21/10000)/2)^(AZ58-1),0)</f>
        <v/>
      </c>
      <c r="CB58" s="51">
        <f>IF(AY58=1,$AS58/(1+($AR$111+시나리오!$A$22/10000)/2)^(AZ58-1),0)</f>
        <v/>
      </c>
      <c r="CC58" s="51">
        <f>IF(AY58=1,$AS58/(1+($AR$111+시나리오!$A$23/10000)/2)^(AZ58-1),0)</f>
        <v/>
      </c>
      <c r="CD58" s="51">
        <f>IF(AY58=1,$AS58/(1+($AR$111+시나리오!$A$24/10000)/2)^(AZ58-1),0)</f>
        <v/>
      </c>
      <c r="CG58" s="49" t="n">
        <v>44</v>
      </c>
      <c r="CH58" s="50">
        <f>EDATE($CH$2,-6*(62-$CG58))</f>
        <v/>
      </c>
      <c r="CI58" s="51">
        <f>IF(AND(CH58&gt;$CH$3,CH58&lt;=$CH$2),IF(CH58=$CH$2,$CH$5+100,$CH$5),0)</f>
        <v/>
      </c>
      <c r="CJ58" s="49">
        <f>IF(AND($CI58&gt;0,CH58&gt;$CH$6),1,0)</f>
        <v/>
      </c>
      <c r="CK58" s="49">
        <f>IF(CJ58=1,SUM($CJ$15:CJ58),"")</f>
        <v/>
      </c>
      <c r="CL58" s="51">
        <f>IF(CJ58=1,$CI58/(1+$CH$8/2)^(CK58-1),0)</f>
        <v/>
      </c>
      <c r="CM58" s="51">
        <f>IF(CJ58=1,$CI58/(1+($CH$8+0.0001)/2)^(CK58-1),0)</f>
        <v/>
      </c>
      <c r="CN58" s="51">
        <f>IF(CJ58=1,$CI58/(1+($CH$8-0.0001)/2)^(CK58-1),0)</f>
        <v/>
      </c>
      <c r="CO58" s="49">
        <f>IF(AND($CI58&gt;0,CH58&gt;$CH$7),1,0)</f>
        <v/>
      </c>
      <c r="CP58" s="49">
        <f>IF(CO58=1,SUM($CO$15:CO58),"")</f>
        <v/>
      </c>
      <c r="CQ58" s="51">
        <f>IF(CO58=1,$CI58/(1+$CH$104/2)^(CP58-1),0)</f>
        <v/>
      </c>
      <c r="CR58" s="51">
        <f>IF(CO58=1,$CI58/(1+($CH$104+0.0001)/2)^(CP58-1),0)</f>
        <v/>
      </c>
      <c r="CS58" s="51">
        <f>IF(CO58=1,$CI58/(1+($CH$104-0.0001)/2)^(CP58-1),0)</f>
        <v/>
      </c>
      <c r="CT58" s="51">
        <f>IF(CO58=1,$CI58/(1+$CH$109/2)^(CP58-1),0)</f>
        <v/>
      </c>
      <c r="CU58" s="51">
        <f>IF(CO58=1,$CI58/(1+$CH$111/2)^(CP58-1),0)</f>
        <v/>
      </c>
      <c r="CV58" s="51">
        <f>IF(CO58=1,$CI58/(1+($CH$111+0.0001)/2)^(CP58-1),0)</f>
        <v/>
      </c>
      <c r="CW58" s="51">
        <f>IF(CO58=1,$CI58/(1+($CH$111-0.0001)/2)^(CP58-1),0)</f>
        <v/>
      </c>
      <c r="CX58" s="51">
        <f>IF(AND($CI58&gt;0,CH58&gt;$CH$6,CH58&lt;=$CH$7),$CI58*(1+$CH$10*($CH$7-CH58)/365),0)</f>
        <v/>
      </c>
      <c r="CY58" s="51">
        <f>IF(CO58=1,$CI58/(1+($CH$111+손익!$B$24/10000)/2)^(CP58-1),0)</f>
        <v/>
      </c>
      <c r="CZ58" s="51">
        <f>IF(CO58=1,$CI58/(1+($CH$111+시나리오!$A$4/10000)/2)^(CP58-1),0)</f>
        <v/>
      </c>
      <c r="DA58" s="51">
        <f>IF(CO58=1,$CI58/(1+($CH$111+시나리오!$A$5/10000)/2)^(CP58-1),0)</f>
        <v/>
      </c>
      <c r="DB58" s="51">
        <f>IF(CO58=1,$CI58/(1+($CH$111+시나리오!$A$6/10000)/2)^(CP58-1),0)</f>
        <v/>
      </c>
      <c r="DC58" s="51">
        <f>IF(CO58=1,$CI58/(1+($CH$111+시나리오!$A$7/10000)/2)^(CP58-1),0)</f>
        <v/>
      </c>
      <c r="DD58" s="51">
        <f>IF(CO58=1,$CI58/(1+($CH$111+시나리오!$A$8/10000)/2)^(CP58-1),0)</f>
        <v/>
      </c>
      <c r="DE58" s="51">
        <f>IF(CO58=1,$CI58/(1+($CH$111+시나리오!$A$9/10000)/2)^(CP58-1),0)</f>
        <v/>
      </c>
      <c r="DF58" s="51">
        <f>IF(CO58=1,$CI58/(1+($CH$111+시나리오!$A$10/10000)/2)^(CP58-1),0)</f>
        <v/>
      </c>
      <c r="DG58" s="51">
        <f>IF(CO58=1,$CI58/(1+($CH$111+시나리오!$A$11/10000)/2)^(CP58-1),0)</f>
        <v/>
      </c>
      <c r="DH58" s="51">
        <f>IF(CO58=1,$CI58/(1+($CH$111+시나리오!$A$12/10000)/2)^(CP58-1),0)</f>
        <v/>
      </c>
      <c r="DI58" s="51">
        <f>IF(CO58=1,$CI58/(1+($CH$111+시나리오!$A$13/10000)/2)^(CP58-1),0)</f>
        <v/>
      </c>
      <c r="DJ58" s="51">
        <f>IF(CO58=1,$CI58/(1+($CH$111+시나리오!$A$14/10000)/2)^(CP58-1),0)</f>
        <v/>
      </c>
      <c r="DK58" s="51">
        <f>IF(CO58=1,$CI58/(1+($CH$111+시나리오!$A$15/10000)/2)^(CP58-1),0)</f>
        <v/>
      </c>
      <c r="DL58" s="51">
        <f>IF(CO58=1,$CI58/(1+($CH$111+시나리오!$A$16/10000)/2)^(CP58-1),0)</f>
        <v/>
      </c>
      <c r="DM58" s="51">
        <f>IF(CO58=1,$CI58/(1+($CH$111+시나리오!$A$17/10000)/2)^(CP58-1),0)</f>
        <v/>
      </c>
      <c r="DN58" s="51">
        <f>IF(CO58=1,$CI58/(1+($CH$111+시나리오!$A$18/10000)/2)^(CP58-1),0)</f>
        <v/>
      </c>
      <c r="DO58" s="51">
        <f>IF(CO58=1,$CI58/(1+($CH$111+시나리오!$A$19/10000)/2)^(CP58-1),0)</f>
        <v/>
      </c>
      <c r="DP58" s="51">
        <f>IF(CO58=1,$CI58/(1+($CH$111+시나리오!$A$20/10000)/2)^(CP58-1),0)</f>
        <v/>
      </c>
      <c r="DQ58" s="51">
        <f>IF(CO58=1,$CI58/(1+($CH$111+시나리오!$A$21/10000)/2)^(CP58-1),0)</f>
        <v/>
      </c>
      <c r="DR58" s="51">
        <f>IF(CO58=1,$CI58/(1+($CH$111+시나리오!$A$22/10000)/2)^(CP58-1),0)</f>
        <v/>
      </c>
      <c r="DS58" s="51">
        <f>IF(CO58=1,$CI58/(1+($CH$111+시나리오!$A$23/10000)/2)^(CP58-1),0)</f>
        <v/>
      </c>
      <c r="DT58" s="51">
        <f>IF(CO58=1,$CI58/(1+($CH$111+시나리오!$A$24/10000)/2)^(CP58-1),0)</f>
        <v/>
      </c>
    </row>
    <row r="59">
      <c r="A59" s="49" t="n">
        <v>45</v>
      </c>
      <c r="B59" s="50">
        <f>EDATE($B$2,-6*(62-$A59))</f>
        <v/>
      </c>
      <c r="C59" s="51">
        <f>IF(AND(B59&gt;$B$3,B59&lt;=$B$2),IF(B59=$B$2,$B$5+100,$B$5),0)</f>
        <v/>
      </c>
      <c r="D59" s="49">
        <f>IF(AND($C59&gt;0,B59&gt;$B$6),1,0)</f>
        <v/>
      </c>
      <c r="E59" s="49">
        <f>IF(D59=1,SUM($D$15:D59),"")</f>
        <v/>
      </c>
      <c r="F59" s="51">
        <f>IF(D59=1,$C59/(1+$B$8/2)^(E59-1),0)</f>
        <v/>
      </c>
      <c r="G59" s="51">
        <f>IF(D59=1,$C59/(1+($B$8+0.0001)/2)^(E59-1),0)</f>
        <v/>
      </c>
      <c r="H59" s="51">
        <f>IF(D59=1,$C59/(1+($B$8-0.0001)/2)^(E59-1),0)</f>
        <v/>
      </c>
      <c r="I59" s="49">
        <f>IF(AND($C59&gt;0,B59&gt;$B$7),1,0)</f>
        <v/>
      </c>
      <c r="J59" s="49">
        <f>IF(I59=1,SUM($I$15:I59),"")</f>
        <v/>
      </c>
      <c r="K59" s="51">
        <f>IF(I59=1,$C59/(1+$B$104/2)^(J59-1),0)</f>
        <v/>
      </c>
      <c r="L59" s="51">
        <f>IF(I59=1,$C59/(1+($B$104+0.0001)/2)^(J59-1),0)</f>
        <v/>
      </c>
      <c r="M59" s="51">
        <f>IF(I59=1,$C59/(1+($B$104-0.0001)/2)^(J59-1),0)</f>
        <v/>
      </c>
      <c r="N59" s="51">
        <f>IF(I59=1,$C59/(1+$B$109/2)^(J59-1),0)</f>
        <v/>
      </c>
      <c r="O59" s="51">
        <f>IF(I59=1,$C59/(1+$B$111/2)^(J59-1),0)</f>
        <v/>
      </c>
      <c r="P59" s="51">
        <f>IF(I59=1,$C59/(1+($B$111+0.0001)/2)^(J59-1),0)</f>
        <v/>
      </c>
      <c r="Q59" s="51">
        <f>IF(I59=1,$C59/(1+($B$111-0.0001)/2)^(J59-1),0)</f>
        <v/>
      </c>
      <c r="R59" s="51">
        <f>IF(AND($C59&gt;0,B59&gt;$B$6,B59&lt;=$B$7),$C59*(1+$B$10*($B$7-B59)/365),0)</f>
        <v/>
      </c>
      <c r="S59" s="51">
        <f>IF(I59=1,$C59/(1+($B$111+손익!$B$24/10000)/2)^(J59-1),0)</f>
        <v/>
      </c>
      <c r="T59" s="51">
        <f>IF(I59=1,$C59/(1+($B$111+시나리오!$A$4/10000)/2)^(J59-1),0)</f>
        <v/>
      </c>
      <c r="U59" s="51">
        <f>IF(I59=1,$C59/(1+($B$111+시나리오!$A$5/10000)/2)^(J59-1),0)</f>
        <v/>
      </c>
      <c r="V59" s="51">
        <f>IF(I59=1,$C59/(1+($B$111+시나리오!$A$6/10000)/2)^(J59-1),0)</f>
        <v/>
      </c>
      <c r="W59" s="51">
        <f>IF(I59=1,$C59/(1+($B$111+시나리오!$A$7/10000)/2)^(J59-1),0)</f>
        <v/>
      </c>
      <c r="X59" s="51">
        <f>IF(I59=1,$C59/(1+($B$111+시나리오!$A$8/10000)/2)^(J59-1),0)</f>
        <v/>
      </c>
      <c r="Y59" s="51">
        <f>IF(I59=1,$C59/(1+($B$111+시나리오!$A$9/10000)/2)^(J59-1),0)</f>
        <v/>
      </c>
      <c r="Z59" s="51">
        <f>IF(I59=1,$C59/(1+($B$111+시나리오!$A$10/10000)/2)^(J59-1),0)</f>
        <v/>
      </c>
      <c r="AA59" s="51">
        <f>IF(I59=1,$C59/(1+($B$111+시나리오!$A$11/10000)/2)^(J59-1),0)</f>
        <v/>
      </c>
      <c r="AB59" s="51">
        <f>IF(I59=1,$C59/(1+($B$111+시나리오!$A$12/10000)/2)^(J59-1),0)</f>
        <v/>
      </c>
      <c r="AC59" s="51">
        <f>IF(I59=1,$C59/(1+($B$111+시나리오!$A$13/10000)/2)^(J59-1),0)</f>
        <v/>
      </c>
      <c r="AD59" s="51">
        <f>IF(I59=1,$C59/(1+($B$111+시나리오!$A$14/10000)/2)^(J59-1),0)</f>
        <v/>
      </c>
      <c r="AE59" s="51">
        <f>IF(I59=1,$C59/(1+($B$111+시나리오!$A$15/10000)/2)^(J59-1),0)</f>
        <v/>
      </c>
      <c r="AF59" s="51">
        <f>IF(I59=1,$C59/(1+($B$111+시나리오!$A$16/10000)/2)^(J59-1),0)</f>
        <v/>
      </c>
      <c r="AG59" s="51">
        <f>IF(I59=1,$C59/(1+($B$111+시나리오!$A$17/10000)/2)^(J59-1),0)</f>
        <v/>
      </c>
      <c r="AH59" s="51">
        <f>IF(I59=1,$C59/(1+($B$111+시나리오!$A$18/10000)/2)^(J59-1),0)</f>
        <v/>
      </c>
      <c r="AI59" s="51">
        <f>IF(I59=1,$C59/(1+($B$111+시나리오!$A$19/10000)/2)^(J59-1),0)</f>
        <v/>
      </c>
      <c r="AJ59" s="51">
        <f>IF(I59=1,$C59/(1+($B$111+시나리오!$A$20/10000)/2)^(J59-1),0)</f>
        <v/>
      </c>
      <c r="AK59" s="51">
        <f>IF(I59=1,$C59/(1+($B$111+시나리오!$A$21/10000)/2)^(J59-1),0)</f>
        <v/>
      </c>
      <c r="AL59" s="51">
        <f>IF(I59=1,$C59/(1+($B$111+시나리오!$A$22/10000)/2)^(J59-1),0)</f>
        <v/>
      </c>
      <c r="AM59" s="51">
        <f>IF(I59=1,$C59/(1+($B$111+시나리오!$A$23/10000)/2)^(J59-1),0)</f>
        <v/>
      </c>
      <c r="AN59" s="51">
        <f>IF(I59=1,$C59/(1+($B$111+시나리오!$A$24/10000)/2)^(J59-1),0)</f>
        <v/>
      </c>
      <c r="AQ59" s="49" t="n">
        <v>45</v>
      </c>
      <c r="AR59" s="50">
        <f>EDATE($AR$2,-6*(62-$AQ59))</f>
        <v/>
      </c>
      <c r="AS59" s="51">
        <f>IF(AND(AR59&gt;$AR$3,AR59&lt;=$AR$2),IF(AR59=$AR$2,$AR$5+100,$AR$5),0)</f>
        <v/>
      </c>
      <c r="AT59" s="49">
        <f>IF(AND($AS59&gt;0,AR59&gt;$AR$6),1,0)</f>
        <v/>
      </c>
      <c r="AU59" s="49">
        <f>IF(AT59=1,SUM($AT$15:AT59),"")</f>
        <v/>
      </c>
      <c r="AV59" s="51">
        <f>IF(AT59=1,$AS59/(1+$AR$8/2)^(AU59-1),0)</f>
        <v/>
      </c>
      <c r="AW59" s="51">
        <f>IF(AT59=1,$AS59/(1+($AR$8+0.0001)/2)^(AU59-1),0)</f>
        <v/>
      </c>
      <c r="AX59" s="51">
        <f>IF(AT59=1,$AS59/(1+($AR$8-0.0001)/2)^(AU59-1),0)</f>
        <v/>
      </c>
      <c r="AY59" s="49">
        <f>IF(AND($AS59&gt;0,AR59&gt;$AR$7),1,0)</f>
        <v/>
      </c>
      <c r="AZ59" s="49">
        <f>IF(AY59=1,SUM($AY$15:AY59),"")</f>
        <v/>
      </c>
      <c r="BA59" s="51">
        <f>IF(AY59=1,$AS59/(1+$AR$104/2)^(AZ59-1),0)</f>
        <v/>
      </c>
      <c r="BB59" s="51">
        <f>IF(AY59=1,$AS59/(1+($AR$104+0.0001)/2)^(AZ59-1),0)</f>
        <v/>
      </c>
      <c r="BC59" s="51">
        <f>IF(AY59=1,$AS59/(1+($AR$104-0.0001)/2)^(AZ59-1),0)</f>
        <v/>
      </c>
      <c r="BD59" s="51">
        <f>IF(AY59=1,$AS59/(1+$AR$109/2)^(AZ59-1),0)</f>
        <v/>
      </c>
      <c r="BE59" s="51">
        <f>IF(AY59=1,$AS59/(1+$AR$111/2)^(AZ59-1),0)</f>
        <v/>
      </c>
      <c r="BF59" s="51">
        <f>IF(AY59=1,$AS59/(1+($AR$111+0.0001)/2)^(AZ59-1),0)</f>
        <v/>
      </c>
      <c r="BG59" s="51">
        <f>IF(AY59=1,$AS59/(1+($AR$111-0.0001)/2)^(AZ59-1),0)</f>
        <v/>
      </c>
      <c r="BH59" s="51">
        <f>IF(AND($AS59&gt;0,AR59&gt;$AR$6,AR59&lt;=$AR$7),$AS59*(1+$AR$10*($AR$7-AR59)/365),0)</f>
        <v/>
      </c>
      <c r="BI59" s="51">
        <f>IF(AY59=1,$AS59/(1+($AR$111+손익!$B$24/10000)/2)^(AZ59-1),0)</f>
        <v/>
      </c>
      <c r="BJ59" s="51">
        <f>IF(AY59=1,$AS59/(1+($AR$111+시나리오!$A$4/10000)/2)^(AZ59-1),0)</f>
        <v/>
      </c>
      <c r="BK59" s="51">
        <f>IF(AY59=1,$AS59/(1+($AR$111+시나리오!$A$5/10000)/2)^(AZ59-1),0)</f>
        <v/>
      </c>
      <c r="BL59" s="51">
        <f>IF(AY59=1,$AS59/(1+($AR$111+시나리오!$A$6/10000)/2)^(AZ59-1),0)</f>
        <v/>
      </c>
      <c r="BM59" s="51">
        <f>IF(AY59=1,$AS59/(1+($AR$111+시나리오!$A$7/10000)/2)^(AZ59-1),0)</f>
        <v/>
      </c>
      <c r="BN59" s="51">
        <f>IF(AY59=1,$AS59/(1+($AR$111+시나리오!$A$8/10000)/2)^(AZ59-1),0)</f>
        <v/>
      </c>
      <c r="BO59" s="51">
        <f>IF(AY59=1,$AS59/(1+($AR$111+시나리오!$A$9/10000)/2)^(AZ59-1),0)</f>
        <v/>
      </c>
      <c r="BP59" s="51">
        <f>IF(AY59=1,$AS59/(1+($AR$111+시나리오!$A$10/10000)/2)^(AZ59-1),0)</f>
        <v/>
      </c>
      <c r="BQ59" s="51">
        <f>IF(AY59=1,$AS59/(1+($AR$111+시나리오!$A$11/10000)/2)^(AZ59-1),0)</f>
        <v/>
      </c>
      <c r="BR59" s="51">
        <f>IF(AY59=1,$AS59/(1+($AR$111+시나리오!$A$12/10000)/2)^(AZ59-1),0)</f>
        <v/>
      </c>
      <c r="BS59" s="51">
        <f>IF(AY59=1,$AS59/(1+($AR$111+시나리오!$A$13/10000)/2)^(AZ59-1),0)</f>
        <v/>
      </c>
      <c r="BT59" s="51">
        <f>IF(AY59=1,$AS59/(1+($AR$111+시나리오!$A$14/10000)/2)^(AZ59-1),0)</f>
        <v/>
      </c>
      <c r="BU59" s="51">
        <f>IF(AY59=1,$AS59/(1+($AR$111+시나리오!$A$15/10000)/2)^(AZ59-1),0)</f>
        <v/>
      </c>
      <c r="BV59" s="51">
        <f>IF(AY59=1,$AS59/(1+($AR$111+시나리오!$A$16/10000)/2)^(AZ59-1),0)</f>
        <v/>
      </c>
      <c r="BW59" s="51">
        <f>IF(AY59=1,$AS59/(1+($AR$111+시나리오!$A$17/10000)/2)^(AZ59-1),0)</f>
        <v/>
      </c>
      <c r="BX59" s="51">
        <f>IF(AY59=1,$AS59/(1+($AR$111+시나리오!$A$18/10000)/2)^(AZ59-1),0)</f>
        <v/>
      </c>
      <c r="BY59" s="51">
        <f>IF(AY59=1,$AS59/(1+($AR$111+시나리오!$A$19/10000)/2)^(AZ59-1),0)</f>
        <v/>
      </c>
      <c r="BZ59" s="51">
        <f>IF(AY59=1,$AS59/(1+($AR$111+시나리오!$A$20/10000)/2)^(AZ59-1),0)</f>
        <v/>
      </c>
      <c r="CA59" s="51">
        <f>IF(AY59=1,$AS59/(1+($AR$111+시나리오!$A$21/10000)/2)^(AZ59-1),0)</f>
        <v/>
      </c>
      <c r="CB59" s="51">
        <f>IF(AY59=1,$AS59/(1+($AR$111+시나리오!$A$22/10000)/2)^(AZ59-1),0)</f>
        <v/>
      </c>
      <c r="CC59" s="51">
        <f>IF(AY59=1,$AS59/(1+($AR$111+시나리오!$A$23/10000)/2)^(AZ59-1),0)</f>
        <v/>
      </c>
      <c r="CD59" s="51">
        <f>IF(AY59=1,$AS59/(1+($AR$111+시나리오!$A$24/10000)/2)^(AZ59-1),0)</f>
        <v/>
      </c>
      <c r="CG59" s="49" t="n">
        <v>45</v>
      </c>
      <c r="CH59" s="50">
        <f>EDATE($CH$2,-6*(62-$CG59))</f>
        <v/>
      </c>
      <c r="CI59" s="51">
        <f>IF(AND(CH59&gt;$CH$3,CH59&lt;=$CH$2),IF(CH59=$CH$2,$CH$5+100,$CH$5),0)</f>
        <v/>
      </c>
      <c r="CJ59" s="49">
        <f>IF(AND($CI59&gt;0,CH59&gt;$CH$6),1,0)</f>
        <v/>
      </c>
      <c r="CK59" s="49">
        <f>IF(CJ59=1,SUM($CJ$15:CJ59),"")</f>
        <v/>
      </c>
      <c r="CL59" s="51">
        <f>IF(CJ59=1,$CI59/(1+$CH$8/2)^(CK59-1),0)</f>
        <v/>
      </c>
      <c r="CM59" s="51">
        <f>IF(CJ59=1,$CI59/(1+($CH$8+0.0001)/2)^(CK59-1),0)</f>
        <v/>
      </c>
      <c r="CN59" s="51">
        <f>IF(CJ59=1,$CI59/(1+($CH$8-0.0001)/2)^(CK59-1),0)</f>
        <v/>
      </c>
      <c r="CO59" s="49">
        <f>IF(AND($CI59&gt;0,CH59&gt;$CH$7),1,0)</f>
        <v/>
      </c>
      <c r="CP59" s="49">
        <f>IF(CO59=1,SUM($CO$15:CO59),"")</f>
        <v/>
      </c>
      <c r="CQ59" s="51">
        <f>IF(CO59=1,$CI59/(1+$CH$104/2)^(CP59-1),0)</f>
        <v/>
      </c>
      <c r="CR59" s="51">
        <f>IF(CO59=1,$CI59/(1+($CH$104+0.0001)/2)^(CP59-1),0)</f>
        <v/>
      </c>
      <c r="CS59" s="51">
        <f>IF(CO59=1,$CI59/(1+($CH$104-0.0001)/2)^(CP59-1),0)</f>
        <v/>
      </c>
      <c r="CT59" s="51">
        <f>IF(CO59=1,$CI59/(1+$CH$109/2)^(CP59-1),0)</f>
        <v/>
      </c>
      <c r="CU59" s="51">
        <f>IF(CO59=1,$CI59/(1+$CH$111/2)^(CP59-1),0)</f>
        <v/>
      </c>
      <c r="CV59" s="51">
        <f>IF(CO59=1,$CI59/(1+($CH$111+0.0001)/2)^(CP59-1),0)</f>
        <v/>
      </c>
      <c r="CW59" s="51">
        <f>IF(CO59=1,$CI59/(1+($CH$111-0.0001)/2)^(CP59-1),0)</f>
        <v/>
      </c>
      <c r="CX59" s="51">
        <f>IF(AND($CI59&gt;0,CH59&gt;$CH$6,CH59&lt;=$CH$7),$CI59*(1+$CH$10*($CH$7-CH59)/365),0)</f>
        <v/>
      </c>
      <c r="CY59" s="51">
        <f>IF(CO59=1,$CI59/(1+($CH$111+손익!$B$24/10000)/2)^(CP59-1),0)</f>
        <v/>
      </c>
      <c r="CZ59" s="51">
        <f>IF(CO59=1,$CI59/(1+($CH$111+시나리오!$A$4/10000)/2)^(CP59-1),0)</f>
        <v/>
      </c>
      <c r="DA59" s="51">
        <f>IF(CO59=1,$CI59/(1+($CH$111+시나리오!$A$5/10000)/2)^(CP59-1),0)</f>
        <v/>
      </c>
      <c r="DB59" s="51">
        <f>IF(CO59=1,$CI59/(1+($CH$111+시나리오!$A$6/10000)/2)^(CP59-1),0)</f>
        <v/>
      </c>
      <c r="DC59" s="51">
        <f>IF(CO59=1,$CI59/(1+($CH$111+시나리오!$A$7/10000)/2)^(CP59-1),0)</f>
        <v/>
      </c>
      <c r="DD59" s="51">
        <f>IF(CO59=1,$CI59/(1+($CH$111+시나리오!$A$8/10000)/2)^(CP59-1),0)</f>
        <v/>
      </c>
      <c r="DE59" s="51">
        <f>IF(CO59=1,$CI59/(1+($CH$111+시나리오!$A$9/10000)/2)^(CP59-1),0)</f>
        <v/>
      </c>
      <c r="DF59" s="51">
        <f>IF(CO59=1,$CI59/(1+($CH$111+시나리오!$A$10/10000)/2)^(CP59-1),0)</f>
        <v/>
      </c>
      <c r="DG59" s="51">
        <f>IF(CO59=1,$CI59/(1+($CH$111+시나리오!$A$11/10000)/2)^(CP59-1),0)</f>
        <v/>
      </c>
      <c r="DH59" s="51">
        <f>IF(CO59=1,$CI59/(1+($CH$111+시나리오!$A$12/10000)/2)^(CP59-1),0)</f>
        <v/>
      </c>
      <c r="DI59" s="51">
        <f>IF(CO59=1,$CI59/(1+($CH$111+시나리오!$A$13/10000)/2)^(CP59-1),0)</f>
        <v/>
      </c>
      <c r="DJ59" s="51">
        <f>IF(CO59=1,$CI59/(1+($CH$111+시나리오!$A$14/10000)/2)^(CP59-1),0)</f>
        <v/>
      </c>
      <c r="DK59" s="51">
        <f>IF(CO59=1,$CI59/(1+($CH$111+시나리오!$A$15/10000)/2)^(CP59-1),0)</f>
        <v/>
      </c>
      <c r="DL59" s="51">
        <f>IF(CO59=1,$CI59/(1+($CH$111+시나리오!$A$16/10000)/2)^(CP59-1),0)</f>
        <v/>
      </c>
      <c r="DM59" s="51">
        <f>IF(CO59=1,$CI59/(1+($CH$111+시나리오!$A$17/10000)/2)^(CP59-1),0)</f>
        <v/>
      </c>
      <c r="DN59" s="51">
        <f>IF(CO59=1,$CI59/(1+($CH$111+시나리오!$A$18/10000)/2)^(CP59-1),0)</f>
        <v/>
      </c>
      <c r="DO59" s="51">
        <f>IF(CO59=1,$CI59/(1+($CH$111+시나리오!$A$19/10000)/2)^(CP59-1),0)</f>
        <v/>
      </c>
      <c r="DP59" s="51">
        <f>IF(CO59=1,$CI59/(1+($CH$111+시나리오!$A$20/10000)/2)^(CP59-1),0)</f>
        <v/>
      </c>
      <c r="DQ59" s="51">
        <f>IF(CO59=1,$CI59/(1+($CH$111+시나리오!$A$21/10000)/2)^(CP59-1),0)</f>
        <v/>
      </c>
      <c r="DR59" s="51">
        <f>IF(CO59=1,$CI59/(1+($CH$111+시나리오!$A$22/10000)/2)^(CP59-1),0)</f>
        <v/>
      </c>
      <c r="DS59" s="51">
        <f>IF(CO59=1,$CI59/(1+($CH$111+시나리오!$A$23/10000)/2)^(CP59-1),0)</f>
        <v/>
      </c>
      <c r="DT59" s="51">
        <f>IF(CO59=1,$CI59/(1+($CH$111+시나리오!$A$24/10000)/2)^(CP59-1),0)</f>
        <v/>
      </c>
    </row>
    <row r="60">
      <c r="A60" s="49" t="n">
        <v>46</v>
      </c>
      <c r="B60" s="50">
        <f>EDATE($B$2,-6*(62-$A60))</f>
        <v/>
      </c>
      <c r="C60" s="51">
        <f>IF(AND(B60&gt;$B$3,B60&lt;=$B$2),IF(B60=$B$2,$B$5+100,$B$5),0)</f>
        <v/>
      </c>
      <c r="D60" s="49">
        <f>IF(AND($C60&gt;0,B60&gt;$B$6),1,0)</f>
        <v/>
      </c>
      <c r="E60" s="49">
        <f>IF(D60=1,SUM($D$15:D60),"")</f>
        <v/>
      </c>
      <c r="F60" s="51">
        <f>IF(D60=1,$C60/(1+$B$8/2)^(E60-1),0)</f>
        <v/>
      </c>
      <c r="G60" s="51">
        <f>IF(D60=1,$C60/(1+($B$8+0.0001)/2)^(E60-1),0)</f>
        <v/>
      </c>
      <c r="H60" s="51">
        <f>IF(D60=1,$C60/(1+($B$8-0.0001)/2)^(E60-1),0)</f>
        <v/>
      </c>
      <c r="I60" s="49">
        <f>IF(AND($C60&gt;0,B60&gt;$B$7),1,0)</f>
        <v/>
      </c>
      <c r="J60" s="49">
        <f>IF(I60=1,SUM($I$15:I60),"")</f>
        <v/>
      </c>
      <c r="K60" s="51">
        <f>IF(I60=1,$C60/(1+$B$104/2)^(J60-1),0)</f>
        <v/>
      </c>
      <c r="L60" s="51">
        <f>IF(I60=1,$C60/(1+($B$104+0.0001)/2)^(J60-1),0)</f>
        <v/>
      </c>
      <c r="M60" s="51">
        <f>IF(I60=1,$C60/(1+($B$104-0.0001)/2)^(J60-1),0)</f>
        <v/>
      </c>
      <c r="N60" s="51">
        <f>IF(I60=1,$C60/(1+$B$109/2)^(J60-1),0)</f>
        <v/>
      </c>
      <c r="O60" s="51">
        <f>IF(I60=1,$C60/(1+$B$111/2)^(J60-1),0)</f>
        <v/>
      </c>
      <c r="P60" s="51">
        <f>IF(I60=1,$C60/(1+($B$111+0.0001)/2)^(J60-1),0)</f>
        <v/>
      </c>
      <c r="Q60" s="51">
        <f>IF(I60=1,$C60/(1+($B$111-0.0001)/2)^(J60-1),0)</f>
        <v/>
      </c>
      <c r="R60" s="51">
        <f>IF(AND($C60&gt;0,B60&gt;$B$6,B60&lt;=$B$7),$C60*(1+$B$10*($B$7-B60)/365),0)</f>
        <v/>
      </c>
      <c r="S60" s="51">
        <f>IF(I60=1,$C60/(1+($B$111+손익!$B$24/10000)/2)^(J60-1),0)</f>
        <v/>
      </c>
      <c r="T60" s="51">
        <f>IF(I60=1,$C60/(1+($B$111+시나리오!$A$4/10000)/2)^(J60-1),0)</f>
        <v/>
      </c>
      <c r="U60" s="51">
        <f>IF(I60=1,$C60/(1+($B$111+시나리오!$A$5/10000)/2)^(J60-1),0)</f>
        <v/>
      </c>
      <c r="V60" s="51">
        <f>IF(I60=1,$C60/(1+($B$111+시나리오!$A$6/10000)/2)^(J60-1),0)</f>
        <v/>
      </c>
      <c r="W60" s="51">
        <f>IF(I60=1,$C60/(1+($B$111+시나리오!$A$7/10000)/2)^(J60-1),0)</f>
        <v/>
      </c>
      <c r="X60" s="51">
        <f>IF(I60=1,$C60/(1+($B$111+시나리오!$A$8/10000)/2)^(J60-1),0)</f>
        <v/>
      </c>
      <c r="Y60" s="51">
        <f>IF(I60=1,$C60/(1+($B$111+시나리오!$A$9/10000)/2)^(J60-1),0)</f>
        <v/>
      </c>
      <c r="Z60" s="51">
        <f>IF(I60=1,$C60/(1+($B$111+시나리오!$A$10/10000)/2)^(J60-1),0)</f>
        <v/>
      </c>
      <c r="AA60" s="51">
        <f>IF(I60=1,$C60/(1+($B$111+시나리오!$A$11/10000)/2)^(J60-1),0)</f>
        <v/>
      </c>
      <c r="AB60" s="51">
        <f>IF(I60=1,$C60/(1+($B$111+시나리오!$A$12/10000)/2)^(J60-1),0)</f>
        <v/>
      </c>
      <c r="AC60" s="51">
        <f>IF(I60=1,$C60/(1+($B$111+시나리오!$A$13/10000)/2)^(J60-1),0)</f>
        <v/>
      </c>
      <c r="AD60" s="51">
        <f>IF(I60=1,$C60/(1+($B$111+시나리오!$A$14/10000)/2)^(J60-1),0)</f>
        <v/>
      </c>
      <c r="AE60" s="51">
        <f>IF(I60=1,$C60/(1+($B$111+시나리오!$A$15/10000)/2)^(J60-1),0)</f>
        <v/>
      </c>
      <c r="AF60" s="51">
        <f>IF(I60=1,$C60/(1+($B$111+시나리오!$A$16/10000)/2)^(J60-1),0)</f>
        <v/>
      </c>
      <c r="AG60" s="51">
        <f>IF(I60=1,$C60/(1+($B$111+시나리오!$A$17/10000)/2)^(J60-1),0)</f>
        <v/>
      </c>
      <c r="AH60" s="51">
        <f>IF(I60=1,$C60/(1+($B$111+시나리오!$A$18/10000)/2)^(J60-1),0)</f>
        <v/>
      </c>
      <c r="AI60" s="51">
        <f>IF(I60=1,$C60/(1+($B$111+시나리오!$A$19/10000)/2)^(J60-1),0)</f>
        <v/>
      </c>
      <c r="AJ60" s="51">
        <f>IF(I60=1,$C60/(1+($B$111+시나리오!$A$20/10000)/2)^(J60-1),0)</f>
        <v/>
      </c>
      <c r="AK60" s="51">
        <f>IF(I60=1,$C60/(1+($B$111+시나리오!$A$21/10000)/2)^(J60-1),0)</f>
        <v/>
      </c>
      <c r="AL60" s="51">
        <f>IF(I60=1,$C60/(1+($B$111+시나리오!$A$22/10000)/2)^(J60-1),0)</f>
        <v/>
      </c>
      <c r="AM60" s="51">
        <f>IF(I60=1,$C60/(1+($B$111+시나리오!$A$23/10000)/2)^(J60-1),0)</f>
        <v/>
      </c>
      <c r="AN60" s="51">
        <f>IF(I60=1,$C60/(1+($B$111+시나리오!$A$24/10000)/2)^(J60-1),0)</f>
        <v/>
      </c>
      <c r="AQ60" s="49" t="n">
        <v>46</v>
      </c>
      <c r="AR60" s="50">
        <f>EDATE($AR$2,-6*(62-$AQ60))</f>
        <v/>
      </c>
      <c r="AS60" s="51">
        <f>IF(AND(AR60&gt;$AR$3,AR60&lt;=$AR$2),IF(AR60=$AR$2,$AR$5+100,$AR$5),0)</f>
        <v/>
      </c>
      <c r="AT60" s="49">
        <f>IF(AND($AS60&gt;0,AR60&gt;$AR$6),1,0)</f>
        <v/>
      </c>
      <c r="AU60" s="49">
        <f>IF(AT60=1,SUM($AT$15:AT60),"")</f>
        <v/>
      </c>
      <c r="AV60" s="51">
        <f>IF(AT60=1,$AS60/(1+$AR$8/2)^(AU60-1),0)</f>
        <v/>
      </c>
      <c r="AW60" s="51">
        <f>IF(AT60=1,$AS60/(1+($AR$8+0.0001)/2)^(AU60-1),0)</f>
        <v/>
      </c>
      <c r="AX60" s="51">
        <f>IF(AT60=1,$AS60/(1+($AR$8-0.0001)/2)^(AU60-1),0)</f>
        <v/>
      </c>
      <c r="AY60" s="49">
        <f>IF(AND($AS60&gt;0,AR60&gt;$AR$7),1,0)</f>
        <v/>
      </c>
      <c r="AZ60" s="49">
        <f>IF(AY60=1,SUM($AY$15:AY60),"")</f>
        <v/>
      </c>
      <c r="BA60" s="51">
        <f>IF(AY60=1,$AS60/(1+$AR$104/2)^(AZ60-1),0)</f>
        <v/>
      </c>
      <c r="BB60" s="51">
        <f>IF(AY60=1,$AS60/(1+($AR$104+0.0001)/2)^(AZ60-1),0)</f>
        <v/>
      </c>
      <c r="BC60" s="51">
        <f>IF(AY60=1,$AS60/(1+($AR$104-0.0001)/2)^(AZ60-1),0)</f>
        <v/>
      </c>
      <c r="BD60" s="51">
        <f>IF(AY60=1,$AS60/(1+$AR$109/2)^(AZ60-1),0)</f>
        <v/>
      </c>
      <c r="BE60" s="51">
        <f>IF(AY60=1,$AS60/(1+$AR$111/2)^(AZ60-1),0)</f>
        <v/>
      </c>
      <c r="BF60" s="51">
        <f>IF(AY60=1,$AS60/(1+($AR$111+0.0001)/2)^(AZ60-1),0)</f>
        <v/>
      </c>
      <c r="BG60" s="51">
        <f>IF(AY60=1,$AS60/(1+($AR$111-0.0001)/2)^(AZ60-1),0)</f>
        <v/>
      </c>
      <c r="BH60" s="51">
        <f>IF(AND($AS60&gt;0,AR60&gt;$AR$6,AR60&lt;=$AR$7),$AS60*(1+$AR$10*($AR$7-AR60)/365),0)</f>
        <v/>
      </c>
      <c r="BI60" s="51">
        <f>IF(AY60=1,$AS60/(1+($AR$111+손익!$B$24/10000)/2)^(AZ60-1),0)</f>
        <v/>
      </c>
      <c r="BJ60" s="51">
        <f>IF(AY60=1,$AS60/(1+($AR$111+시나리오!$A$4/10000)/2)^(AZ60-1),0)</f>
        <v/>
      </c>
      <c r="BK60" s="51">
        <f>IF(AY60=1,$AS60/(1+($AR$111+시나리오!$A$5/10000)/2)^(AZ60-1),0)</f>
        <v/>
      </c>
      <c r="BL60" s="51">
        <f>IF(AY60=1,$AS60/(1+($AR$111+시나리오!$A$6/10000)/2)^(AZ60-1),0)</f>
        <v/>
      </c>
      <c r="BM60" s="51">
        <f>IF(AY60=1,$AS60/(1+($AR$111+시나리오!$A$7/10000)/2)^(AZ60-1),0)</f>
        <v/>
      </c>
      <c r="BN60" s="51">
        <f>IF(AY60=1,$AS60/(1+($AR$111+시나리오!$A$8/10000)/2)^(AZ60-1),0)</f>
        <v/>
      </c>
      <c r="BO60" s="51">
        <f>IF(AY60=1,$AS60/(1+($AR$111+시나리오!$A$9/10000)/2)^(AZ60-1),0)</f>
        <v/>
      </c>
      <c r="BP60" s="51">
        <f>IF(AY60=1,$AS60/(1+($AR$111+시나리오!$A$10/10000)/2)^(AZ60-1),0)</f>
        <v/>
      </c>
      <c r="BQ60" s="51">
        <f>IF(AY60=1,$AS60/(1+($AR$111+시나리오!$A$11/10000)/2)^(AZ60-1),0)</f>
        <v/>
      </c>
      <c r="BR60" s="51">
        <f>IF(AY60=1,$AS60/(1+($AR$111+시나리오!$A$12/10000)/2)^(AZ60-1),0)</f>
        <v/>
      </c>
      <c r="BS60" s="51">
        <f>IF(AY60=1,$AS60/(1+($AR$111+시나리오!$A$13/10000)/2)^(AZ60-1),0)</f>
        <v/>
      </c>
      <c r="BT60" s="51">
        <f>IF(AY60=1,$AS60/(1+($AR$111+시나리오!$A$14/10000)/2)^(AZ60-1),0)</f>
        <v/>
      </c>
      <c r="BU60" s="51">
        <f>IF(AY60=1,$AS60/(1+($AR$111+시나리오!$A$15/10000)/2)^(AZ60-1),0)</f>
        <v/>
      </c>
      <c r="BV60" s="51">
        <f>IF(AY60=1,$AS60/(1+($AR$111+시나리오!$A$16/10000)/2)^(AZ60-1),0)</f>
        <v/>
      </c>
      <c r="BW60" s="51">
        <f>IF(AY60=1,$AS60/(1+($AR$111+시나리오!$A$17/10000)/2)^(AZ60-1),0)</f>
        <v/>
      </c>
      <c r="BX60" s="51">
        <f>IF(AY60=1,$AS60/(1+($AR$111+시나리오!$A$18/10000)/2)^(AZ60-1),0)</f>
        <v/>
      </c>
      <c r="BY60" s="51">
        <f>IF(AY60=1,$AS60/(1+($AR$111+시나리오!$A$19/10000)/2)^(AZ60-1),0)</f>
        <v/>
      </c>
      <c r="BZ60" s="51">
        <f>IF(AY60=1,$AS60/(1+($AR$111+시나리오!$A$20/10000)/2)^(AZ60-1),0)</f>
        <v/>
      </c>
      <c r="CA60" s="51">
        <f>IF(AY60=1,$AS60/(1+($AR$111+시나리오!$A$21/10000)/2)^(AZ60-1),0)</f>
        <v/>
      </c>
      <c r="CB60" s="51">
        <f>IF(AY60=1,$AS60/(1+($AR$111+시나리오!$A$22/10000)/2)^(AZ60-1),0)</f>
        <v/>
      </c>
      <c r="CC60" s="51">
        <f>IF(AY60=1,$AS60/(1+($AR$111+시나리오!$A$23/10000)/2)^(AZ60-1),0)</f>
        <v/>
      </c>
      <c r="CD60" s="51">
        <f>IF(AY60=1,$AS60/(1+($AR$111+시나리오!$A$24/10000)/2)^(AZ60-1),0)</f>
        <v/>
      </c>
      <c r="CG60" s="49" t="n">
        <v>46</v>
      </c>
      <c r="CH60" s="50">
        <f>EDATE($CH$2,-6*(62-$CG60))</f>
        <v/>
      </c>
      <c r="CI60" s="51">
        <f>IF(AND(CH60&gt;$CH$3,CH60&lt;=$CH$2),IF(CH60=$CH$2,$CH$5+100,$CH$5),0)</f>
        <v/>
      </c>
      <c r="CJ60" s="49">
        <f>IF(AND($CI60&gt;0,CH60&gt;$CH$6),1,0)</f>
        <v/>
      </c>
      <c r="CK60" s="49">
        <f>IF(CJ60=1,SUM($CJ$15:CJ60),"")</f>
        <v/>
      </c>
      <c r="CL60" s="51">
        <f>IF(CJ60=1,$CI60/(1+$CH$8/2)^(CK60-1),0)</f>
        <v/>
      </c>
      <c r="CM60" s="51">
        <f>IF(CJ60=1,$CI60/(1+($CH$8+0.0001)/2)^(CK60-1),0)</f>
        <v/>
      </c>
      <c r="CN60" s="51">
        <f>IF(CJ60=1,$CI60/(1+($CH$8-0.0001)/2)^(CK60-1),0)</f>
        <v/>
      </c>
      <c r="CO60" s="49">
        <f>IF(AND($CI60&gt;0,CH60&gt;$CH$7),1,0)</f>
        <v/>
      </c>
      <c r="CP60" s="49">
        <f>IF(CO60=1,SUM($CO$15:CO60),"")</f>
        <v/>
      </c>
      <c r="CQ60" s="51">
        <f>IF(CO60=1,$CI60/(1+$CH$104/2)^(CP60-1),0)</f>
        <v/>
      </c>
      <c r="CR60" s="51">
        <f>IF(CO60=1,$CI60/(1+($CH$104+0.0001)/2)^(CP60-1),0)</f>
        <v/>
      </c>
      <c r="CS60" s="51">
        <f>IF(CO60=1,$CI60/(1+($CH$104-0.0001)/2)^(CP60-1),0)</f>
        <v/>
      </c>
      <c r="CT60" s="51">
        <f>IF(CO60=1,$CI60/(1+$CH$109/2)^(CP60-1),0)</f>
        <v/>
      </c>
      <c r="CU60" s="51">
        <f>IF(CO60=1,$CI60/(1+$CH$111/2)^(CP60-1),0)</f>
        <v/>
      </c>
      <c r="CV60" s="51">
        <f>IF(CO60=1,$CI60/(1+($CH$111+0.0001)/2)^(CP60-1),0)</f>
        <v/>
      </c>
      <c r="CW60" s="51">
        <f>IF(CO60=1,$CI60/(1+($CH$111-0.0001)/2)^(CP60-1),0)</f>
        <v/>
      </c>
      <c r="CX60" s="51">
        <f>IF(AND($CI60&gt;0,CH60&gt;$CH$6,CH60&lt;=$CH$7),$CI60*(1+$CH$10*($CH$7-CH60)/365),0)</f>
        <v/>
      </c>
      <c r="CY60" s="51">
        <f>IF(CO60=1,$CI60/(1+($CH$111+손익!$B$24/10000)/2)^(CP60-1),0)</f>
        <v/>
      </c>
      <c r="CZ60" s="51">
        <f>IF(CO60=1,$CI60/(1+($CH$111+시나리오!$A$4/10000)/2)^(CP60-1),0)</f>
        <v/>
      </c>
      <c r="DA60" s="51">
        <f>IF(CO60=1,$CI60/(1+($CH$111+시나리오!$A$5/10000)/2)^(CP60-1),0)</f>
        <v/>
      </c>
      <c r="DB60" s="51">
        <f>IF(CO60=1,$CI60/(1+($CH$111+시나리오!$A$6/10000)/2)^(CP60-1),0)</f>
        <v/>
      </c>
      <c r="DC60" s="51">
        <f>IF(CO60=1,$CI60/(1+($CH$111+시나리오!$A$7/10000)/2)^(CP60-1),0)</f>
        <v/>
      </c>
      <c r="DD60" s="51">
        <f>IF(CO60=1,$CI60/(1+($CH$111+시나리오!$A$8/10000)/2)^(CP60-1),0)</f>
        <v/>
      </c>
      <c r="DE60" s="51">
        <f>IF(CO60=1,$CI60/(1+($CH$111+시나리오!$A$9/10000)/2)^(CP60-1),0)</f>
        <v/>
      </c>
      <c r="DF60" s="51">
        <f>IF(CO60=1,$CI60/(1+($CH$111+시나리오!$A$10/10000)/2)^(CP60-1),0)</f>
        <v/>
      </c>
      <c r="DG60" s="51">
        <f>IF(CO60=1,$CI60/(1+($CH$111+시나리오!$A$11/10000)/2)^(CP60-1),0)</f>
        <v/>
      </c>
      <c r="DH60" s="51">
        <f>IF(CO60=1,$CI60/(1+($CH$111+시나리오!$A$12/10000)/2)^(CP60-1),0)</f>
        <v/>
      </c>
      <c r="DI60" s="51">
        <f>IF(CO60=1,$CI60/(1+($CH$111+시나리오!$A$13/10000)/2)^(CP60-1),0)</f>
        <v/>
      </c>
      <c r="DJ60" s="51">
        <f>IF(CO60=1,$CI60/(1+($CH$111+시나리오!$A$14/10000)/2)^(CP60-1),0)</f>
        <v/>
      </c>
      <c r="DK60" s="51">
        <f>IF(CO60=1,$CI60/(1+($CH$111+시나리오!$A$15/10000)/2)^(CP60-1),0)</f>
        <v/>
      </c>
      <c r="DL60" s="51">
        <f>IF(CO60=1,$CI60/(1+($CH$111+시나리오!$A$16/10000)/2)^(CP60-1),0)</f>
        <v/>
      </c>
      <c r="DM60" s="51">
        <f>IF(CO60=1,$CI60/(1+($CH$111+시나리오!$A$17/10000)/2)^(CP60-1),0)</f>
        <v/>
      </c>
      <c r="DN60" s="51">
        <f>IF(CO60=1,$CI60/(1+($CH$111+시나리오!$A$18/10000)/2)^(CP60-1),0)</f>
        <v/>
      </c>
      <c r="DO60" s="51">
        <f>IF(CO60=1,$CI60/(1+($CH$111+시나리오!$A$19/10000)/2)^(CP60-1),0)</f>
        <v/>
      </c>
      <c r="DP60" s="51">
        <f>IF(CO60=1,$CI60/(1+($CH$111+시나리오!$A$20/10000)/2)^(CP60-1),0)</f>
        <v/>
      </c>
      <c r="DQ60" s="51">
        <f>IF(CO60=1,$CI60/(1+($CH$111+시나리오!$A$21/10000)/2)^(CP60-1),0)</f>
        <v/>
      </c>
      <c r="DR60" s="51">
        <f>IF(CO60=1,$CI60/(1+($CH$111+시나리오!$A$22/10000)/2)^(CP60-1),0)</f>
        <v/>
      </c>
      <c r="DS60" s="51">
        <f>IF(CO60=1,$CI60/(1+($CH$111+시나리오!$A$23/10000)/2)^(CP60-1),0)</f>
        <v/>
      </c>
      <c r="DT60" s="51">
        <f>IF(CO60=1,$CI60/(1+($CH$111+시나리오!$A$24/10000)/2)^(CP60-1),0)</f>
        <v/>
      </c>
    </row>
    <row r="61">
      <c r="A61" s="49" t="n">
        <v>47</v>
      </c>
      <c r="B61" s="50">
        <f>EDATE($B$2,-6*(62-$A61))</f>
        <v/>
      </c>
      <c r="C61" s="51">
        <f>IF(AND(B61&gt;$B$3,B61&lt;=$B$2),IF(B61=$B$2,$B$5+100,$B$5),0)</f>
        <v/>
      </c>
      <c r="D61" s="49">
        <f>IF(AND($C61&gt;0,B61&gt;$B$6),1,0)</f>
        <v/>
      </c>
      <c r="E61" s="49">
        <f>IF(D61=1,SUM($D$15:D61),"")</f>
        <v/>
      </c>
      <c r="F61" s="51">
        <f>IF(D61=1,$C61/(1+$B$8/2)^(E61-1),0)</f>
        <v/>
      </c>
      <c r="G61" s="51">
        <f>IF(D61=1,$C61/(1+($B$8+0.0001)/2)^(E61-1),0)</f>
        <v/>
      </c>
      <c r="H61" s="51">
        <f>IF(D61=1,$C61/(1+($B$8-0.0001)/2)^(E61-1),0)</f>
        <v/>
      </c>
      <c r="I61" s="49">
        <f>IF(AND($C61&gt;0,B61&gt;$B$7),1,0)</f>
        <v/>
      </c>
      <c r="J61" s="49">
        <f>IF(I61=1,SUM($I$15:I61),"")</f>
        <v/>
      </c>
      <c r="K61" s="51">
        <f>IF(I61=1,$C61/(1+$B$104/2)^(J61-1),0)</f>
        <v/>
      </c>
      <c r="L61" s="51">
        <f>IF(I61=1,$C61/(1+($B$104+0.0001)/2)^(J61-1),0)</f>
        <v/>
      </c>
      <c r="M61" s="51">
        <f>IF(I61=1,$C61/(1+($B$104-0.0001)/2)^(J61-1),0)</f>
        <v/>
      </c>
      <c r="N61" s="51">
        <f>IF(I61=1,$C61/(1+$B$109/2)^(J61-1),0)</f>
        <v/>
      </c>
      <c r="O61" s="51">
        <f>IF(I61=1,$C61/(1+$B$111/2)^(J61-1),0)</f>
        <v/>
      </c>
      <c r="P61" s="51">
        <f>IF(I61=1,$C61/(1+($B$111+0.0001)/2)^(J61-1),0)</f>
        <v/>
      </c>
      <c r="Q61" s="51">
        <f>IF(I61=1,$C61/(1+($B$111-0.0001)/2)^(J61-1),0)</f>
        <v/>
      </c>
      <c r="R61" s="51">
        <f>IF(AND($C61&gt;0,B61&gt;$B$6,B61&lt;=$B$7),$C61*(1+$B$10*($B$7-B61)/365),0)</f>
        <v/>
      </c>
      <c r="S61" s="51">
        <f>IF(I61=1,$C61/(1+($B$111+손익!$B$24/10000)/2)^(J61-1),0)</f>
        <v/>
      </c>
      <c r="T61" s="51">
        <f>IF(I61=1,$C61/(1+($B$111+시나리오!$A$4/10000)/2)^(J61-1),0)</f>
        <v/>
      </c>
      <c r="U61" s="51">
        <f>IF(I61=1,$C61/(1+($B$111+시나리오!$A$5/10000)/2)^(J61-1),0)</f>
        <v/>
      </c>
      <c r="V61" s="51">
        <f>IF(I61=1,$C61/(1+($B$111+시나리오!$A$6/10000)/2)^(J61-1),0)</f>
        <v/>
      </c>
      <c r="W61" s="51">
        <f>IF(I61=1,$C61/(1+($B$111+시나리오!$A$7/10000)/2)^(J61-1),0)</f>
        <v/>
      </c>
      <c r="X61" s="51">
        <f>IF(I61=1,$C61/(1+($B$111+시나리오!$A$8/10000)/2)^(J61-1),0)</f>
        <v/>
      </c>
      <c r="Y61" s="51">
        <f>IF(I61=1,$C61/(1+($B$111+시나리오!$A$9/10000)/2)^(J61-1),0)</f>
        <v/>
      </c>
      <c r="Z61" s="51">
        <f>IF(I61=1,$C61/(1+($B$111+시나리오!$A$10/10000)/2)^(J61-1),0)</f>
        <v/>
      </c>
      <c r="AA61" s="51">
        <f>IF(I61=1,$C61/(1+($B$111+시나리오!$A$11/10000)/2)^(J61-1),0)</f>
        <v/>
      </c>
      <c r="AB61" s="51">
        <f>IF(I61=1,$C61/(1+($B$111+시나리오!$A$12/10000)/2)^(J61-1),0)</f>
        <v/>
      </c>
      <c r="AC61" s="51">
        <f>IF(I61=1,$C61/(1+($B$111+시나리오!$A$13/10000)/2)^(J61-1),0)</f>
        <v/>
      </c>
      <c r="AD61" s="51">
        <f>IF(I61=1,$C61/(1+($B$111+시나리오!$A$14/10000)/2)^(J61-1),0)</f>
        <v/>
      </c>
      <c r="AE61" s="51">
        <f>IF(I61=1,$C61/(1+($B$111+시나리오!$A$15/10000)/2)^(J61-1),0)</f>
        <v/>
      </c>
      <c r="AF61" s="51">
        <f>IF(I61=1,$C61/(1+($B$111+시나리오!$A$16/10000)/2)^(J61-1),0)</f>
        <v/>
      </c>
      <c r="AG61" s="51">
        <f>IF(I61=1,$C61/(1+($B$111+시나리오!$A$17/10000)/2)^(J61-1),0)</f>
        <v/>
      </c>
      <c r="AH61" s="51">
        <f>IF(I61=1,$C61/(1+($B$111+시나리오!$A$18/10000)/2)^(J61-1),0)</f>
        <v/>
      </c>
      <c r="AI61" s="51">
        <f>IF(I61=1,$C61/(1+($B$111+시나리오!$A$19/10000)/2)^(J61-1),0)</f>
        <v/>
      </c>
      <c r="AJ61" s="51">
        <f>IF(I61=1,$C61/(1+($B$111+시나리오!$A$20/10000)/2)^(J61-1),0)</f>
        <v/>
      </c>
      <c r="AK61" s="51">
        <f>IF(I61=1,$C61/(1+($B$111+시나리오!$A$21/10000)/2)^(J61-1),0)</f>
        <v/>
      </c>
      <c r="AL61" s="51">
        <f>IF(I61=1,$C61/(1+($B$111+시나리오!$A$22/10000)/2)^(J61-1),0)</f>
        <v/>
      </c>
      <c r="AM61" s="51">
        <f>IF(I61=1,$C61/(1+($B$111+시나리오!$A$23/10000)/2)^(J61-1),0)</f>
        <v/>
      </c>
      <c r="AN61" s="51">
        <f>IF(I61=1,$C61/(1+($B$111+시나리오!$A$24/10000)/2)^(J61-1),0)</f>
        <v/>
      </c>
      <c r="AQ61" s="49" t="n">
        <v>47</v>
      </c>
      <c r="AR61" s="50">
        <f>EDATE($AR$2,-6*(62-$AQ61))</f>
        <v/>
      </c>
      <c r="AS61" s="51">
        <f>IF(AND(AR61&gt;$AR$3,AR61&lt;=$AR$2),IF(AR61=$AR$2,$AR$5+100,$AR$5),0)</f>
        <v/>
      </c>
      <c r="AT61" s="49">
        <f>IF(AND($AS61&gt;0,AR61&gt;$AR$6),1,0)</f>
        <v/>
      </c>
      <c r="AU61" s="49">
        <f>IF(AT61=1,SUM($AT$15:AT61),"")</f>
        <v/>
      </c>
      <c r="AV61" s="51">
        <f>IF(AT61=1,$AS61/(1+$AR$8/2)^(AU61-1),0)</f>
        <v/>
      </c>
      <c r="AW61" s="51">
        <f>IF(AT61=1,$AS61/(1+($AR$8+0.0001)/2)^(AU61-1),0)</f>
        <v/>
      </c>
      <c r="AX61" s="51">
        <f>IF(AT61=1,$AS61/(1+($AR$8-0.0001)/2)^(AU61-1),0)</f>
        <v/>
      </c>
      <c r="AY61" s="49">
        <f>IF(AND($AS61&gt;0,AR61&gt;$AR$7),1,0)</f>
        <v/>
      </c>
      <c r="AZ61" s="49">
        <f>IF(AY61=1,SUM($AY$15:AY61),"")</f>
        <v/>
      </c>
      <c r="BA61" s="51">
        <f>IF(AY61=1,$AS61/(1+$AR$104/2)^(AZ61-1),0)</f>
        <v/>
      </c>
      <c r="BB61" s="51">
        <f>IF(AY61=1,$AS61/(1+($AR$104+0.0001)/2)^(AZ61-1),0)</f>
        <v/>
      </c>
      <c r="BC61" s="51">
        <f>IF(AY61=1,$AS61/(1+($AR$104-0.0001)/2)^(AZ61-1),0)</f>
        <v/>
      </c>
      <c r="BD61" s="51">
        <f>IF(AY61=1,$AS61/(1+$AR$109/2)^(AZ61-1),0)</f>
        <v/>
      </c>
      <c r="BE61" s="51">
        <f>IF(AY61=1,$AS61/(1+$AR$111/2)^(AZ61-1),0)</f>
        <v/>
      </c>
      <c r="BF61" s="51">
        <f>IF(AY61=1,$AS61/(1+($AR$111+0.0001)/2)^(AZ61-1),0)</f>
        <v/>
      </c>
      <c r="BG61" s="51">
        <f>IF(AY61=1,$AS61/(1+($AR$111-0.0001)/2)^(AZ61-1),0)</f>
        <v/>
      </c>
      <c r="BH61" s="51">
        <f>IF(AND($AS61&gt;0,AR61&gt;$AR$6,AR61&lt;=$AR$7),$AS61*(1+$AR$10*($AR$7-AR61)/365),0)</f>
        <v/>
      </c>
      <c r="BI61" s="51">
        <f>IF(AY61=1,$AS61/(1+($AR$111+손익!$B$24/10000)/2)^(AZ61-1),0)</f>
        <v/>
      </c>
      <c r="BJ61" s="51">
        <f>IF(AY61=1,$AS61/(1+($AR$111+시나리오!$A$4/10000)/2)^(AZ61-1),0)</f>
        <v/>
      </c>
      <c r="BK61" s="51">
        <f>IF(AY61=1,$AS61/(1+($AR$111+시나리오!$A$5/10000)/2)^(AZ61-1),0)</f>
        <v/>
      </c>
      <c r="BL61" s="51">
        <f>IF(AY61=1,$AS61/(1+($AR$111+시나리오!$A$6/10000)/2)^(AZ61-1),0)</f>
        <v/>
      </c>
      <c r="BM61" s="51">
        <f>IF(AY61=1,$AS61/(1+($AR$111+시나리오!$A$7/10000)/2)^(AZ61-1),0)</f>
        <v/>
      </c>
      <c r="BN61" s="51">
        <f>IF(AY61=1,$AS61/(1+($AR$111+시나리오!$A$8/10000)/2)^(AZ61-1),0)</f>
        <v/>
      </c>
      <c r="BO61" s="51">
        <f>IF(AY61=1,$AS61/(1+($AR$111+시나리오!$A$9/10000)/2)^(AZ61-1),0)</f>
        <v/>
      </c>
      <c r="BP61" s="51">
        <f>IF(AY61=1,$AS61/(1+($AR$111+시나리오!$A$10/10000)/2)^(AZ61-1),0)</f>
        <v/>
      </c>
      <c r="BQ61" s="51">
        <f>IF(AY61=1,$AS61/(1+($AR$111+시나리오!$A$11/10000)/2)^(AZ61-1),0)</f>
        <v/>
      </c>
      <c r="BR61" s="51">
        <f>IF(AY61=1,$AS61/(1+($AR$111+시나리오!$A$12/10000)/2)^(AZ61-1),0)</f>
        <v/>
      </c>
      <c r="BS61" s="51">
        <f>IF(AY61=1,$AS61/(1+($AR$111+시나리오!$A$13/10000)/2)^(AZ61-1),0)</f>
        <v/>
      </c>
      <c r="BT61" s="51">
        <f>IF(AY61=1,$AS61/(1+($AR$111+시나리오!$A$14/10000)/2)^(AZ61-1),0)</f>
        <v/>
      </c>
      <c r="BU61" s="51">
        <f>IF(AY61=1,$AS61/(1+($AR$111+시나리오!$A$15/10000)/2)^(AZ61-1),0)</f>
        <v/>
      </c>
      <c r="BV61" s="51">
        <f>IF(AY61=1,$AS61/(1+($AR$111+시나리오!$A$16/10000)/2)^(AZ61-1),0)</f>
        <v/>
      </c>
      <c r="BW61" s="51">
        <f>IF(AY61=1,$AS61/(1+($AR$111+시나리오!$A$17/10000)/2)^(AZ61-1),0)</f>
        <v/>
      </c>
      <c r="BX61" s="51">
        <f>IF(AY61=1,$AS61/(1+($AR$111+시나리오!$A$18/10000)/2)^(AZ61-1),0)</f>
        <v/>
      </c>
      <c r="BY61" s="51">
        <f>IF(AY61=1,$AS61/(1+($AR$111+시나리오!$A$19/10000)/2)^(AZ61-1),0)</f>
        <v/>
      </c>
      <c r="BZ61" s="51">
        <f>IF(AY61=1,$AS61/(1+($AR$111+시나리오!$A$20/10000)/2)^(AZ61-1),0)</f>
        <v/>
      </c>
      <c r="CA61" s="51">
        <f>IF(AY61=1,$AS61/(1+($AR$111+시나리오!$A$21/10000)/2)^(AZ61-1),0)</f>
        <v/>
      </c>
      <c r="CB61" s="51">
        <f>IF(AY61=1,$AS61/(1+($AR$111+시나리오!$A$22/10000)/2)^(AZ61-1),0)</f>
        <v/>
      </c>
      <c r="CC61" s="51">
        <f>IF(AY61=1,$AS61/(1+($AR$111+시나리오!$A$23/10000)/2)^(AZ61-1),0)</f>
        <v/>
      </c>
      <c r="CD61" s="51">
        <f>IF(AY61=1,$AS61/(1+($AR$111+시나리오!$A$24/10000)/2)^(AZ61-1),0)</f>
        <v/>
      </c>
      <c r="CG61" s="49" t="n">
        <v>47</v>
      </c>
      <c r="CH61" s="50">
        <f>EDATE($CH$2,-6*(62-$CG61))</f>
        <v/>
      </c>
      <c r="CI61" s="51">
        <f>IF(AND(CH61&gt;$CH$3,CH61&lt;=$CH$2),IF(CH61=$CH$2,$CH$5+100,$CH$5),0)</f>
        <v/>
      </c>
      <c r="CJ61" s="49">
        <f>IF(AND($CI61&gt;0,CH61&gt;$CH$6),1,0)</f>
        <v/>
      </c>
      <c r="CK61" s="49">
        <f>IF(CJ61=1,SUM($CJ$15:CJ61),"")</f>
        <v/>
      </c>
      <c r="CL61" s="51">
        <f>IF(CJ61=1,$CI61/(1+$CH$8/2)^(CK61-1),0)</f>
        <v/>
      </c>
      <c r="CM61" s="51">
        <f>IF(CJ61=1,$CI61/(1+($CH$8+0.0001)/2)^(CK61-1),0)</f>
        <v/>
      </c>
      <c r="CN61" s="51">
        <f>IF(CJ61=1,$CI61/(1+($CH$8-0.0001)/2)^(CK61-1),0)</f>
        <v/>
      </c>
      <c r="CO61" s="49">
        <f>IF(AND($CI61&gt;0,CH61&gt;$CH$7),1,0)</f>
        <v/>
      </c>
      <c r="CP61" s="49">
        <f>IF(CO61=1,SUM($CO$15:CO61),"")</f>
        <v/>
      </c>
      <c r="CQ61" s="51">
        <f>IF(CO61=1,$CI61/(1+$CH$104/2)^(CP61-1),0)</f>
        <v/>
      </c>
      <c r="CR61" s="51">
        <f>IF(CO61=1,$CI61/(1+($CH$104+0.0001)/2)^(CP61-1),0)</f>
        <v/>
      </c>
      <c r="CS61" s="51">
        <f>IF(CO61=1,$CI61/(1+($CH$104-0.0001)/2)^(CP61-1),0)</f>
        <v/>
      </c>
      <c r="CT61" s="51">
        <f>IF(CO61=1,$CI61/(1+$CH$109/2)^(CP61-1),0)</f>
        <v/>
      </c>
      <c r="CU61" s="51">
        <f>IF(CO61=1,$CI61/(1+$CH$111/2)^(CP61-1),0)</f>
        <v/>
      </c>
      <c r="CV61" s="51">
        <f>IF(CO61=1,$CI61/(1+($CH$111+0.0001)/2)^(CP61-1),0)</f>
        <v/>
      </c>
      <c r="CW61" s="51">
        <f>IF(CO61=1,$CI61/(1+($CH$111-0.0001)/2)^(CP61-1),0)</f>
        <v/>
      </c>
      <c r="CX61" s="51">
        <f>IF(AND($CI61&gt;0,CH61&gt;$CH$6,CH61&lt;=$CH$7),$CI61*(1+$CH$10*($CH$7-CH61)/365),0)</f>
        <v/>
      </c>
      <c r="CY61" s="51">
        <f>IF(CO61=1,$CI61/(1+($CH$111+손익!$B$24/10000)/2)^(CP61-1),0)</f>
        <v/>
      </c>
      <c r="CZ61" s="51">
        <f>IF(CO61=1,$CI61/(1+($CH$111+시나리오!$A$4/10000)/2)^(CP61-1),0)</f>
        <v/>
      </c>
      <c r="DA61" s="51">
        <f>IF(CO61=1,$CI61/(1+($CH$111+시나리오!$A$5/10000)/2)^(CP61-1),0)</f>
        <v/>
      </c>
      <c r="DB61" s="51">
        <f>IF(CO61=1,$CI61/(1+($CH$111+시나리오!$A$6/10000)/2)^(CP61-1),0)</f>
        <v/>
      </c>
      <c r="DC61" s="51">
        <f>IF(CO61=1,$CI61/(1+($CH$111+시나리오!$A$7/10000)/2)^(CP61-1),0)</f>
        <v/>
      </c>
      <c r="DD61" s="51">
        <f>IF(CO61=1,$CI61/(1+($CH$111+시나리오!$A$8/10000)/2)^(CP61-1),0)</f>
        <v/>
      </c>
      <c r="DE61" s="51">
        <f>IF(CO61=1,$CI61/(1+($CH$111+시나리오!$A$9/10000)/2)^(CP61-1),0)</f>
        <v/>
      </c>
      <c r="DF61" s="51">
        <f>IF(CO61=1,$CI61/(1+($CH$111+시나리오!$A$10/10000)/2)^(CP61-1),0)</f>
        <v/>
      </c>
      <c r="DG61" s="51">
        <f>IF(CO61=1,$CI61/(1+($CH$111+시나리오!$A$11/10000)/2)^(CP61-1),0)</f>
        <v/>
      </c>
      <c r="DH61" s="51">
        <f>IF(CO61=1,$CI61/(1+($CH$111+시나리오!$A$12/10000)/2)^(CP61-1),0)</f>
        <v/>
      </c>
      <c r="DI61" s="51">
        <f>IF(CO61=1,$CI61/(1+($CH$111+시나리오!$A$13/10000)/2)^(CP61-1),0)</f>
        <v/>
      </c>
      <c r="DJ61" s="51">
        <f>IF(CO61=1,$CI61/(1+($CH$111+시나리오!$A$14/10000)/2)^(CP61-1),0)</f>
        <v/>
      </c>
      <c r="DK61" s="51">
        <f>IF(CO61=1,$CI61/(1+($CH$111+시나리오!$A$15/10000)/2)^(CP61-1),0)</f>
        <v/>
      </c>
      <c r="DL61" s="51">
        <f>IF(CO61=1,$CI61/(1+($CH$111+시나리오!$A$16/10000)/2)^(CP61-1),0)</f>
        <v/>
      </c>
      <c r="DM61" s="51">
        <f>IF(CO61=1,$CI61/(1+($CH$111+시나리오!$A$17/10000)/2)^(CP61-1),0)</f>
        <v/>
      </c>
      <c r="DN61" s="51">
        <f>IF(CO61=1,$CI61/(1+($CH$111+시나리오!$A$18/10000)/2)^(CP61-1),0)</f>
        <v/>
      </c>
      <c r="DO61" s="51">
        <f>IF(CO61=1,$CI61/(1+($CH$111+시나리오!$A$19/10000)/2)^(CP61-1),0)</f>
        <v/>
      </c>
      <c r="DP61" s="51">
        <f>IF(CO61=1,$CI61/(1+($CH$111+시나리오!$A$20/10000)/2)^(CP61-1),0)</f>
        <v/>
      </c>
      <c r="DQ61" s="51">
        <f>IF(CO61=1,$CI61/(1+($CH$111+시나리오!$A$21/10000)/2)^(CP61-1),0)</f>
        <v/>
      </c>
      <c r="DR61" s="51">
        <f>IF(CO61=1,$CI61/(1+($CH$111+시나리오!$A$22/10000)/2)^(CP61-1),0)</f>
        <v/>
      </c>
      <c r="DS61" s="51">
        <f>IF(CO61=1,$CI61/(1+($CH$111+시나리오!$A$23/10000)/2)^(CP61-1),0)</f>
        <v/>
      </c>
      <c r="DT61" s="51">
        <f>IF(CO61=1,$CI61/(1+($CH$111+시나리오!$A$24/10000)/2)^(CP61-1),0)</f>
        <v/>
      </c>
    </row>
    <row r="62">
      <c r="A62" s="49" t="n">
        <v>48</v>
      </c>
      <c r="B62" s="50">
        <f>EDATE($B$2,-6*(62-$A62))</f>
        <v/>
      </c>
      <c r="C62" s="51">
        <f>IF(AND(B62&gt;$B$3,B62&lt;=$B$2),IF(B62=$B$2,$B$5+100,$B$5),0)</f>
        <v/>
      </c>
      <c r="D62" s="49">
        <f>IF(AND($C62&gt;0,B62&gt;$B$6),1,0)</f>
        <v/>
      </c>
      <c r="E62" s="49">
        <f>IF(D62=1,SUM($D$15:D62),"")</f>
        <v/>
      </c>
      <c r="F62" s="51">
        <f>IF(D62=1,$C62/(1+$B$8/2)^(E62-1),0)</f>
        <v/>
      </c>
      <c r="G62" s="51">
        <f>IF(D62=1,$C62/(1+($B$8+0.0001)/2)^(E62-1),0)</f>
        <v/>
      </c>
      <c r="H62" s="51">
        <f>IF(D62=1,$C62/(1+($B$8-0.0001)/2)^(E62-1),0)</f>
        <v/>
      </c>
      <c r="I62" s="49">
        <f>IF(AND($C62&gt;0,B62&gt;$B$7),1,0)</f>
        <v/>
      </c>
      <c r="J62" s="49">
        <f>IF(I62=1,SUM($I$15:I62),"")</f>
        <v/>
      </c>
      <c r="K62" s="51">
        <f>IF(I62=1,$C62/(1+$B$104/2)^(J62-1),0)</f>
        <v/>
      </c>
      <c r="L62" s="51">
        <f>IF(I62=1,$C62/(1+($B$104+0.0001)/2)^(J62-1),0)</f>
        <v/>
      </c>
      <c r="M62" s="51">
        <f>IF(I62=1,$C62/(1+($B$104-0.0001)/2)^(J62-1),0)</f>
        <v/>
      </c>
      <c r="N62" s="51">
        <f>IF(I62=1,$C62/(1+$B$109/2)^(J62-1),0)</f>
        <v/>
      </c>
      <c r="O62" s="51">
        <f>IF(I62=1,$C62/(1+$B$111/2)^(J62-1),0)</f>
        <v/>
      </c>
      <c r="P62" s="51">
        <f>IF(I62=1,$C62/(1+($B$111+0.0001)/2)^(J62-1),0)</f>
        <v/>
      </c>
      <c r="Q62" s="51">
        <f>IF(I62=1,$C62/(1+($B$111-0.0001)/2)^(J62-1),0)</f>
        <v/>
      </c>
      <c r="R62" s="51">
        <f>IF(AND($C62&gt;0,B62&gt;$B$6,B62&lt;=$B$7),$C62*(1+$B$10*($B$7-B62)/365),0)</f>
        <v/>
      </c>
      <c r="S62" s="51">
        <f>IF(I62=1,$C62/(1+($B$111+손익!$B$24/10000)/2)^(J62-1),0)</f>
        <v/>
      </c>
      <c r="T62" s="51">
        <f>IF(I62=1,$C62/(1+($B$111+시나리오!$A$4/10000)/2)^(J62-1),0)</f>
        <v/>
      </c>
      <c r="U62" s="51">
        <f>IF(I62=1,$C62/(1+($B$111+시나리오!$A$5/10000)/2)^(J62-1),0)</f>
        <v/>
      </c>
      <c r="V62" s="51">
        <f>IF(I62=1,$C62/(1+($B$111+시나리오!$A$6/10000)/2)^(J62-1),0)</f>
        <v/>
      </c>
      <c r="W62" s="51">
        <f>IF(I62=1,$C62/(1+($B$111+시나리오!$A$7/10000)/2)^(J62-1),0)</f>
        <v/>
      </c>
      <c r="X62" s="51">
        <f>IF(I62=1,$C62/(1+($B$111+시나리오!$A$8/10000)/2)^(J62-1),0)</f>
        <v/>
      </c>
      <c r="Y62" s="51">
        <f>IF(I62=1,$C62/(1+($B$111+시나리오!$A$9/10000)/2)^(J62-1),0)</f>
        <v/>
      </c>
      <c r="Z62" s="51">
        <f>IF(I62=1,$C62/(1+($B$111+시나리오!$A$10/10000)/2)^(J62-1),0)</f>
        <v/>
      </c>
      <c r="AA62" s="51">
        <f>IF(I62=1,$C62/(1+($B$111+시나리오!$A$11/10000)/2)^(J62-1),0)</f>
        <v/>
      </c>
      <c r="AB62" s="51">
        <f>IF(I62=1,$C62/(1+($B$111+시나리오!$A$12/10000)/2)^(J62-1),0)</f>
        <v/>
      </c>
      <c r="AC62" s="51">
        <f>IF(I62=1,$C62/(1+($B$111+시나리오!$A$13/10000)/2)^(J62-1),0)</f>
        <v/>
      </c>
      <c r="AD62" s="51">
        <f>IF(I62=1,$C62/(1+($B$111+시나리오!$A$14/10000)/2)^(J62-1),0)</f>
        <v/>
      </c>
      <c r="AE62" s="51">
        <f>IF(I62=1,$C62/(1+($B$111+시나리오!$A$15/10000)/2)^(J62-1),0)</f>
        <v/>
      </c>
      <c r="AF62" s="51">
        <f>IF(I62=1,$C62/(1+($B$111+시나리오!$A$16/10000)/2)^(J62-1),0)</f>
        <v/>
      </c>
      <c r="AG62" s="51">
        <f>IF(I62=1,$C62/(1+($B$111+시나리오!$A$17/10000)/2)^(J62-1),0)</f>
        <v/>
      </c>
      <c r="AH62" s="51">
        <f>IF(I62=1,$C62/(1+($B$111+시나리오!$A$18/10000)/2)^(J62-1),0)</f>
        <v/>
      </c>
      <c r="AI62" s="51">
        <f>IF(I62=1,$C62/(1+($B$111+시나리오!$A$19/10000)/2)^(J62-1),0)</f>
        <v/>
      </c>
      <c r="AJ62" s="51">
        <f>IF(I62=1,$C62/(1+($B$111+시나리오!$A$20/10000)/2)^(J62-1),0)</f>
        <v/>
      </c>
      <c r="AK62" s="51">
        <f>IF(I62=1,$C62/(1+($B$111+시나리오!$A$21/10000)/2)^(J62-1),0)</f>
        <v/>
      </c>
      <c r="AL62" s="51">
        <f>IF(I62=1,$C62/(1+($B$111+시나리오!$A$22/10000)/2)^(J62-1),0)</f>
        <v/>
      </c>
      <c r="AM62" s="51">
        <f>IF(I62=1,$C62/(1+($B$111+시나리오!$A$23/10000)/2)^(J62-1),0)</f>
        <v/>
      </c>
      <c r="AN62" s="51">
        <f>IF(I62=1,$C62/(1+($B$111+시나리오!$A$24/10000)/2)^(J62-1),0)</f>
        <v/>
      </c>
      <c r="AQ62" s="49" t="n">
        <v>48</v>
      </c>
      <c r="AR62" s="50">
        <f>EDATE($AR$2,-6*(62-$AQ62))</f>
        <v/>
      </c>
      <c r="AS62" s="51">
        <f>IF(AND(AR62&gt;$AR$3,AR62&lt;=$AR$2),IF(AR62=$AR$2,$AR$5+100,$AR$5),0)</f>
        <v/>
      </c>
      <c r="AT62" s="49">
        <f>IF(AND($AS62&gt;0,AR62&gt;$AR$6),1,0)</f>
        <v/>
      </c>
      <c r="AU62" s="49">
        <f>IF(AT62=1,SUM($AT$15:AT62),"")</f>
        <v/>
      </c>
      <c r="AV62" s="51">
        <f>IF(AT62=1,$AS62/(1+$AR$8/2)^(AU62-1),0)</f>
        <v/>
      </c>
      <c r="AW62" s="51">
        <f>IF(AT62=1,$AS62/(1+($AR$8+0.0001)/2)^(AU62-1),0)</f>
        <v/>
      </c>
      <c r="AX62" s="51">
        <f>IF(AT62=1,$AS62/(1+($AR$8-0.0001)/2)^(AU62-1),0)</f>
        <v/>
      </c>
      <c r="AY62" s="49">
        <f>IF(AND($AS62&gt;0,AR62&gt;$AR$7),1,0)</f>
        <v/>
      </c>
      <c r="AZ62" s="49">
        <f>IF(AY62=1,SUM($AY$15:AY62),"")</f>
        <v/>
      </c>
      <c r="BA62" s="51">
        <f>IF(AY62=1,$AS62/(1+$AR$104/2)^(AZ62-1),0)</f>
        <v/>
      </c>
      <c r="BB62" s="51">
        <f>IF(AY62=1,$AS62/(1+($AR$104+0.0001)/2)^(AZ62-1),0)</f>
        <v/>
      </c>
      <c r="BC62" s="51">
        <f>IF(AY62=1,$AS62/(1+($AR$104-0.0001)/2)^(AZ62-1),0)</f>
        <v/>
      </c>
      <c r="BD62" s="51">
        <f>IF(AY62=1,$AS62/(1+$AR$109/2)^(AZ62-1),0)</f>
        <v/>
      </c>
      <c r="BE62" s="51">
        <f>IF(AY62=1,$AS62/(1+$AR$111/2)^(AZ62-1),0)</f>
        <v/>
      </c>
      <c r="BF62" s="51">
        <f>IF(AY62=1,$AS62/(1+($AR$111+0.0001)/2)^(AZ62-1),0)</f>
        <v/>
      </c>
      <c r="BG62" s="51">
        <f>IF(AY62=1,$AS62/(1+($AR$111-0.0001)/2)^(AZ62-1),0)</f>
        <v/>
      </c>
      <c r="BH62" s="51">
        <f>IF(AND($AS62&gt;0,AR62&gt;$AR$6,AR62&lt;=$AR$7),$AS62*(1+$AR$10*($AR$7-AR62)/365),0)</f>
        <v/>
      </c>
      <c r="BI62" s="51">
        <f>IF(AY62=1,$AS62/(1+($AR$111+손익!$B$24/10000)/2)^(AZ62-1),0)</f>
        <v/>
      </c>
      <c r="BJ62" s="51">
        <f>IF(AY62=1,$AS62/(1+($AR$111+시나리오!$A$4/10000)/2)^(AZ62-1),0)</f>
        <v/>
      </c>
      <c r="BK62" s="51">
        <f>IF(AY62=1,$AS62/(1+($AR$111+시나리오!$A$5/10000)/2)^(AZ62-1),0)</f>
        <v/>
      </c>
      <c r="BL62" s="51">
        <f>IF(AY62=1,$AS62/(1+($AR$111+시나리오!$A$6/10000)/2)^(AZ62-1),0)</f>
        <v/>
      </c>
      <c r="BM62" s="51">
        <f>IF(AY62=1,$AS62/(1+($AR$111+시나리오!$A$7/10000)/2)^(AZ62-1),0)</f>
        <v/>
      </c>
      <c r="BN62" s="51">
        <f>IF(AY62=1,$AS62/(1+($AR$111+시나리오!$A$8/10000)/2)^(AZ62-1),0)</f>
        <v/>
      </c>
      <c r="BO62" s="51">
        <f>IF(AY62=1,$AS62/(1+($AR$111+시나리오!$A$9/10000)/2)^(AZ62-1),0)</f>
        <v/>
      </c>
      <c r="BP62" s="51">
        <f>IF(AY62=1,$AS62/(1+($AR$111+시나리오!$A$10/10000)/2)^(AZ62-1),0)</f>
        <v/>
      </c>
      <c r="BQ62" s="51">
        <f>IF(AY62=1,$AS62/(1+($AR$111+시나리오!$A$11/10000)/2)^(AZ62-1),0)</f>
        <v/>
      </c>
      <c r="BR62" s="51">
        <f>IF(AY62=1,$AS62/(1+($AR$111+시나리오!$A$12/10000)/2)^(AZ62-1),0)</f>
        <v/>
      </c>
      <c r="BS62" s="51">
        <f>IF(AY62=1,$AS62/(1+($AR$111+시나리오!$A$13/10000)/2)^(AZ62-1),0)</f>
        <v/>
      </c>
      <c r="BT62" s="51">
        <f>IF(AY62=1,$AS62/(1+($AR$111+시나리오!$A$14/10000)/2)^(AZ62-1),0)</f>
        <v/>
      </c>
      <c r="BU62" s="51">
        <f>IF(AY62=1,$AS62/(1+($AR$111+시나리오!$A$15/10000)/2)^(AZ62-1),0)</f>
        <v/>
      </c>
      <c r="BV62" s="51">
        <f>IF(AY62=1,$AS62/(1+($AR$111+시나리오!$A$16/10000)/2)^(AZ62-1),0)</f>
        <v/>
      </c>
      <c r="BW62" s="51">
        <f>IF(AY62=1,$AS62/(1+($AR$111+시나리오!$A$17/10000)/2)^(AZ62-1),0)</f>
        <v/>
      </c>
      <c r="BX62" s="51">
        <f>IF(AY62=1,$AS62/(1+($AR$111+시나리오!$A$18/10000)/2)^(AZ62-1),0)</f>
        <v/>
      </c>
      <c r="BY62" s="51">
        <f>IF(AY62=1,$AS62/(1+($AR$111+시나리오!$A$19/10000)/2)^(AZ62-1),0)</f>
        <v/>
      </c>
      <c r="BZ62" s="51">
        <f>IF(AY62=1,$AS62/(1+($AR$111+시나리오!$A$20/10000)/2)^(AZ62-1),0)</f>
        <v/>
      </c>
      <c r="CA62" s="51">
        <f>IF(AY62=1,$AS62/(1+($AR$111+시나리오!$A$21/10000)/2)^(AZ62-1),0)</f>
        <v/>
      </c>
      <c r="CB62" s="51">
        <f>IF(AY62=1,$AS62/(1+($AR$111+시나리오!$A$22/10000)/2)^(AZ62-1),0)</f>
        <v/>
      </c>
      <c r="CC62" s="51">
        <f>IF(AY62=1,$AS62/(1+($AR$111+시나리오!$A$23/10000)/2)^(AZ62-1),0)</f>
        <v/>
      </c>
      <c r="CD62" s="51">
        <f>IF(AY62=1,$AS62/(1+($AR$111+시나리오!$A$24/10000)/2)^(AZ62-1),0)</f>
        <v/>
      </c>
      <c r="CG62" s="49" t="n">
        <v>48</v>
      </c>
      <c r="CH62" s="50">
        <f>EDATE($CH$2,-6*(62-$CG62))</f>
        <v/>
      </c>
      <c r="CI62" s="51">
        <f>IF(AND(CH62&gt;$CH$3,CH62&lt;=$CH$2),IF(CH62=$CH$2,$CH$5+100,$CH$5),0)</f>
        <v/>
      </c>
      <c r="CJ62" s="49">
        <f>IF(AND($CI62&gt;0,CH62&gt;$CH$6),1,0)</f>
        <v/>
      </c>
      <c r="CK62" s="49">
        <f>IF(CJ62=1,SUM($CJ$15:CJ62),"")</f>
        <v/>
      </c>
      <c r="CL62" s="51">
        <f>IF(CJ62=1,$CI62/(1+$CH$8/2)^(CK62-1),0)</f>
        <v/>
      </c>
      <c r="CM62" s="51">
        <f>IF(CJ62=1,$CI62/(1+($CH$8+0.0001)/2)^(CK62-1),0)</f>
        <v/>
      </c>
      <c r="CN62" s="51">
        <f>IF(CJ62=1,$CI62/(1+($CH$8-0.0001)/2)^(CK62-1),0)</f>
        <v/>
      </c>
      <c r="CO62" s="49">
        <f>IF(AND($CI62&gt;0,CH62&gt;$CH$7),1,0)</f>
        <v/>
      </c>
      <c r="CP62" s="49">
        <f>IF(CO62=1,SUM($CO$15:CO62),"")</f>
        <v/>
      </c>
      <c r="CQ62" s="51">
        <f>IF(CO62=1,$CI62/(1+$CH$104/2)^(CP62-1),0)</f>
        <v/>
      </c>
      <c r="CR62" s="51">
        <f>IF(CO62=1,$CI62/(1+($CH$104+0.0001)/2)^(CP62-1),0)</f>
        <v/>
      </c>
      <c r="CS62" s="51">
        <f>IF(CO62=1,$CI62/(1+($CH$104-0.0001)/2)^(CP62-1),0)</f>
        <v/>
      </c>
      <c r="CT62" s="51">
        <f>IF(CO62=1,$CI62/(1+$CH$109/2)^(CP62-1),0)</f>
        <v/>
      </c>
      <c r="CU62" s="51">
        <f>IF(CO62=1,$CI62/(1+$CH$111/2)^(CP62-1),0)</f>
        <v/>
      </c>
      <c r="CV62" s="51">
        <f>IF(CO62=1,$CI62/(1+($CH$111+0.0001)/2)^(CP62-1),0)</f>
        <v/>
      </c>
      <c r="CW62" s="51">
        <f>IF(CO62=1,$CI62/(1+($CH$111-0.0001)/2)^(CP62-1),0)</f>
        <v/>
      </c>
      <c r="CX62" s="51">
        <f>IF(AND($CI62&gt;0,CH62&gt;$CH$6,CH62&lt;=$CH$7),$CI62*(1+$CH$10*($CH$7-CH62)/365),0)</f>
        <v/>
      </c>
      <c r="CY62" s="51">
        <f>IF(CO62=1,$CI62/(1+($CH$111+손익!$B$24/10000)/2)^(CP62-1),0)</f>
        <v/>
      </c>
      <c r="CZ62" s="51">
        <f>IF(CO62=1,$CI62/(1+($CH$111+시나리오!$A$4/10000)/2)^(CP62-1),0)</f>
        <v/>
      </c>
      <c r="DA62" s="51">
        <f>IF(CO62=1,$CI62/(1+($CH$111+시나리오!$A$5/10000)/2)^(CP62-1),0)</f>
        <v/>
      </c>
      <c r="DB62" s="51">
        <f>IF(CO62=1,$CI62/(1+($CH$111+시나리오!$A$6/10000)/2)^(CP62-1),0)</f>
        <v/>
      </c>
      <c r="DC62" s="51">
        <f>IF(CO62=1,$CI62/(1+($CH$111+시나리오!$A$7/10000)/2)^(CP62-1),0)</f>
        <v/>
      </c>
      <c r="DD62" s="51">
        <f>IF(CO62=1,$CI62/(1+($CH$111+시나리오!$A$8/10000)/2)^(CP62-1),0)</f>
        <v/>
      </c>
      <c r="DE62" s="51">
        <f>IF(CO62=1,$CI62/(1+($CH$111+시나리오!$A$9/10000)/2)^(CP62-1),0)</f>
        <v/>
      </c>
      <c r="DF62" s="51">
        <f>IF(CO62=1,$CI62/(1+($CH$111+시나리오!$A$10/10000)/2)^(CP62-1),0)</f>
        <v/>
      </c>
      <c r="DG62" s="51">
        <f>IF(CO62=1,$CI62/(1+($CH$111+시나리오!$A$11/10000)/2)^(CP62-1),0)</f>
        <v/>
      </c>
      <c r="DH62" s="51">
        <f>IF(CO62=1,$CI62/(1+($CH$111+시나리오!$A$12/10000)/2)^(CP62-1),0)</f>
        <v/>
      </c>
      <c r="DI62" s="51">
        <f>IF(CO62=1,$CI62/(1+($CH$111+시나리오!$A$13/10000)/2)^(CP62-1),0)</f>
        <v/>
      </c>
      <c r="DJ62" s="51">
        <f>IF(CO62=1,$CI62/(1+($CH$111+시나리오!$A$14/10000)/2)^(CP62-1),0)</f>
        <v/>
      </c>
      <c r="DK62" s="51">
        <f>IF(CO62=1,$CI62/(1+($CH$111+시나리오!$A$15/10000)/2)^(CP62-1),0)</f>
        <v/>
      </c>
      <c r="DL62" s="51">
        <f>IF(CO62=1,$CI62/(1+($CH$111+시나리오!$A$16/10000)/2)^(CP62-1),0)</f>
        <v/>
      </c>
      <c r="DM62" s="51">
        <f>IF(CO62=1,$CI62/(1+($CH$111+시나리오!$A$17/10000)/2)^(CP62-1),0)</f>
        <v/>
      </c>
      <c r="DN62" s="51">
        <f>IF(CO62=1,$CI62/(1+($CH$111+시나리오!$A$18/10000)/2)^(CP62-1),0)</f>
        <v/>
      </c>
      <c r="DO62" s="51">
        <f>IF(CO62=1,$CI62/(1+($CH$111+시나리오!$A$19/10000)/2)^(CP62-1),0)</f>
        <v/>
      </c>
      <c r="DP62" s="51">
        <f>IF(CO62=1,$CI62/(1+($CH$111+시나리오!$A$20/10000)/2)^(CP62-1),0)</f>
        <v/>
      </c>
      <c r="DQ62" s="51">
        <f>IF(CO62=1,$CI62/(1+($CH$111+시나리오!$A$21/10000)/2)^(CP62-1),0)</f>
        <v/>
      </c>
      <c r="DR62" s="51">
        <f>IF(CO62=1,$CI62/(1+($CH$111+시나리오!$A$22/10000)/2)^(CP62-1),0)</f>
        <v/>
      </c>
      <c r="DS62" s="51">
        <f>IF(CO62=1,$CI62/(1+($CH$111+시나리오!$A$23/10000)/2)^(CP62-1),0)</f>
        <v/>
      </c>
      <c r="DT62" s="51">
        <f>IF(CO62=1,$CI62/(1+($CH$111+시나리오!$A$24/10000)/2)^(CP62-1),0)</f>
        <v/>
      </c>
    </row>
    <row r="63">
      <c r="A63" s="49" t="n">
        <v>49</v>
      </c>
      <c r="B63" s="50">
        <f>EDATE($B$2,-6*(62-$A63))</f>
        <v/>
      </c>
      <c r="C63" s="51">
        <f>IF(AND(B63&gt;$B$3,B63&lt;=$B$2),IF(B63=$B$2,$B$5+100,$B$5),0)</f>
        <v/>
      </c>
      <c r="D63" s="49">
        <f>IF(AND($C63&gt;0,B63&gt;$B$6),1,0)</f>
        <v/>
      </c>
      <c r="E63" s="49">
        <f>IF(D63=1,SUM($D$15:D63),"")</f>
        <v/>
      </c>
      <c r="F63" s="51">
        <f>IF(D63=1,$C63/(1+$B$8/2)^(E63-1),0)</f>
        <v/>
      </c>
      <c r="G63" s="51">
        <f>IF(D63=1,$C63/(1+($B$8+0.0001)/2)^(E63-1),0)</f>
        <v/>
      </c>
      <c r="H63" s="51">
        <f>IF(D63=1,$C63/(1+($B$8-0.0001)/2)^(E63-1),0)</f>
        <v/>
      </c>
      <c r="I63" s="49">
        <f>IF(AND($C63&gt;0,B63&gt;$B$7),1,0)</f>
        <v/>
      </c>
      <c r="J63" s="49">
        <f>IF(I63=1,SUM($I$15:I63),"")</f>
        <v/>
      </c>
      <c r="K63" s="51">
        <f>IF(I63=1,$C63/(1+$B$104/2)^(J63-1),0)</f>
        <v/>
      </c>
      <c r="L63" s="51">
        <f>IF(I63=1,$C63/(1+($B$104+0.0001)/2)^(J63-1),0)</f>
        <v/>
      </c>
      <c r="M63" s="51">
        <f>IF(I63=1,$C63/(1+($B$104-0.0001)/2)^(J63-1),0)</f>
        <v/>
      </c>
      <c r="N63" s="51">
        <f>IF(I63=1,$C63/(1+$B$109/2)^(J63-1),0)</f>
        <v/>
      </c>
      <c r="O63" s="51">
        <f>IF(I63=1,$C63/(1+$B$111/2)^(J63-1),0)</f>
        <v/>
      </c>
      <c r="P63" s="51">
        <f>IF(I63=1,$C63/(1+($B$111+0.0001)/2)^(J63-1),0)</f>
        <v/>
      </c>
      <c r="Q63" s="51">
        <f>IF(I63=1,$C63/(1+($B$111-0.0001)/2)^(J63-1),0)</f>
        <v/>
      </c>
      <c r="R63" s="51">
        <f>IF(AND($C63&gt;0,B63&gt;$B$6,B63&lt;=$B$7),$C63*(1+$B$10*($B$7-B63)/365),0)</f>
        <v/>
      </c>
      <c r="S63" s="51">
        <f>IF(I63=1,$C63/(1+($B$111+손익!$B$24/10000)/2)^(J63-1),0)</f>
        <v/>
      </c>
      <c r="T63" s="51">
        <f>IF(I63=1,$C63/(1+($B$111+시나리오!$A$4/10000)/2)^(J63-1),0)</f>
        <v/>
      </c>
      <c r="U63" s="51">
        <f>IF(I63=1,$C63/(1+($B$111+시나리오!$A$5/10000)/2)^(J63-1),0)</f>
        <v/>
      </c>
      <c r="V63" s="51">
        <f>IF(I63=1,$C63/(1+($B$111+시나리오!$A$6/10000)/2)^(J63-1),0)</f>
        <v/>
      </c>
      <c r="W63" s="51">
        <f>IF(I63=1,$C63/(1+($B$111+시나리오!$A$7/10000)/2)^(J63-1),0)</f>
        <v/>
      </c>
      <c r="X63" s="51">
        <f>IF(I63=1,$C63/(1+($B$111+시나리오!$A$8/10000)/2)^(J63-1),0)</f>
        <v/>
      </c>
      <c r="Y63" s="51">
        <f>IF(I63=1,$C63/(1+($B$111+시나리오!$A$9/10000)/2)^(J63-1),0)</f>
        <v/>
      </c>
      <c r="Z63" s="51">
        <f>IF(I63=1,$C63/(1+($B$111+시나리오!$A$10/10000)/2)^(J63-1),0)</f>
        <v/>
      </c>
      <c r="AA63" s="51">
        <f>IF(I63=1,$C63/(1+($B$111+시나리오!$A$11/10000)/2)^(J63-1),0)</f>
        <v/>
      </c>
      <c r="AB63" s="51">
        <f>IF(I63=1,$C63/(1+($B$111+시나리오!$A$12/10000)/2)^(J63-1),0)</f>
        <v/>
      </c>
      <c r="AC63" s="51">
        <f>IF(I63=1,$C63/(1+($B$111+시나리오!$A$13/10000)/2)^(J63-1),0)</f>
        <v/>
      </c>
      <c r="AD63" s="51">
        <f>IF(I63=1,$C63/(1+($B$111+시나리오!$A$14/10000)/2)^(J63-1),0)</f>
        <v/>
      </c>
      <c r="AE63" s="51">
        <f>IF(I63=1,$C63/(1+($B$111+시나리오!$A$15/10000)/2)^(J63-1),0)</f>
        <v/>
      </c>
      <c r="AF63" s="51">
        <f>IF(I63=1,$C63/(1+($B$111+시나리오!$A$16/10000)/2)^(J63-1),0)</f>
        <v/>
      </c>
      <c r="AG63" s="51">
        <f>IF(I63=1,$C63/(1+($B$111+시나리오!$A$17/10000)/2)^(J63-1),0)</f>
        <v/>
      </c>
      <c r="AH63" s="51">
        <f>IF(I63=1,$C63/(1+($B$111+시나리오!$A$18/10000)/2)^(J63-1),0)</f>
        <v/>
      </c>
      <c r="AI63" s="51">
        <f>IF(I63=1,$C63/(1+($B$111+시나리오!$A$19/10000)/2)^(J63-1),0)</f>
        <v/>
      </c>
      <c r="AJ63" s="51">
        <f>IF(I63=1,$C63/(1+($B$111+시나리오!$A$20/10000)/2)^(J63-1),0)</f>
        <v/>
      </c>
      <c r="AK63" s="51">
        <f>IF(I63=1,$C63/(1+($B$111+시나리오!$A$21/10000)/2)^(J63-1),0)</f>
        <v/>
      </c>
      <c r="AL63" s="51">
        <f>IF(I63=1,$C63/(1+($B$111+시나리오!$A$22/10000)/2)^(J63-1),0)</f>
        <v/>
      </c>
      <c r="AM63" s="51">
        <f>IF(I63=1,$C63/(1+($B$111+시나리오!$A$23/10000)/2)^(J63-1),0)</f>
        <v/>
      </c>
      <c r="AN63" s="51">
        <f>IF(I63=1,$C63/(1+($B$111+시나리오!$A$24/10000)/2)^(J63-1),0)</f>
        <v/>
      </c>
      <c r="AQ63" s="49" t="n">
        <v>49</v>
      </c>
      <c r="AR63" s="50">
        <f>EDATE($AR$2,-6*(62-$AQ63))</f>
        <v/>
      </c>
      <c r="AS63" s="51">
        <f>IF(AND(AR63&gt;$AR$3,AR63&lt;=$AR$2),IF(AR63=$AR$2,$AR$5+100,$AR$5),0)</f>
        <v/>
      </c>
      <c r="AT63" s="49">
        <f>IF(AND($AS63&gt;0,AR63&gt;$AR$6),1,0)</f>
        <v/>
      </c>
      <c r="AU63" s="49">
        <f>IF(AT63=1,SUM($AT$15:AT63),"")</f>
        <v/>
      </c>
      <c r="AV63" s="51">
        <f>IF(AT63=1,$AS63/(1+$AR$8/2)^(AU63-1),0)</f>
        <v/>
      </c>
      <c r="AW63" s="51">
        <f>IF(AT63=1,$AS63/(1+($AR$8+0.0001)/2)^(AU63-1),0)</f>
        <v/>
      </c>
      <c r="AX63" s="51">
        <f>IF(AT63=1,$AS63/(1+($AR$8-0.0001)/2)^(AU63-1),0)</f>
        <v/>
      </c>
      <c r="AY63" s="49">
        <f>IF(AND($AS63&gt;0,AR63&gt;$AR$7),1,0)</f>
        <v/>
      </c>
      <c r="AZ63" s="49">
        <f>IF(AY63=1,SUM($AY$15:AY63),"")</f>
        <v/>
      </c>
      <c r="BA63" s="51">
        <f>IF(AY63=1,$AS63/(1+$AR$104/2)^(AZ63-1),0)</f>
        <v/>
      </c>
      <c r="BB63" s="51">
        <f>IF(AY63=1,$AS63/(1+($AR$104+0.0001)/2)^(AZ63-1),0)</f>
        <v/>
      </c>
      <c r="BC63" s="51">
        <f>IF(AY63=1,$AS63/(1+($AR$104-0.0001)/2)^(AZ63-1),0)</f>
        <v/>
      </c>
      <c r="BD63" s="51">
        <f>IF(AY63=1,$AS63/(1+$AR$109/2)^(AZ63-1),0)</f>
        <v/>
      </c>
      <c r="BE63" s="51">
        <f>IF(AY63=1,$AS63/(1+$AR$111/2)^(AZ63-1),0)</f>
        <v/>
      </c>
      <c r="BF63" s="51">
        <f>IF(AY63=1,$AS63/(1+($AR$111+0.0001)/2)^(AZ63-1),0)</f>
        <v/>
      </c>
      <c r="BG63" s="51">
        <f>IF(AY63=1,$AS63/(1+($AR$111-0.0001)/2)^(AZ63-1),0)</f>
        <v/>
      </c>
      <c r="BH63" s="51">
        <f>IF(AND($AS63&gt;0,AR63&gt;$AR$6,AR63&lt;=$AR$7),$AS63*(1+$AR$10*($AR$7-AR63)/365),0)</f>
        <v/>
      </c>
      <c r="BI63" s="51">
        <f>IF(AY63=1,$AS63/(1+($AR$111+손익!$B$24/10000)/2)^(AZ63-1),0)</f>
        <v/>
      </c>
      <c r="BJ63" s="51">
        <f>IF(AY63=1,$AS63/(1+($AR$111+시나리오!$A$4/10000)/2)^(AZ63-1),0)</f>
        <v/>
      </c>
      <c r="BK63" s="51">
        <f>IF(AY63=1,$AS63/(1+($AR$111+시나리오!$A$5/10000)/2)^(AZ63-1),0)</f>
        <v/>
      </c>
      <c r="BL63" s="51">
        <f>IF(AY63=1,$AS63/(1+($AR$111+시나리오!$A$6/10000)/2)^(AZ63-1),0)</f>
        <v/>
      </c>
      <c r="BM63" s="51">
        <f>IF(AY63=1,$AS63/(1+($AR$111+시나리오!$A$7/10000)/2)^(AZ63-1),0)</f>
        <v/>
      </c>
      <c r="BN63" s="51">
        <f>IF(AY63=1,$AS63/(1+($AR$111+시나리오!$A$8/10000)/2)^(AZ63-1),0)</f>
        <v/>
      </c>
      <c r="BO63" s="51">
        <f>IF(AY63=1,$AS63/(1+($AR$111+시나리오!$A$9/10000)/2)^(AZ63-1),0)</f>
        <v/>
      </c>
      <c r="BP63" s="51">
        <f>IF(AY63=1,$AS63/(1+($AR$111+시나리오!$A$10/10000)/2)^(AZ63-1),0)</f>
        <v/>
      </c>
      <c r="BQ63" s="51">
        <f>IF(AY63=1,$AS63/(1+($AR$111+시나리오!$A$11/10000)/2)^(AZ63-1),0)</f>
        <v/>
      </c>
      <c r="BR63" s="51">
        <f>IF(AY63=1,$AS63/(1+($AR$111+시나리오!$A$12/10000)/2)^(AZ63-1),0)</f>
        <v/>
      </c>
      <c r="BS63" s="51">
        <f>IF(AY63=1,$AS63/(1+($AR$111+시나리오!$A$13/10000)/2)^(AZ63-1),0)</f>
        <v/>
      </c>
      <c r="BT63" s="51">
        <f>IF(AY63=1,$AS63/(1+($AR$111+시나리오!$A$14/10000)/2)^(AZ63-1),0)</f>
        <v/>
      </c>
      <c r="BU63" s="51">
        <f>IF(AY63=1,$AS63/(1+($AR$111+시나리오!$A$15/10000)/2)^(AZ63-1),0)</f>
        <v/>
      </c>
      <c r="BV63" s="51">
        <f>IF(AY63=1,$AS63/(1+($AR$111+시나리오!$A$16/10000)/2)^(AZ63-1),0)</f>
        <v/>
      </c>
      <c r="BW63" s="51">
        <f>IF(AY63=1,$AS63/(1+($AR$111+시나리오!$A$17/10000)/2)^(AZ63-1),0)</f>
        <v/>
      </c>
      <c r="BX63" s="51">
        <f>IF(AY63=1,$AS63/(1+($AR$111+시나리오!$A$18/10000)/2)^(AZ63-1),0)</f>
        <v/>
      </c>
      <c r="BY63" s="51">
        <f>IF(AY63=1,$AS63/(1+($AR$111+시나리오!$A$19/10000)/2)^(AZ63-1),0)</f>
        <v/>
      </c>
      <c r="BZ63" s="51">
        <f>IF(AY63=1,$AS63/(1+($AR$111+시나리오!$A$20/10000)/2)^(AZ63-1),0)</f>
        <v/>
      </c>
      <c r="CA63" s="51">
        <f>IF(AY63=1,$AS63/(1+($AR$111+시나리오!$A$21/10000)/2)^(AZ63-1),0)</f>
        <v/>
      </c>
      <c r="CB63" s="51">
        <f>IF(AY63=1,$AS63/(1+($AR$111+시나리오!$A$22/10000)/2)^(AZ63-1),0)</f>
        <v/>
      </c>
      <c r="CC63" s="51">
        <f>IF(AY63=1,$AS63/(1+($AR$111+시나리오!$A$23/10000)/2)^(AZ63-1),0)</f>
        <v/>
      </c>
      <c r="CD63" s="51">
        <f>IF(AY63=1,$AS63/(1+($AR$111+시나리오!$A$24/10000)/2)^(AZ63-1),0)</f>
        <v/>
      </c>
      <c r="CG63" s="49" t="n">
        <v>49</v>
      </c>
      <c r="CH63" s="50">
        <f>EDATE($CH$2,-6*(62-$CG63))</f>
        <v/>
      </c>
      <c r="CI63" s="51">
        <f>IF(AND(CH63&gt;$CH$3,CH63&lt;=$CH$2),IF(CH63=$CH$2,$CH$5+100,$CH$5),0)</f>
        <v/>
      </c>
      <c r="CJ63" s="49">
        <f>IF(AND($CI63&gt;0,CH63&gt;$CH$6),1,0)</f>
        <v/>
      </c>
      <c r="CK63" s="49">
        <f>IF(CJ63=1,SUM($CJ$15:CJ63),"")</f>
        <v/>
      </c>
      <c r="CL63" s="51">
        <f>IF(CJ63=1,$CI63/(1+$CH$8/2)^(CK63-1),0)</f>
        <v/>
      </c>
      <c r="CM63" s="51">
        <f>IF(CJ63=1,$CI63/(1+($CH$8+0.0001)/2)^(CK63-1),0)</f>
        <v/>
      </c>
      <c r="CN63" s="51">
        <f>IF(CJ63=1,$CI63/(1+($CH$8-0.0001)/2)^(CK63-1),0)</f>
        <v/>
      </c>
      <c r="CO63" s="49">
        <f>IF(AND($CI63&gt;0,CH63&gt;$CH$7),1,0)</f>
        <v/>
      </c>
      <c r="CP63" s="49">
        <f>IF(CO63=1,SUM($CO$15:CO63),"")</f>
        <v/>
      </c>
      <c r="CQ63" s="51">
        <f>IF(CO63=1,$CI63/(1+$CH$104/2)^(CP63-1),0)</f>
        <v/>
      </c>
      <c r="CR63" s="51">
        <f>IF(CO63=1,$CI63/(1+($CH$104+0.0001)/2)^(CP63-1),0)</f>
        <v/>
      </c>
      <c r="CS63" s="51">
        <f>IF(CO63=1,$CI63/(1+($CH$104-0.0001)/2)^(CP63-1),0)</f>
        <v/>
      </c>
      <c r="CT63" s="51">
        <f>IF(CO63=1,$CI63/(1+$CH$109/2)^(CP63-1),0)</f>
        <v/>
      </c>
      <c r="CU63" s="51">
        <f>IF(CO63=1,$CI63/(1+$CH$111/2)^(CP63-1),0)</f>
        <v/>
      </c>
      <c r="CV63" s="51">
        <f>IF(CO63=1,$CI63/(1+($CH$111+0.0001)/2)^(CP63-1),0)</f>
        <v/>
      </c>
      <c r="CW63" s="51">
        <f>IF(CO63=1,$CI63/(1+($CH$111-0.0001)/2)^(CP63-1),0)</f>
        <v/>
      </c>
      <c r="CX63" s="51">
        <f>IF(AND($CI63&gt;0,CH63&gt;$CH$6,CH63&lt;=$CH$7),$CI63*(1+$CH$10*($CH$7-CH63)/365),0)</f>
        <v/>
      </c>
      <c r="CY63" s="51">
        <f>IF(CO63=1,$CI63/(1+($CH$111+손익!$B$24/10000)/2)^(CP63-1),0)</f>
        <v/>
      </c>
      <c r="CZ63" s="51">
        <f>IF(CO63=1,$CI63/(1+($CH$111+시나리오!$A$4/10000)/2)^(CP63-1),0)</f>
        <v/>
      </c>
      <c r="DA63" s="51">
        <f>IF(CO63=1,$CI63/(1+($CH$111+시나리오!$A$5/10000)/2)^(CP63-1),0)</f>
        <v/>
      </c>
      <c r="DB63" s="51">
        <f>IF(CO63=1,$CI63/(1+($CH$111+시나리오!$A$6/10000)/2)^(CP63-1),0)</f>
        <v/>
      </c>
      <c r="DC63" s="51">
        <f>IF(CO63=1,$CI63/(1+($CH$111+시나리오!$A$7/10000)/2)^(CP63-1),0)</f>
        <v/>
      </c>
      <c r="DD63" s="51">
        <f>IF(CO63=1,$CI63/(1+($CH$111+시나리오!$A$8/10000)/2)^(CP63-1),0)</f>
        <v/>
      </c>
      <c r="DE63" s="51">
        <f>IF(CO63=1,$CI63/(1+($CH$111+시나리오!$A$9/10000)/2)^(CP63-1),0)</f>
        <v/>
      </c>
      <c r="DF63" s="51">
        <f>IF(CO63=1,$CI63/(1+($CH$111+시나리오!$A$10/10000)/2)^(CP63-1),0)</f>
        <v/>
      </c>
      <c r="DG63" s="51">
        <f>IF(CO63=1,$CI63/(1+($CH$111+시나리오!$A$11/10000)/2)^(CP63-1),0)</f>
        <v/>
      </c>
      <c r="DH63" s="51">
        <f>IF(CO63=1,$CI63/(1+($CH$111+시나리오!$A$12/10000)/2)^(CP63-1),0)</f>
        <v/>
      </c>
      <c r="DI63" s="51">
        <f>IF(CO63=1,$CI63/(1+($CH$111+시나리오!$A$13/10000)/2)^(CP63-1),0)</f>
        <v/>
      </c>
      <c r="DJ63" s="51">
        <f>IF(CO63=1,$CI63/(1+($CH$111+시나리오!$A$14/10000)/2)^(CP63-1),0)</f>
        <v/>
      </c>
      <c r="DK63" s="51">
        <f>IF(CO63=1,$CI63/(1+($CH$111+시나리오!$A$15/10000)/2)^(CP63-1),0)</f>
        <v/>
      </c>
      <c r="DL63" s="51">
        <f>IF(CO63=1,$CI63/(1+($CH$111+시나리오!$A$16/10000)/2)^(CP63-1),0)</f>
        <v/>
      </c>
      <c r="DM63" s="51">
        <f>IF(CO63=1,$CI63/(1+($CH$111+시나리오!$A$17/10000)/2)^(CP63-1),0)</f>
        <v/>
      </c>
      <c r="DN63" s="51">
        <f>IF(CO63=1,$CI63/(1+($CH$111+시나리오!$A$18/10000)/2)^(CP63-1),0)</f>
        <v/>
      </c>
      <c r="DO63" s="51">
        <f>IF(CO63=1,$CI63/(1+($CH$111+시나리오!$A$19/10000)/2)^(CP63-1),0)</f>
        <v/>
      </c>
      <c r="DP63" s="51">
        <f>IF(CO63=1,$CI63/(1+($CH$111+시나리오!$A$20/10000)/2)^(CP63-1),0)</f>
        <v/>
      </c>
      <c r="DQ63" s="51">
        <f>IF(CO63=1,$CI63/(1+($CH$111+시나리오!$A$21/10000)/2)^(CP63-1),0)</f>
        <v/>
      </c>
      <c r="DR63" s="51">
        <f>IF(CO63=1,$CI63/(1+($CH$111+시나리오!$A$22/10000)/2)^(CP63-1),0)</f>
        <v/>
      </c>
      <c r="DS63" s="51">
        <f>IF(CO63=1,$CI63/(1+($CH$111+시나리오!$A$23/10000)/2)^(CP63-1),0)</f>
        <v/>
      </c>
      <c r="DT63" s="51">
        <f>IF(CO63=1,$CI63/(1+($CH$111+시나리오!$A$24/10000)/2)^(CP63-1),0)</f>
        <v/>
      </c>
    </row>
    <row r="64">
      <c r="A64" s="49" t="n">
        <v>50</v>
      </c>
      <c r="B64" s="50">
        <f>EDATE($B$2,-6*(62-$A64))</f>
        <v/>
      </c>
      <c r="C64" s="51">
        <f>IF(AND(B64&gt;$B$3,B64&lt;=$B$2),IF(B64=$B$2,$B$5+100,$B$5),0)</f>
        <v/>
      </c>
      <c r="D64" s="49">
        <f>IF(AND($C64&gt;0,B64&gt;$B$6),1,0)</f>
        <v/>
      </c>
      <c r="E64" s="49">
        <f>IF(D64=1,SUM($D$15:D64),"")</f>
        <v/>
      </c>
      <c r="F64" s="51">
        <f>IF(D64=1,$C64/(1+$B$8/2)^(E64-1),0)</f>
        <v/>
      </c>
      <c r="G64" s="51">
        <f>IF(D64=1,$C64/(1+($B$8+0.0001)/2)^(E64-1),0)</f>
        <v/>
      </c>
      <c r="H64" s="51">
        <f>IF(D64=1,$C64/(1+($B$8-0.0001)/2)^(E64-1),0)</f>
        <v/>
      </c>
      <c r="I64" s="49">
        <f>IF(AND($C64&gt;0,B64&gt;$B$7),1,0)</f>
        <v/>
      </c>
      <c r="J64" s="49">
        <f>IF(I64=1,SUM($I$15:I64),"")</f>
        <v/>
      </c>
      <c r="K64" s="51">
        <f>IF(I64=1,$C64/(1+$B$104/2)^(J64-1),0)</f>
        <v/>
      </c>
      <c r="L64" s="51">
        <f>IF(I64=1,$C64/(1+($B$104+0.0001)/2)^(J64-1),0)</f>
        <v/>
      </c>
      <c r="M64" s="51">
        <f>IF(I64=1,$C64/(1+($B$104-0.0001)/2)^(J64-1),0)</f>
        <v/>
      </c>
      <c r="N64" s="51">
        <f>IF(I64=1,$C64/(1+$B$109/2)^(J64-1),0)</f>
        <v/>
      </c>
      <c r="O64" s="51">
        <f>IF(I64=1,$C64/(1+$B$111/2)^(J64-1),0)</f>
        <v/>
      </c>
      <c r="P64" s="51">
        <f>IF(I64=1,$C64/(1+($B$111+0.0001)/2)^(J64-1),0)</f>
        <v/>
      </c>
      <c r="Q64" s="51">
        <f>IF(I64=1,$C64/(1+($B$111-0.0001)/2)^(J64-1),0)</f>
        <v/>
      </c>
      <c r="R64" s="51">
        <f>IF(AND($C64&gt;0,B64&gt;$B$6,B64&lt;=$B$7),$C64*(1+$B$10*($B$7-B64)/365),0)</f>
        <v/>
      </c>
      <c r="S64" s="51">
        <f>IF(I64=1,$C64/(1+($B$111+손익!$B$24/10000)/2)^(J64-1),0)</f>
        <v/>
      </c>
      <c r="T64" s="51">
        <f>IF(I64=1,$C64/(1+($B$111+시나리오!$A$4/10000)/2)^(J64-1),0)</f>
        <v/>
      </c>
      <c r="U64" s="51">
        <f>IF(I64=1,$C64/(1+($B$111+시나리오!$A$5/10000)/2)^(J64-1),0)</f>
        <v/>
      </c>
      <c r="V64" s="51">
        <f>IF(I64=1,$C64/(1+($B$111+시나리오!$A$6/10000)/2)^(J64-1),0)</f>
        <v/>
      </c>
      <c r="W64" s="51">
        <f>IF(I64=1,$C64/(1+($B$111+시나리오!$A$7/10000)/2)^(J64-1),0)</f>
        <v/>
      </c>
      <c r="X64" s="51">
        <f>IF(I64=1,$C64/(1+($B$111+시나리오!$A$8/10000)/2)^(J64-1),0)</f>
        <v/>
      </c>
      <c r="Y64" s="51">
        <f>IF(I64=1,$C64/(1+($B$111+시나리오!$A$9/10000)/2)^(J64-1),0)</f>
        <v/>
      </c>
      <c r="Z64" s="51">
        <f>IF(I64=1,$C64/(1+($B$111+시나리오!$A$10/10000)/2)^(J64-1),0)</f>
        <v/>
      </c>
      <c r="AA64" s="51">
        <f>IF(I64=1,$C64/(1+($B$111+시나리오!$A$11/10000)/2)^(J64-1),0)</f>
        <v/>
      </c>
      <c r="AB64" s="51">
        <f>IF(I64=1,$C64/(1+($B$111+시나리오!$A$12/10000)/2)^(J64-1),0)</f>
        <v/>
      </c>
      <c r="AC64" s="51">
        <f>IF(I64=1,$C64/(1+($B$111+시나리오!$A$13/10000)/2)^(J64-1),0)</f>
        <v/>
      </c>
      <c r="AD64" s="51">
        <f>IF(I64=1,$C64/(1+($B$111+시나리오!$A$14/10000)/2)^(J64-1),0)</f>
        <v/>
      </c>
      <c r="AE64" s="51">
        <f>IF(I64=1,$C64/(1+($B$111+시나리오!$A$15/10000)/2)^(J64-1),0)</f>
        <v/>
      </c>
      <c r="AF64" s="51">
        <f>IF(I64=1,$C64/(1+($B$111+시나리오!$A$16/10000)/2)^(J64-1),0)</f>
        <v/>
      </c>
      <c r="AG64" s="51">
        <f>IF(I64=1,$C64/(1+($B$111+시나리오!$A$17/10000)/2)^(J64-1),0)</f>
        <v/>
      </c>
      <c r="AH64" s="51">
        <f>IF(I64=1,$C64/(1+($B$111+시나리오!$A$18/10000)/2)^(J64-1),0)</f>
        <v/>
      </c>
      <c r="AI64" s="51">
        <f>IF(I64=1,$C64/(1+($B$111+시나리오!$A$19/10000)/2)^(J64-1),0)</f>
        <v/>
      </c>
      <c r="AJ64" s="51">
        <f>IF(I64=1,$C64/(1+($B$111+시나리오!$A$20/10000)/2)^(J64-1),0)</f>
        <v/>
      </c>
      <c r="AK64" s="51">
        <f>IF(I64=1,$C64/(1+($B$111+시나리오!$A$21/10000)/2)^(J64-1),0)</f>
        <v/>
      </c>
      <c r="AL64" s="51">
        <f>IF(I64=1,$C64/(1+($B$111+시나리오!$A$22/10000)/2)^(J64-1),0)</f>
        <v/>
      </c>
      <c r="AM64" s="51">
        <f>IF(I64=1,$C64/(1+($B$111+시나리오!$A$23/10000)/2)^(J64-1),0)</f>
        <v/>
      </c>
      <c r="AN64" s="51">
        <f>IF(I64=1,$C64/(1+($B$111+시나리오!$A$24/10000)/2)^(J64-1),0)</f>
        <v/>
      </c>
      <c r="AQ64" s="49" t="n">
        <v>50</v>
      </c>
      <c r="AR64" s="50">
        <f>EDATE($AR$2,-6*(62-$AQ64))</f>
        <v/>
      </c>
      <c r="AS64" s="51">
        <f>IF(AND(AR64&gt;$AR$3,AR64&lt;=$AR$2),IF(AR64=$AR$2,$AR$5+100,$AR$5),0)</f>
        <v/>
      </c>
      <c r="AT64" s="49">
        <f>IF(AND($AS64&gt;0,AR64&gt;$AR$6),1,0)</f>
        <v/>
      </c>
      <c r="AU64" s="49">
        <f>IF(AT64=1,SUM($AT$15:AT64),"")</f>
        <v/>
      </c>
      <c r="AV64" s="51">
        <f>IF(AT64=1,$AS64/(1+$AR$8/2)^(AU64-1),0)</f>
        <v/>
      </c>
      <c r="AW64" s="51">
        <f>IF(AT64=1,$AS64/(1+($AR$8+0.0001)/2)^(AU64-1),0)</f>
        <v/>
      </c>
      <c r="AX64" s="51">
        <f>IF(AT64=1,$AS64/(1+($AR$8-0.0001)/2)^(AU64-1),0)</f>
        <v/>
      </c>
      <c r="AY64" s="49">
        <f>IF(AND($AS64&gt;0,AR64&gt;$AR$7),1,0)</f>
        <v/>
      </c>
      <c r="AZ64" s="49">
        <f>IF(AY64=1,SUM($AY$15:AY64),"")</f>
        <v/>
      </c>
      <c r="BA64" s="51">
        <f>IF(AY64=1,$AS64/(1+$AR$104/2)^(AZ64-1),0)</f>
        <v/>
      </c>
      <c r="BB64" s="51">
        <f>IF(AY64=1,$AS64/(1+($AR$104+0.0001)/2)^(AZ64-1),0)</f>
        <v/>
      </c>
      <c r="BC64" s="51">
        <f>IF(AY64=1,$AS64/(1+($AR$104-0.0001)/2)^(AZ64-1),0)</f>
        <v/>
      </c>
      <c r="BD64" s="51">
        <f>IF(AY64=1,$AS64/(1+$AR$109/2)^(AZ64-1),0)</f>
        <v/>
      </c>
      <c r="BE64" s="51">
        <f>IF(AY64=1,$AS64/(1+$AR$111/2)^(AZ64-1),0)</f>
        <v/>
      </c>
      <c r="BF64" s="51">
        <f>IF(AY64=1,$AS64/(1+($AR$111+0.0001)/2)^(AZ64-1),0)</f>
        <v/>
      </c>
      <c r="BG64" s="51">
        <f>IF(AY64=1,$AS64/(1+($AR$111-0.0001)/2)^(AZ64-1),0)</f>
        <v/>
      </c>
      <c r="BH64" s="51">
        <f>IF(AND($AS64&gt;0,AR64&gt;$AR$6,AR64&lt;=$AR$7),$AS64*(1+$AR$10*($AR$7-AR64)/365),0)</f>
        <v/>
      </c>
      <c r="BI64" s="51">
        <f>IF(AY64=1,$AS64/(1+($AR$111+손익!$B$24/10000)/2)^(AZ64-1),0)</f>
        <v/>
      </c>
      <c r="BJ64" s="51">
        <f>IF(AY64=1,$AS64/(1+($AR$111+시나리오!$A$4/10000)/2)^(AZ64-1),0)</f>
        <v/>
      </c>
      <c r="BK64" s="51">
        <f>IF(AY64=1,$AS64/(1+($AR$111+시나리오!$A$5/10000)/2)^(AZ64-1),0)</f>
        <v/>
      </c>
      <c r="BL64" s="51">
        <f>IF(AY64=1,$AS64/(1+($AR$111+시나리오!$A$6/10000)/2)^(AZ64-1),0)</f>
        <v/>
      </c>
      <c r="BM64" s="51">
        <f>IF(AY64=1,$AS64/(1+($AR$111+시나리오!$A$7/10000)/2)^(AZ64-1),0)</f>
        <v/>
      </c>
      <c r="BN64" s="51">
        <f>IF(AY64=1,$AS64/(1+($AR$111+시나리오!$A$8/10000)/2)^(AZ64-1),0)</f>
        <v/>
      </c>
      <c r="BO64" s="51">
        <f>IF(AY64=1,$AS64/(1+($AR$111+시나리오!$A$9/10000)/2)^(AZ64-1),0)</f>
        <v/>
      </c>
      <c r="BP64" s="51">
        <f>IF(AY64=1,$AS64/(1+($AR$111+시나리오!$A$10/10000)/2)^(AZ64-1),0)</f>
        <v/>
      </c>
      <c r="BQ64" s="51">
        <f>IF(AY64=1,$AS64/(1+($AR$111+시나리오!$A$11/10000)/2)^(AZ64-1),0)</f>
        <v/>
      </c>
      <c r="BR64" s="51">
        <f>IF(AY64=1,$AS64/(1+($AR$111+시나리오!$A$12/10000)/2)^(AZ64-1),0)</f>
        <v/>
      </c>
      <c r="BS64" s="51">
        <f>IF(AY64=1,$AS64/(1+($AR$111+시나리오!$A$13/10000)/2)^(AZ64-1),0)</f>
        <v/>
      </c>
      <c r="BT64" s="51">
        <f>IF(AY64=1,$AS64/(1+($AR$111+시나리오!$A$14/10000)/2)^(AZ64-1),0)</f>
        <v/>
      </c>
      <c r="BU64" s="51">
        <f>IF(AY64=1,$AS64/(1+($AR$111+시나리오!$A$15/10000)/2)^(AZ64-1),0)</f>
        <v/>
      </c>
      <c r="BV64" s="51">
        <f>IF(AY64=1,$AS64/(1+($AR$111+시나리오!$A$16/10000)/2)^(AZ64-1),0)</f>
        <v/>
      </c>
      <c r="BW64" s="51">
        <f>IF(AY64=1,$AS64/(1+($AR$111+시나리오!$A$17/10000)/2)^(AZ64-1),0)</f>
        <v/>
      </c>
      <c r="BX64" s="51">
        <f>IF(AY64=1,$AS64/(1+($AR$111+시나리오!$A$18/10000)/2)^(AZ64-1),0)</f>
        <v/>
      </c>
      <c r="BY64" s="51">
        <f>IF(AY64=1,$AS64/(1+($AR$111+시나리오!$A$19/10000)/2)^(AZ64-1),0)</f>
        <v/>
      </c>
      <c r="BZ64" s="51">
        <f>IF(AY64=1,$AS64/(1+($AR$111+시나리오!$A$20/10000)/2)^(AZ64-1),0)</f>
        <v/>
      </c>
      <c r="CA64" s="51">
        <f>IF(AY64=1,$AS64/(1+($AR$111+시나리오!$A$21/10000)/2)^(AZ64-1),0)</f>
        <v/>
      </c>
      <c r="CB64" s="51">
        <f>IF(AY64=1,$AS64/(1+($AR$111+시나리오!$A$22/10000)/2)^(AZ64-1),0)</f>
        <v/>
      </c>
      <c r="CC64" s="51">
        <f>IF(AY64=1,$AS64/(1+($AR$111+시나리오!$A$23/10000)/2)^(AZ64-1),0)</f>
        <v/>
      </c>
      <c r="CD64" s="51">
        <f>IF(AY64=1,$AS64/(1+($AR$111+시나리오!$A$24/10000)/2)^(AZ64-1),0)</f>
        <v/>
      </c>
      <c r="CG64" s="49" t="n">
        <v>50</v>
      </c>
      <c r="CH64" s="50">
        <f>EDATE($CH$2,-6*(62-$CG64))</f>
        <v/>
      </c>
      <c r="CI64" s="51">
        <f>IF(AND(CH64&gt;$CH$3,CH64&lt;=$CH$2),IF(CH64=$CH$2,$CH$5+100,$CH$5),0)</f>
        <v/>
      </c>
      <c r="CJ64" s="49">
        <f>IF(AND($CI64&gt;0,CH64&gt;$CH$6),1,0)</f>
        <v/>
      </c>
      <c r="CK64" s="49">
        <f>IF(CJ64=1,SUM($CJ$15:CJ64),"")</f>
        <v/>
      </c>
      <c r="CL64" s="51">
        <f>IF(CJ64=1,$CI64/(1+$CH$8/2)^(CK64-1),0)</f>
        <v/>
      </c>
      <c r="CM64" s="51">
        <f>IF(CJ64=1,$CI64/(1+($CH$8+0.0001)/2)^(CK64-1),0)</f>
        <v/>
      </c>
      <c r="CN64" s="51">
        <f>IF(CJ64=1,$CI64/(1+($CH$8-0.0001)/2)^(CK64-1),0)</f>
        <v/>
      </c>
      <c r="CO64" s="49">
        <f>IF(AND($CI64&gt;0,CH64&gt;$CH$7),1,0)</f>
        <v/>
      </c>
      <c r="CP64" s="49">
        <f>IF(CO64=1,SUM($CO$15:CO64),"")</f>
        <v/>
      </c>
      <c r="CQ64" s="51">
        <f>IF(CO64=1,$CI64/(1+$CH$104/2)^(CP64-1),0)</f>
        <v/>
      </c>
      <c r="CR64" s="51">
        <f>IF(CO64=1,$CI64/(1+($CH$104+0.0001)/2)^(CP64-1),0)</f>
        <v/>
      </c>
      <c r="CS64" s="51">
        <f>IF(CO64=1,$CI64/(1+($CH$104-0.0001)/2)^(CP64-1),0)</f>
        <v/>
      </c>
      <c r="CT64" s="51">
        <f>IF(CO64=1,$CI64/(1+$CH$109/2)^(CP64-1),0)</f>
        <v/>
      </c>
      <c r="CU64" s="51">
        <f>IF(CO64=1,$CI64/(1+$CH$111/2)^(CP64-1),0)</f>
        <v/>
      </c>
      <c r="CV64" s="51">
        <f>IF(CO64=1,$CI64/(1+($CH$111+0.0001)/2)^(CP64-1),0)</f>
        <v/>
      </c>
      <c r="CW64" s="51">
        <f>IF(CO64=1,$CI64/(1+($CH$111-0.0001)/2)^(CP64-1),0)</f>
        <v/>
      </c>
      <c r="CX64" s="51">
        <f>IF(AND($CI64&gt;0,CH64&gt;$CH$6,CH64&lt;=$CH$7),$CI64*(1+$CH$10*($CH$7-CH64)/365),0)</f>
        <v/>
      </c>
      <c r="CY64" s="51">
        <f>IF(CO64=1,$CI64/(1+($CH$111+손익!$B$24/10000)/2)^(CP64-1),0)</f>
        <v/>
      </c>
      <c r="CZ64" s="51">
        <f>IF(CO64=1,$CI64/(1+($CH$111+시나리오!$A$4/10000)/2)^(CP64-1),0)</f>
        <v/>
      </c>
      <c r="DA64" s="51">
        <f>IF(CO64=1,$CI64/(1+($CH$111+시나리오!$A$5/10000)/2)^(CP64-1),0)</f>
        <v/>
      </c>
      <c r="DB64" s="51">
        <f>IF(CO64=1,$CI64/(1+($CH$111+시나리오!$A$6/10000)/2)^(CP64-1),0)</f>
        <v/>
      </c>
      <c r="DC64" s="51">
        <f>IF(CO64=1,$CI64/(1+($CH$111+시나리오!$A$7/10000)/2)^(CP64-1),0)</f>
        <v/>
      </c>
      <c r="DD64" s="51">
        <f>IF(CO64=1,$CI64/(1+($CH$111+시나리오!$A$8/10000)/2)^(CP64-1),0)</f>
        <v/>
      </c>
      <c r="DE64" s="51">
        <f>IF(CO64=1,$CI64/(1+($CH$111+시나리오!$A$9/10000)/2)^(CP64-1),0)</f>
        <v/>
      </c>
      <c r="DF64" s="51">
        <f>IF(CO64=1,$CI64/(1+($CH$111+시나리오!$A$10/10000)/2)^(CP64-1),0)</f>
        <v/>
      </c>
      <c r="DG64" s="51">
        <f>IF(CO64=1,$CI64/(1+($CH$111+시나리오!$A$11/10000)/2)^(CP64-1),0)</f>
        <v/>
      </c>
      <c r="DH64" s="51">
        <f>IF(CO64=1,$CI64/(1+($CH$111+시나리오!$A$12/10000)/2)^(CP64-1),0)</f>
        <v/>
      </c>
      <c r="DI64" s="51">
        <f>IF(CO64=1,$CI64/(1+($CH$111+시나리오!$A$13/10000)/2)^(CP64-1),0)</f>
        <v/>
      </c>
      <c r="DJ64" s="51">
        <f>IF(CO64=1,$CI64/(1+($CH$111+시나리오!$A$14/10000)/2)^(CP64-1),0)</f>
        <v/>
      </c>
      <c r="DK64" s="51">
        <f>IF(CO64=1,$CI64/(1+($CH$111+시나리오!$A$15/10000)/2)^(CP64-1),0)</f>
        <v/>
      </c>
      <c r="DL64" s="51">
        <f>IF(CO64=1,$CI64/(1+($CH$111+시나리오!$A$16/10000)/2)^(CP64-1),0)</f>
        <v/>
      </c>
      <c r="DM64" s="51">
        <f>IF(CO64=1,$CI64/(1+($CH$111+시나리오!$A$17/10000)/2)^(CP64-1),0)</f>
        <v/>
      </c>
      <c r="DN64" s="51">
        <f>IF(CO64=1,$CI64/(1+($CH$111+시나리오!$A$18/10000)/2)^(CP64-1),0)</f>
        <v/>
      </c>
      <c r="DO64" s="51">
        <f>IF(CO64=1,$CI64/(1+($CH$111+시나리오!$A$19/10000)/2)^(CP64-1),0)</f>
        <v/>
      </c>
      <c r="DP64" s="51">
        <f>IF(CO64=1,$CI64/(1+($CH$111+시나리오!$A$20/10000)/2)^(CP64-1),0)</f>
        <v/>
      </c>
      <c r="DQ64" s="51">
        <f>IF(CO64=1,$CI64/(1+($CH$111+시나리오!$A$21/10000)/2)^(CP64-1),0)</f>
        <v/>
      </c>
      <c r="DR64" s="51">
        <f>IF(CO64=1,$CI64/(1+($CH$111+시나리오!$A$22/10000)/2)^(CP64-1),0)</f>
        <v/>
      </c>
      <c r="DS64" s="51">
        <f>IF(CO64=1,$CI64/(1+($CH$111+시나리오!$A$23/10000)/2)^(CP64-1),0)</f>
        <v/>
      </c>
      <c r="DT64" s="51">
        <f>IF(CO64=1,$CI64/(1+($CH$111+시나리오!$A$24/10000)/2)^(CP64-1),0)</f>
        <v/>
      </c>
    </row>
    <row r="65">
      <c r="A65" s="49" t="n">
        <v>51</v>
      </c>
      <c r="B65" s="50">
        <f>EDATE($B$2,-6*(62-$A65))</f>
        <v/>
      </c>
      <c r="C65" s="51">
        <f>IF(AND(B65&gt;$B$3,B65&lt;=$B$2),IF(B65=$B$2,$B$5+100,$B$5),0)</f>
        <v/>
      </c>
      <c r="D65" s="49">
        <f>IF(AND($C65&gt;0,B65&gt;$B$6),1,0)</f>
        <v/>
      </c>
      <c r="E65" s="49">
        <f>IF(D65=1,SUM($D$15:D65),"")</f>
        <v/>
      </c>
      <c r="F65" s="51">
        <f>IF(D65=1,$C65/(1+$B$8/2)^(E65-1),0)</f>
        <v/>
      </c>
      <c r="G65" s="51">
        <f>IF(D65=1,$C65/(1+($B$8+0.0001)/2)^(E65-1),0)</f>
        <v/>
      </c>
      <c r="H65" s="51">
        <f>IF(D65=1,$C65/(1+($B$8-0.0001)/2)^(E65-1),0)</f>
        <v/>
      </c>
      <c r="I65" s="49">
        <f>IF(AND($C65&gt;0,B65&gt;$B$7),1,0)</f>
        <v/>
      </c>
      <c r="J65" s="49">
        <f>IF(I65=1,SUM($I$15:I65),"")</f>
        <v/>
      </c>
      <c r="K65" s="51">
        <f>IF(I65=1,$C65/(1+$B$104/2)^(J65-1),0)</f>
        <v/>
      </c>
      <c r="L65" s="51">
        <f>IF(I65=1,$C65/(1+($B$104+0.0001)/2)^(J65-1),0)</f>
        <v/>
      </c>
      <c r="M65" s="51">
        <f>IF(I65=1,$C65/(1+($B$104-0.0001)/2)^(J65-1),0)</f>
        <v/>
      </c>
      <c r="N65" s="51">
        <f>IF(I65=1,$C65/(1+$B$109/2)^(J65-1),0)</f>
        <v/>
      </c>
      <c r="O65" s="51">
        <f>IF(I65=1,$C65/(1+$B$111/2)^(J65-1),0)</f>
        <v/>
      </c>
      <c r="P65" s="51">
        <f>IF(I65=1,$C65/(1+($B$111+0.0001)/2)^(J65-1),0)</f>
        <v/>
      </c>
      <c r="Q65" s="51">
        <f>IF(I65=1,$C65/(1+($B$111-0.0001)/2)^(J65-1),0)</f>
        <v/>
      </c>
      <c r="R65" s="51">
        <f>IF(AND($C65&gt;0,B65&gt;$B$6,B65&lt;=$B$7),$C65*(1+$B$10*($B$7-B65)/365),0)</f>
        <v/>
      </c>
      <c r="S65" s="51">
        <f>IF(I65=1,$C65/(1+($B$111+손익!$B$24/10000)/2)^(J65-1),0)</f>
        <v/>
      </c>
      <c r="T65" s="51">
        <f>IF(I65=1,$C65/(1+($B$111+시나리오!$A$4/10000)/2)^(J65-1),0)</f>
        <v/>
      </c>
      <c r="U65" s="51">
        <f>IF(I65=1,$C65/(1+($B$111+시나리오!$A$5/10000)/2)^(J65-1),0)</f>
        <v/>
      </c>
      <c r="V65" s="51">
        <f>IF(I65=1,$C65/(1+($B$111+시나리오!$A$6/10000)/2)^(J65-1),0)</f>
        <v/>
      </c>
      <c r="W65" s="51">
        <f>IF(I65=1,$C65/(1+($B$111+시나리오!$A$7/10000)/2)^(J65-1),0)</f>
        <v/>
      </c>
      <c r="X65" s="51">
        <f>IF(I65=1,$C65/(1+($B$111+시나리오!$A$8/10000)/2)^(J65-1),0)</f>
        <v/>
      </c>
      <c r="Y65" s="51">
        <f>IF(I65=1,$C65/(1+($B$111+시나리오!$A$9/10000)/2)^(J65-1),0)</f>
        <v/>
      </c>
      <c r="Z65" s="51">
        <f>IF(I65=1,$C65/(1+($B$111+시나리오!$A$10/10000)/2)^(J65-1),0)</f>
        <v/>
      </c>
      <c r="AA65" s="51">
        <f>IF(I65=1,$C65/(1+($B$111+시나리오!$A$11/10000)/2)^(J65-1),0)</f>
        <v/>
      </c>
      <c r="AB65" s="51">
        <f>IF(I65=1,$C65/(1+($B$111+시나리오!$A$12/10000)/2)^(J65-1),0)</f>
        <v/>
      </c>
      <c r="AC65" s="51">
        <f>IF(I65=1,$C65/(1+($B$111+시나리오!$A$13/10000)/2)^(J65-1),0)</f>
        <v/>
      </c>
      <c r="AD65" s="51">
        <f>IF(I65=1,$C65/(1+($B$111+시나리오!$A$14/10000)/2)^(J65-1),0)</f>
        <v/>
      </c>
      <c r="AE65" s="51">
        <f>IF(I65=1,$C65/(1+($B$111+시나리오!$A$15/10000)/2)^(J65-1),0)</f>
        <v/>
      </c>
      <c r="AF65" s="51">
        <f>IF(I65=1,$C65/(1+($B$111+시나리오!$A$16/10000)/2)^(J65-1),0)</f>
        <v/>
      </c>
      <c r="AG65" s="51">
        <f>IF(I65=1,$C65/(1+($B$111+시나리오!$A$17/10000)/2)^(J65-1),0)</f>
        <v/>
      </c>
      <c r="AH65" s="51">
        <f>IF(I65=1,$C65/(1+($B$111+시나리오!$A$18/10000)/2)^(J65-1),0)</f>
        <v/>
      </c>
      <c r="AI65" s="51">
        <f>IF(I65=1,$C65/(1+($B$111+시나리오!$A$19/10000)/2)^(J65-1),0)</f>
        <v/>
      </c>
      <c r="AJ65" s="51">
        <f>IF(I65=1,$C65/(1+($B$111+시나리오!$A$20/10000)/2)^(J65-1),0)</f>
        <v/>
      </c>
      <c r="AK65" s="51">
        <f>IF(I65=1,$C65/(1+($B$111+시나리오!$A$21/10000)/2)^(J65-1),0)</f>
        <v/>
      </c>
      <c r="AL65" s="51">
        <f>IF(I65=1,$C65/(1+($B$111+시나리오!$A$22/10000)/2)^(J65-1),0)</f>
        <v/>
      </c>
      <c r="AM65" s="51">
        <f>IF(I65=1,$C65/(1+($B$111+시나리오!$A$23/10000)/2)^(J65-1),0)</f>
        <v/>
      </c>
      <c r="AN65" s="51">
        <f>IF(I65=1,$C65/(1+($B$111+시나리오!$A$24/10000)/2)^(J65-1),0)</f>
        <v/>
      </c>
      <c r="AQ65" s="49" t="n">
        <v>51</v>
      </c>
      <c r="AR65" s="50">
        <f>EDATE($AR$2,-6*(62-$AQ65))</f>
        <v/>
      </c>
      <c r="AS65" s="51">
        <f>IF(AND(AR65&gt;$AR$3,AR65&lt;=$AR$2),IF(AR65=$AR$2,$AR$5+100,$AR$5),0)</f>
        <v/>
      </c>
      <c r="AT65" s="49">
        <f>IF(AND($AS65&gt;0,AR65&gt;$AR$6),1,0)</f>
        <v/>
      </c>
      <c r="AU65" s="49">
        <f>IF(AT65=1,SUM($AT$15:AT65),"")</f>
        <v/>
      </c>
      <c r="AV65" s="51">
        <f>IF(AT65=1,$AS65/(1+$AR$8/2)^(AU65-1),0)</f>
        <v/>
      </c>
      <c r="AW65" s="51">
        <f>IF(AT65=1,$AS65/(1+($AR$8+0.0001)/2)^(AU65-1),0)</f>
        <v/>
      </c>
      <c r="AX65" s="51">
        <f>IF(AT65=1,$AS65/(1+($AR$8-0.0001)/2)^(AU65-1),0)</f>
        <v/>
      </c>
      <c r="AY65" s="49">
        <f>IF(AND($AS65&gt;0,AR65&gt;$AR$7),1,0)</f>
        <v/>
      </c>
      <c r="AZ65" s="49">
        <f>IF(AY65=1,SUM($AY$15:AY65),"")</f>
        <v/>
      </c>
      <c r="BA65" s="51">
        <f>IF(AY65=1,$AS65/(1+$AR$104/2)^(AZ65-1),0)</f>
        <v/>
      </c>
      <c r="BB65" s="51">
        <f>IF(AY65=1,$AS65/(1+($AR$104+0.0001)/2)^(AZ65-1),0)</f>
        <v/>
      </c>
      <c r="BC65" s="51">
        <f>IF(AY65=1,$AS65/(1+($AR$104-0.0001)/2)^(AZ65-1),0)</f>
        <v/>
      </c>
      <c r="BD65" s="51">
        <f>IF(AY65=1,$AS65/(1+$AR$109/2)^(AZ65-1),0)</f>
        <v/>
      </c>
      <c r="BE65" s="51">
        <f>IF(AY65=1,$AS65/(1+$AR$111/2)^(AZ65-1),0)</f>
        <v/>
      </c>
      <c r="BF65" s="51">
        <f>IF(AY65=1,$AS65/(1+($AR$111+0.0001)/2)^(AZ65-1),0)</f>
        <v/>
      </c>
      <c r="BG65" s="51">
        <f>IF(AY65=1,$AS65/(1+($AR$111-0.0001)/2)^(AZ65-1),0)</f>
        <v/>
      </c>
      <c r="BH65" s="51">
        <f>IF(AND($AS65&gt;0,AR65&gt;$AR$6,AR65&lt;=$AR$7),$AS65*(1+$AR$10*($AR$7-AR65)/365),0)</f>
        <v/>
      </c>
      <c r="BI65" s="51">
        <f>IF(AY65=1,$AS65/(1+($AR$111+손익!$B$24/10000)/2)^(AZ65-1),0)</f>
        <v/>
      </c>
      <c r="BJ65" s="51">
        <f>IF(AY65=1,$AS65/(1+($AR$111+시나리오!$A$4/10000)/2)^(AZ65-1),0)</f>
        <v/>
      </c>
      <c r="BK65" s="51">
        <f>IF(AY65=1,$AS65/(1+($AR$111+시나리오!$A$5/10000)/2)^(AZ65-1),0)</f>
        <v/>
      </c>
      <c r="BL65" s="51">
        <f>IF(AY65=1,$AS65/(1+($AR$111+시나리오!$A$6/10000)/2)^(AZ65-1),0)</f>
        <v/>
      </c>
      <c r="BM65" s="51">
        <f>IF(AY65=1,$AS65/(1+($AR$111+시나리오!$A$7/10000)/2)^(AZ65-1),0)</f>
        <v/>
      </c>
      <c r="BN65" s="51">
        <f>IF(AY65=1,$AS65/(1+($AR$111+시나리오!$A$8/10000)/2)^(AZ65-1),0)</f>
        <v/>
      </c>
      <c r="BO65" s="51">
        <f>IF(AY65=1,$AS65/(1+($AR$111+시나리오!$A$9/10000)/2)^(AZ65-1),0)</f>
        <v/>
      </c>
      <c r="BP65" s="51">
        <f>IF(AY65=1,$AS65/(1+($AR$111+시나리오!$A$10/10000)/2)^(AZ65-1),0)</f>
        <v/>
      </c>
      <c r="BQ65" s="51">
        <f>IF(AY65=1,$AS65/(1+($AR$111+시나리오!$A$11/10000)/2)^(AZ65-1),0)</f>
        <v/>
      </c>
      <c r="BR65" s="51">
        <f>IF(AY65=1,$AS65/(1+($AR$111+시나리오!$A$12/10000)/2)^(AZ65-1),0)</f>
        <v/>
      </c>
      <c r="BS65" s="51">
        <f>IF(AY65=1,$AS65/(1+($AR$111+시나리오!$A$13/10000)/2)^(AZ65-1),0)</f>
        <v/>
      </c>
      <c r="BT65" s="51">
        <f>IF(AY65=1,$AS65/(1+($AR$111+시나리오!$A$14/10000)/2)^(AZ65-1),0)</f>
        <v/>
      </c>
      <c r="BU65" s="51">
        <f>IF(AY65=1,$AS65/(1+($AR$111+시나리오!$A$15/10000)/2)^(AZ65-1),0)</f>
        <v/>
      </c>
      <c r="BV65" s="51">
        <f>IF(AY65=1,$AS65/(1+($AR$111+시나리오!$A$16/10000)/2)^(AZ65-1),0)</f>
        <v/>
      </c>
      <c r="BW65" s="51">
        <f>IF(AY65=1,$AS65/(1+($AR$111+시나리오!$A$17/10000)/2)^(AZ65-1),0)</f>
        <v/>
      </c>
      <c r="BX65" s="51">
        <f>IF(AY65=1,$AS65/(1+($AR$111+시나리오!$A$18/10000)/2)^(AZ65-1),0)</f>
        <v/>
      </c>
      <c r="BY65" s="51">
        <f>IF(AY65=1,$AS65/(1+($AR$111+시나리오!$A$19/10000)/2)^(AZ65-1),0)</f>
        <v/>
      </c>
      <c r="BZ65" s="51">
        <f>IF(AY65=1,$AS65/(1+($AR$111+시나리오!$A$20/10000)/2)^(AZ65-1),0)</f>
        <v/>
      </c>
      <c r="CA65" s="51">
        <f>IF(AY65=1,$AS65/(1+($AR$111+시나리오!$A$21/10000)/2)^(AZ65-1),0)</f>
        <v/>
      </c>
      <c r="CB65" s="51">
        <f>IF(AY65=1,$AS65/(1+($AR$111+시나리오!$A$22/10000)/2)^(AZ65-1),0)</f>
        <v/>
      </c>
      <c r="CC65" s="51">
        <f>IF(AY65=1,$AS65/(1+($AR$111+시나리오!$A$23/10000)/2)^(AZ65-1),0)</f>
        <v/>
      </c>
      <c r="CD65" s="51">
        <f>IF(AY65=1,$AS65/(1+($AR$111+시나리오!$A$24/10000)/2)^(AZ65-1),0)</f>
        <v/>
      </c>
      <c r="CG65" s="49" t="n">
        <v>51</v>
      </c>
      <c r="CH65" s="50">
        <f>EDATE($CH$2,-6*(62-$CG65))</f>
        <v/>
      </c>
      <c r="CI65" s="51">
        <f>IF(AND(CH65&gt;$CH$3,CH65&lt;=$CH$2),IF(CH65=$CH$2,$CH$5+100,$CH$5),0)</f>
        <v/>
      </c>
      <c r="CJ65" s="49">
        <f>IF(AND($CI65&gt;0,CH65&gt;$CH$6),1,0)</f>
        <v/>
      </c>
      <c r="CK65" s="49">
        <f>IF(CJ65=1,SUM($CJ$15:CJ65),"")</f>
        <v/>
      </c>
      <c r="CL65" s="51">
        <f>IF(CJ65=1,$CI65/(1+$CH$8/2)^(CK65-1),0)</f>
        <v/>
      </c>
      <c r="CM65" s="51">
        <f>IF(CJ65=1,$CI65/(1+($CH$8+0.0001)/2)^(CK65-1),0)</f>
        <v/>
      </c>
      <c r="CN65" s="51">
        <f>IF(CJ65=1,$CI65/(1+($CH$8-0.0001)/2)^(CK65-1),0)</f>
        <v/>
      </c>
      <c r="CO65" s="49">
        <f>IF(AND($CI65&gt;0,CH65&gt;$CH$7),1,0)</f>
        <v/>
      </c>
      <c r="CP65" s="49">
        <f>IF(CO65=1,SUM($CO$15:CO65),"")</f>
        <v/>
      </c>
      <c r="CQ65" s="51">
        <f>IF(CO65=1,$CI65/(1+$CH$104/2)^(CP65-1),0)</f>
        <v/>
      </c>
      <c r="CR65" s="51">
        <f>IF(CO65=1,$CI65/(1+($CH$104+0.0001)/2)^(CP65-1),0)</f>
        <v/>
      </c>
      <c r="CS65" s="51">
        <f>IF(CO65=1,$CI65/(1+($CH$104-0.0001)/2)^(CP65-1),0)</f>
        <v/>
      </c>
      <c r="CT65" s="51">
        <f>IF(CO65=1,$CI65/(1+$CH$109/2)^(CP65-1),0)</f>
        <v/>
      </c>
      <c r="CU65" s="51">
        <f>IF(CO65=1,$CI65/(1+$CH$111/2)^(CP65-1),0)</f>
        <v/>
      </c>
      <c r="CV65" s="51">
        <f>IF(CO65=1,$CI65/(1+($CH$111+0.0001)/2)^(CP65-1),0)</f>
        <v/>
      </c>
      <c r="CW65" s="51">
        <f>IF(CO65=1,$CI65/(1+($CH$111-0.0001)/2)^(CP65-1),0)</f>
        <v/>
      </c>
      <c r="CX65" s="51">
        <f>IF(AND($CI65&gt;0,CH65&gt;$CH$6,CH65&lt;=$CH$7),$CI65*(1+$CH$10*($CH$7-CH65)/365),0)</f>
        <v/>
      </c>
      <c r="CY65" s="51">
        <f>IF(CO65=1,$CI65/(1+($CH$111+손익!$B$24/10000)/2)^(CP65-1),0)</f>
        <v/>
      </c>
      <c r="CZ65" s="51">
        <f>IF(CO65=1,$CI65/(1+($CH$111+시나리오!$A$4/10000)/2)^(CP65-1),0)</f>
        <v/>
      </c>
      <c r="DA65" s="51">
        <f>IF(CO65=1,$CI65/(1+($CH$111+시나리오!$A$5/10000)/2)^(CP65-1),0)</f>
        <v/>
      </c>
      <c r="DB65" s="51">
        <f>IF(CO65=1,$CI65/(1+($CH$111+시나리오!$A$6/10000)/2)^(CP65-1),0)</f>
        <v/>
      </c>
      <c r="DC65" s="51">
        <f>IF(CO65=1,$CI65/(1+($CH$111+시나리오!$A$7/10000)/2)^(CP65-1),0)</f>
        <v/>
      </c>
      <c r="DD65" s="51">
        <f>IF(CO65=1,$CI65/(1+($CH$111+시나리오!$A$8/10000)/2)^(CP65-1),0)</f>
        <v/>
      </c>
      <c r="DE65" s="51">
        <f>IF(CO65=1,$CI65/(1+($CH$111+시나리오!$A$9/10000)/2)^(CP65-1),0)</f>
        <v/>
      </c>
      <c r="DF65" s="51">
        <f>IF(CO65=1,$CI65/(1+($CH$111+시나리오!$A$10/10000)/2)^(CP65-1),0)</f>
        <v/>
      </c>
      <c r="DG65" s="51">
        <f>IF(CO65=1,$CI65/(1+($CH$111+시나리오!$A$11/10000)/2)^(CP65-1),0)</f>
        <v/>
      </c>
      <c r="DH65" s="51">
        <f>IF(CO65=1,$CI65/(1+($CH$111+시나리오!$A$12/10000)/2)^(CP65-1),0)</f>
        <v/>
      </c>
      <c r="DI65" s="51">
        <f>IF(CO65=1,$CI65/(1+($CH$111+시나리오!$A$13/10000)/2)^(CP65-1),0)</f>
        <v/>
      </c>
      <c r="DJ65" s="51">
        <f>IF(CO65=1,$CI65/(1+($CH$111+시나리오!$A$14/10000)/2)^(CP65-1),0)</f>
        <v/>
      </c>
      <c r="DK65" s="51">
        <f>IF(CO65=1,$CI65/(1+($CH$111+시나리오!$A$15/10000)/2)^(CP65-1),0)</f>
        <v/>
      </c>
      <c r="DL65" s="51">
        <f>IF(CO65=1,$CI65/(1+($CH$111+시나리오!$A$16/10000)/2)^(CP65-1),0)</f>
        <v/>
      </c>
      <c r="DM65" s="51">
        <f>IF(CO65=1,$CI65/(1+($CH$111+시나리오!$A$17/10000)/2)^(CP65-1),0)</f>
        <v/>
      </c>
      <c r="DN65" s="51">
        <f>IF(CO65=1,$CI65/(1+($CH$111+시나리오!$A$18/10000)/2)^(CP65-1),0)</f>
        <v/>
      </c>
      <c r="DO65" s="51">
        <f>IF(CO65=1,$CI65/(1+($CH$111+시나리오!$A$19/10000)/2)^(CP65-1),0)</f>
        <v/>
      </c>
      <c r="DP65" s="51">
        <f>IF(CO65=1,$CI65/(1+($CH$111+시나리오!$A$20/10000)/2)^(CP65-1),0)</f>
        <v/>
      </c>
      <c r="DQ65" s="51">
        <f>IF(CO65=1,$CI65/(1+($CH$111+시나리오!$A$21/10000)/2)^(CP65-1),0)</f>
        <v/>
      </c>
      <c r="DR65" s="51">
        <f>IF(CO65=1,$CI65/(1+($CH$111+시나리오!$A$22/10000)/2)^(CP65-1),0)</f>
        <v/>
      </c>
      <c r="DS65" s="51">
        <f>IF(CO65=1,$CI65/(1+($CH$111+시나리오!$A$23/10000)/2)^(CP65-1),0)</f>
        <v/>
      </c>
      <c r="DT65" s="51">
        <f>IF(CO65=1,$CI65/(1+($CH$111+시나리오!$A$24/10000)/2)^(CP65-1),0)</f>
        <v/>
      </c>
    </row>
    <row r="66">
      <c r="A66" s="49" t="n">
        <v>52</v>
      </c>
      <c r="B66" s="50">
        <f>EDATE($B$2,-6*(62-$A66))</f>
        <v/>
      </c>
      <c r="C66" s="51">
        <f>IF(AND(B66&gt;$B$3,B66&lt;=$B$2),IF(B66=$B$2,$B$5+100,$B$5),0)</f>
        <v/>
      </c>
      <c r="D66" s="49">
        <f>IF(AND($C66&gt;0,B66&gt;$B$6),1,0)</f>
        <v/>
      </c>
      <c r="E66" s="49">
        <f>IF(D66=1,SUM($D$15:D66),"")</f>
        <v/>
      </c>
      <c r="F66" s="51">
        <f>IF(D66=1,$C66/(1+$B$8/2)^(E66-1),0)</f>
        <v/>
      </c>
      <c r="G66" s="51">
        <f>IF(D66=1,$C66/(1+($B$8+0.0001)/2)^(E66-1),0)</f>
        <v/>
      </c>
      <c r="H66" s="51">
        <f>IF(D66=1,$C66/(1+($B$8-0.0001)/2)^(E66-1),0)</f>
        <v/>
      </c>
      <c r="I66" s="49">
        <f>IF(AND($C66&gt;0,B66&gt;$B$7),1,0)</f>
        <v/>
      </c>
      <c r="J66" s="49">
        <f>IF(I66=1,SUM($I$15:I66),"")</f>
        <v/>
      </c>
      <c r="K66" s="51">
        <f>IF(I66=1,$C66/(1+$B$104/2)^(J66-1),0)</f>
        <v/>
      </c>
      <c r="L66" s="51">
        <f>IF(I66=1,$C66/(1+($B$104+0.0001)/2)^(J66-1),0)</f>
        <v/>
      </c>
      <c r="M66" s="51">
        <f>IF(I66=1,$C66/(1+($B$104-0.0001)/2)^(J66-1),0)</f>
        <v/>
      </c>
      <c r="N66" s="51">
        <f>IF(I66=1,$C66/(1+$B$109/2)^(J66-1),0)</f>
        <v/>
      </c>
      <c r="O66" s="51">
        <f>IF(I66=1,$C66/(1+$B$111/2)^(J66-1),0)</f>
        <v/>
      </c>
      <c r="P66" s="51">
        <f>IF(I66=1,$C66/(1+($B$111+0.0001)/2)^(J66-1),0)</f>
        <v/>
      </c>
      <c r="Q66" s="51">
        <f>IF(I66=1,$C66/(1+($B$111-0.0001)/2)^(J66-1),0)</f>
        <v/>
      </c>
      <c r="R66" s="51">
        <f>IF(AND($C66&gt;0,B66&gt;$B$6,B66&lt;=$B$7),$C66*(1+$B$10*($B$7-B66)/365),0)</f>
        <v/>
      </c>
      <c r="S66" s="51">
        <f>IF(I66=1,$C66/(1+($B$111+손익!$B$24/10000)/2)^(J66-1),0)</f>
        <v/>
      </c>
      <c r="T66" s="51">
        <f>IF(I66=1,$C66/(1+($B$111+시나리오!$A$4/10000)/2)^(J66-1),0)</f>
        <v/>
      </c>
      <c r="U66" s="51">
        <f>IF(I66=1,$C66/(1+($B$111+시나리오!$A$5/10000)/2)^(J66-1),0)</f>
        <v/>
      </c>
      <c r="V66" s="51">
        <f>IF(I66=1,$C66/(1+($B$111+시나리오!$A$6/10000)/2)^(J66-1),0)</f>
        <v/>
      </c>
      <c r="W66" s="51">
        <f>IF(I66=1,$C66/(1+($B$111+시나리오!$A$7/10000)/2)^(J66-1),0)</f>
        <v/>
      </c>
      <c r="X66" s="51">
        <f>IF(I66=1,$C66/(1+($B$111+시나리오!$A$8/10000)/2)^(J66-1),0)</f>
        <v/>
      </c>
      <c r="Y66" s="51">
        <f>IF(I66=1,$C66/(1+($B$111+시나리오!$A$9/10000)/2)^(J66-1),0)</f>
        <v/>
      </c>
      <c r="Z66" s="51">
        <f>IF(I66=1,$C66/(1+($B$111+시나리오!$A$10/10000)/2)^(J66-1),0)</f>
        <v/>
      </c>
      <c r="AA66" s="51">
        <f>IF(I66=1,$C66/(1+($B$111+시나리오!$A$11/10000)/2)^(J66-1),0)</f>
        <v/>
      </c>
      <c r="AB66" s="51">
        <f>IF(I66=1,$C66/(1+($B$111+시나리오!$A$12/10000)/2)^(J66-1),0)</f>
        <v/>
      </c>
      <c r="AC66" s="51">
        <f>IF(I66=1,$C66/(1+($B$111+시나리오!$A$13/10000)/2)^(J66-1),0)</f>
        <v/>
      </c>
      <c r="AD66" s="51">
        <f>IF(I66=1,$C66/(1+($B$111+시나리오!$A$14/10000)/2)^(J66-1),0)</f>
        <v/>
      </c>
      <c r="AE66" s="51">
        <f>IF(I66=1,$C66/(1+($B$111+시나리오!$A$15/10000)/2)^(J66-1),0)</f>
        <v/>
      </c>
      <c r="AF66" s="51">
        <f>IF(I66=1,$C66/(1+($B$111+시나리오!$A$16/10000)/2)^(J66-1),0)</f>
        <v/>
      </c>
      <c r="AG66" s="51">
        <f>IF(I66=1,$C66/(1+($B$111+시나리오!$A$17/10000)/2)^(J66-1),0)</f>
        <v/>
      </c>
      <c r="AH66" s="51">
        <f>IF(I66=1,$C66/(1+($B$111+시나리오!$A$18/10000)/2)^(J66-1),0)</f>
        <v/>
      </c>
      <c r="AI66" s="51">
        <f>IF(I66=1,$C66/(1+($B$111+시나리오!$A$19/10000)/2)^(J66-1),0)</f>
        <v/>
      </c>
      <c r="AJ66" s="51">
        <f>IF(I66=1,$C66/(1+($B$111+시나리오!$A$20/10000)/2)^(J66-1),0)</f>
        <v/>
      </c>
      <c r="AK66" s="51">
        <f>IF(I66=1,$C66/(1+($B$111+시나리오!$A$21/10000)/2)^(J66-1),0)</f>
        <v/>
      </c>
      <c r="AL66" s="51">
        <f>IF(I66=1,$C66/(1+($B$111+시나리오!$A$22/10000)/2)^(J66-1),0)</f>
        <v/>
      </c>
      <c r="AM66" s="51">
        <f>IF(I66=1,$C66/(1+($B$111+시나리오!$A$23/10000)/2)^(J66-1),0)</f>
        <v/>
      </c>
      <c r="AN66" s="51">
        <f>IF(I66=1,$C66/(1+($B$111+시나리오!$A$24/10000)/2)^(J66-1),0)</f>
        <v/>
      </c>
      <c r="AQ66" s="49" t="n">
        <v>52</v>
      </c>
      <c r="AR66" s="50">
        <f>EDATE($AR$2,-6*(62-$AQ66))</f>
        <v/>
      </c>
      <c r="AS66" s="51">
        <f>IF(AND(AR66&gt;$AR$3,AR66&lt;=$AR$2),IF(AR66=$AR$2,$AR$5+100,$AR$5),0)</f>
        <v/>
      </c>
      <c r="AT66" s="49">
        <f>IF(AND($AS66&gt;0,AR66&gt;$AR$6),1,0)</f>
        <v/>
      </c>
      <c r="AU66" s="49">
        <f>IF(AT66=1,SUM($AT$15:AT66),"")</f>
        <v/>
      </c>
      <c r="AV66" s="51">
        <f>IF(AT66=1,$AS66/(1+$AR$8/2)^(AU66-1),0)</f>
        <v/>
      </c>
      <c r="AW66" s="51">
        <f>IF(AT66=1,$AS66/(1+($AR$8+0.0001)/2)^(AU66-1),0)</f>
        <v/>
      </c>
      <c r="AX66" s="51">
        <f>IF(AT66=1,$AS66/(1+($AR$8-0.0001)/2)^(AU66-1),0)</f>
        <v/>
      </c>
      <c r="AY66" s="49">
        <f>IF(AND($AS66&gt;0,AR66&gt;$AR$7),1,0)</f>
        <v/>
      </c>
      <c r="AZ66" s="49">
        <f>IF(AY66=1,SUM($AY$15:AY66),"")</f>
        <v/>
      </c>
      <c r="BA66" s="51">
        <f>IF(AY66=1,$AS66/(1+$AR$104/2)^(AZ66-1),0)</f>
        <v/>
      </c>
      <c r="BB66" s="51">
        <f>IF(AY66=1,$AS66/(1+($AR$104+0.0001)/2)^(AZ66-1),0)</f>
        <v/>
      </c>
      <c r="BC66" s="51">
        <f>IF(AY66=1,$AS66/(1+($AR$104-0.0001)/2)^(AZ66-1),0)</f>
        <v/>
      </c>
      <c r="BD66" s="51">
        <f>IF(AY66=1,$AS66/(1+$AR$109/2)^(AZ66-1),0)</f>
        <v/>
      </c>
      <c r="BE66" s="51">
        <f>IF(AY66=1,$AS66/(1+$AR$111/2)^(AZ66-1),0)</f>
        <v/>
      </c>
      <c r="BF66" s="51">
        <f>IF(AY66=1,$AS66/(1+($AR$111+0.0001)/2)^(AZ66-1),0)</f>
        <v/>
      </c>
      <c r="BG66" s="51">
        <f>IF(AY66=1,$AS66/(1+($AR$111-0.0001)/2)^(AZ66-1),0)</f>
        <v/>
      </c>
      <c r="BH66" s="51">
        <f>IF(AND($AS66&gt;0,AR66&gt;$AR$6,AR66&lt;=$AR$7),$AS66*(1+$AR$10*($AR$7-AR66)/365),0)</f>
        <v/>
      </c>
      <c r="BI66" s="51">
        <f>IF(AY66=1,$AS66/(1+($AR$111+손익!$B$24/10000)/2)^(AZ66-1),0)</f>
        <v/>
      </c>
      <c r="BJ66" s="51">
        <f>IF(AY66=1,$AS66/(1+($AR$111+시나리오!$A$4/10000)/2)^(AZ66-1),0)</f>
        <v/>
      </c>
      <c r="BK66" s="51">
        <f>IF(AY66=1,$AS66/(1+($AR$111+시나리오!$A$5/10000)/2)^(AZ66-1),0)</f>
        <v/>
      </c>
      <c r="BL66" s="51">
        <f>IF(AY66=1,$AS66/(1+($AR$111+시나리오!$A$6/10000)/2)^(AZ66-1),0)</f>
        <v/>
      </c>
      <c r="BM66" s="51">
        <f>IF(AY66=1,$AS66/(1+($AR$111+시나리오!$A$7/10000)/2)^(AZ66-1),0)</f>
        <v/>
      </c>
      <c r="BN66" s="51">
        <f>IF(AY66=1,$AS66/(1+($AR$111+시나리오!$A$8/10000)/2)^(AZ66-1),0)</f>
        <v/>
      </c>
      <c r="BO66" s="51">
        <f>IF(AY66=1,$AS66/(1+($AR$111+시나리오!$A$9/10000)/2)^(AZ66-1),0)</f>
        <v/>
      </c>
      <c r="BP66" s="51">
        <f>IF(AY66=1,$AS66/(1+($AR$111+시나리오!$A$10/10000)/2)^(AZ66-1),0)</f>
        <v/>
      </c>
      <c r="BQ66" s="51">
        <f>IF(AY66=1,$AS66/(1+($AR$111+시나리오!$A$11/10000)/2)^(AZ66-1),0)</f>
        <v/>
      </c>
      <c r="BR66" s="51">
        <f>IF(AY66=1,$AS66/(1+($AR$111+시나리오!$A$12/10000)/2)^(AZ66-1),0)</f>
        <v/>
      </c>
      <c r="BS66" s="51">
        <f>IF(AY66=1,$AS66/(1+($AR$111+시나리오!$A$13/10000)/2)^(AZ66-1),0)</f>
        <v/>
      </c>
      <c r="BT66" s="51">
        <f>IF(AY66=1,$AS66/(1+($AR$111+시나리오!$A$14/10000)/2)^(AZ66-1),0)</f>
        <v/>
      </c>
      <c r="BU66" s="51">
        <f>IF(AY66=1,$AS66/(1+($AR$111+시나리오!$A$15/10000)/2)^(AZ66-1),0)</f>
        <v/>
      </c>
      <c r="BV66" s="51">
        <f>IF(AY66=1,$AS66/(1+($AR$111+시나리오!$A$16/10000)/2)^(AZ66-1),0)</f>
        <v/>
      </c>
      <c r="BW66" s="51">
        <f>IF(AY66=1,$AS66/(1+($AR$111+시나리오!$A$17/10000)/2)^(AZ66-1),0)</f>
        <v/>
      </c>
      <c r="BX66" s="51">
        <f>IF(AY66=1,$AS66/(1+($AR$111+시나리오!$A$18/10000)/2)^(AZ66-1),0)</f>
        <v/>
      </c>
      <c r="BY66" s="51">
        <f>IF(AY66=1,$AS66/(1+($AR$111+시나리오!$A$19/10000)/2)^(AZ66-1),0)</f>
        <v/>
      </c>
      <c r="BZ66" s="51">
        <f>IF(AY66=1,$AS66/(1+($AR$111+시나리오!$A$20/10000)/2)^(AZ66-1),0)</f>
        <v/>
      </c>
      <c r="CA66" s="51">
        <f>IF(AY66=1,$AS66/(1+($AR$111+시나리오!$A$21/10000)/2)^(AZ66-1),0)</f>
        <v/>
      </c>
      <c r="CB66" s="51">
        <f>IF(AY66=1,$AS66/(1+($AR$111+시나리오!$A$22/10000)/2)^(AZ66-1),0)</f>
        <v/>
      </c>
      <c r="CC66" s="51">
        <f>IF(AY66=1,$AS66/(1+($AR$111+시나리오!$A$23/10000)/2)^(AZ66-1),0)</f>
        <v/>
      </c>
      <c r="CD66" s="51">
        <f>IF(AY66=1,$AS66/(1+($AR$111+시나리오!$A$24/10000)/2)^(AZ66-1),0)</f>
        <v/>
      </c>
      <c r="CG66" s="49" t="n">
        <v>52</v>
      </c>
      <c r="CH66" s="50">
        <f>EDATE($CH$2,-6*(62-$CG66))</f>
        <v/>
      </c>
      <c r="CI66" s="51">
        <f>IF(AND(CH66&gt;$CH$3,CH66&lt;=$CH$2),IF(CH66=$CH$2,$CH$5+100,$CH$5),0)</f>
        <v/>
      </c>
      <c r="CJ66" s="49">
        <f>IF(AND($CI66&gt;0,CH66&gt;$CH$6),1,0)</f>
        <v/>
      </c>
      <c r="CK66" s="49">
        <f>IF(CJ66=1,SUM($CJ$15:CJ66),"")</f>
        <v/>
      </c>
      <c r="CL66" s="51">
        <f>IF(CJ66=1,$CI66/(1+$CH$8/2)^(CK66-1),0)</f>
        <v/>
      </c>
      <c r="CM66" s="51">
        <f>IF(CJ66=1,$CI66/(1+($CH$8+0.0001)/2)^(CK66-1),0)</f>
        <v/>
      </c>
      <c r="CN66" s="51">
        <f>IF(CJ66=1,$CI66/(1+($CH$8-0.0001)/2)^(CK66-1),0)</f>
        <v/>
      </c>
      <c r="CO66" s="49">
        <f>IF(AND($CI66&gt;0,CH66&gt;$CH$7),1,0)</f>
        <v/>
      </c>
      <c r="CP66" s="49">
        <f>IF(CO66=1,SUM($CO$15:CO66),"")</f>
        <v/>
      </c>
      <c r="CQ66" s="51">
        <f>IF(CO66=1,$CI66/(1+$CH$104/2)^(CP66-1),0)</f>
        <v/>
      </c>
      <c r="CR66" s="51">
        <f>IF(CO66=1,$CI66/(1+($CH$104+0.0001)/2)^(CP66-1),0)</f>
        <v/>
      </c>
      <c r="CS66" s="51">
        <f>IF(CO66=1,$CI66/(1+($CH$104-0.0001)/2)^(CP66-1),0)</f>
        <v/>
      </c>
      <c r="CT66" s="51">
        <f>IF(CO66=1,$CI66/(1+$CH$109/2)^(CP66-1),0)</f>
        <v/>
      </c>
      <c r="CU66" s="51">
        <f>IF(CO66=1,$CI66/(1+$CH$111/2)^(CP66-1),0)</f>
        <v/>
      </c>
      <c r="CV66" s="51">
        <f>IF(CO66=1,$CI66/(1+($CH$111+0.0001)/2)^(CP66-1),0)</f>
        <v/>
      </c>
      <c r="CW66" s="51">
        <f>IF(CO66=1,$CI66/(1+($CH$111-0.0001)/2)^(CP66-1),0)</f>
        <v/>
      </c>
      <c r="CX66" s="51">
        <f>IF(AND($CI66&gt;0,CH66&gt;$CH$6,CH66&lt;=$CH$7),$CI66*(1+$CH$10*($CH$7-CH66)/365),0)</f>
        <v/>
      </c>
      <c r="CY66" s="51">
        <f>IF(CO66=1,$CI66/(1+($CH$111+손익!$B$24/10000)/2)^(CP66-1),0)</f>
        <v/>
      </c>
      <c r="CZ66" s="51">
        <f>IF(CO66=1,$CI66/(1+($CH$111+시나리오!$A$4/10000)/2)^(CP66-1),0)</f>
        <v/>
      </c>
      <c r="DA66" s="51">
        <f>IF(CO66=1,$CI66/(1+($CH$111+시나리오!$A$5/10000)/2)^(CP66-1),0)</f>
        <v/>
      </c>
      <c r="DB66" s="51">
        <f>IF(CO66=1,$CI66/(1+($CH$111+시나리오!$A$6/10000)/2)^(CP66-1),0)</f>
        <v/>
      </c>
      <c r="DC66" s="51">
        <f>IF(CO66=1,$CI66/(1+($CH$111+시나리오!$A$7/10000)/2)^(CP66-1),0)</f>
        <v/>
      </c>
      <c r="DD66" s="51">
        <f>IF(CO66=1,$CI66/(1+($CH$111+시나리오!$A$8/10000)/2)^(CP66-1),0)</f>
        <v/>
      </c>
      <c r="DE66" s="51">
        <f>IF(CO66=1,$CI66/(1+($CH$111+시나리오!$A$9/10000)/2)^(CP66-1),0)</f>
        <v/>
      </c>
      <c r="DF66" s="51">
        <f>IF(CO66=1,$CI66/(1+($CH$111+시나리오!$A$10/10000)/2)^(CP66-1),0)</f>
        <v/>
      </c>
      <c r="DG66" s="51">
        <f>IF(CO66=1,$CI66/(1+($CH$111+시나리오!$A$11/10000)/2)^(CP66-1),0)</f>
        <v/>
      </c>
      <c r="DH66" s="51">
        <f>IF(CO66=1,$CI66/(1+($CH$111+시나리오!$A$12/10000)/2)^(CP66-1),0)</f>
        <v/>
      </c>
      <c r="DI66" s="51">
        <f>IF(CO66=1,$CI66/(1+($CH$111+시나리오!$A$13/10000)/2)^(CP66-1),0)</f>
        <v/>
      </c>
      <c r="DJ66" s="51">
        <f>IF(CO66=1,$CI66/(1+($CH$111+시나리오!$A$14/10000)/2)^(CP66-1),0)</f>
        <v/>
      </c>
      <c r="DK66" s="51">
        <f>IF(CO66=1,$CI66/(1+($CH$111+시나리오!$A$15/10000)/2)^(CP66-1),0)</f>
        <v/>
      </c>
      <c r="DL66" s="51">
        <f>IF(CO66=1,$CI66/(1+($CH$111+시나리오!$A$16/10000)/2)^(CP66-1),0)</f>
        <v/>
      </c>
      <c r="DM66" s="51">
        <f>IF(CO66=1,$CI66/(1+($CH$111+시나리오!$A$17/10000)/2)^(CP66-1),0)</f>
        <v/>
      </c>
      <c r="DN66" s="51">
        <f>IF(CO66=1,$CI66/(1+($CH$111+시나리오!$A$18/10000)/2)^(CP66-1),0)</f>
        <v/>
      </c>
      <c r="DO66" s="51">
        <f>IF(CO66=1,$CI66/(1+($CH$111+시나리오!$A$19/10000)/2)^(CP66-1),0)</f>
        <v/>
      </c>
      <c r="DP66" s="51">
        <f>IF(CO66=1,$CI66/(1+($CH$111+시나리오!$A$20/10000)/2)^(CP66-1),0)</f>
        <v/>
      </c>
      <c r="DQ66" s="51">
        <f>IF(CO66=1,$CI66/(1+($CH$111+시나리오!$A$21/10000)/2)^(CP66-1),0)</f>
        <v/>
      </c>
      <c r="DR66" s="51">
        <f>IF(CO66=1,$CI66/(1+($CH$111+시나리오!$A$22/10000)/2)^(CP66-1),0)</f>
        <v/>
      </c>
      <c r="DS66" s="51">
        <f>IF(CO66=1,$CI66/(1+($CH$111+시나리오!$A$23/10000)/2)^(CP66-1),0)</f>
        <v/>
      </c>
      <c r="DT66" s="51">
        <f>IF(CO66=1,$CI66/(1+($CH$111+시나리오!$A$24/10000)/2)^(CP66-1),0)</f>
        <v/>
      </c>
    </row>
    <row r="67">
      <c r="A67" s="49" t="n">
        <v>53</v>
      </c>
      <c r="B67" s="50">
        <f>EDATE($B$2,-6*(62-$A67))</f>
        <v/>
      </c>
      <c r="C67" s="51">
        <f>IF(AND(B67&gt;$B$3,B67&lt;=$B$2),IF(B67=$B$2,$B$5+100,$B$5),0)</f>
        <v/>
      </c>
      <c r="D67" s="49">
        <f>IF(AND($C67&gt;0,B67&gt;$B$6),1,0)</f>
        <v/>
      </c>
      <c r="E67" s="49">
        <f>IF(D67=1,SUM($D$15:D67),"")</f>
        <v/>
      </c>
      <c r="F67" s="51">
        <f>IF(D67=1,$C67/(1+$B$8/2)^(E67-1),0)</f>
        <v/>
      </c>
      <c r="G67" s="51">
        <f>IF(D67=1,$C67/(1+($B$8+0.0001)/2)^(E67-1),0)</f>
        <v/>
      </c>
      <c r="H67" s="51">
        <f>IF(D67=1,$C67/(1+($B$8-0.0001)/2)^(E67-1),0)</f>
        <v/>
      </c>
      <c r="I67" s="49">
        <f>IF(AND($C67&gt;0,B67&gt;$B$7),1,0)</f>
        <v/>
      </c>
      <c r="J67" s="49">
        <f>IF(I67=1,SUM($I$15:I67),"")</f>
        <v/>
      </c>
      <c r="K67" s="51">
        <f>IF(I67=1,$C67/(1+$B$104/2)^(J67-1),0)</f>
        <v/>
      </c>
      <c r="L67" s="51">
        <f>IF(I67=1,$C67/(1+($B$104+0.0001)/2)^(J67-1),0)</f>
        <v/>
      </c>
      <c r="M67" s="51">
        <f>IF(I67=1,$C67/(1+($B$104-0.0001)/2)^(J67-1),0)</f>
        <v/>
      </c>
      <c r="N67" s="51">
        <f>IF(I67=1,$C67/(1+$B$109/2)^(J67-1),0)</f>
        <v/>
      </c>
      <c r="O67" s="51">
        <f>IF(I67=1,$C67/(1+$B$111/2)^(J67-1),0)</f>
        <v/>
      </c>
      <c r="P67" s="51">
        <f>IF(I67=1,$C67/(1+($B$111+0.0001)/2)^(J67-1),0)</f>
        <v/>
      </c>
      <c r="Q67" s="51">
        <f>IF(I67=1,$C67/(1+($B$111-0.0001)/2)^(J67-1),0)</f>
        <v/>
      </c>
      <c r="R67" s="51">
        <f>IF(AND($C67&gt;0,B67&gt;$B$6,B67&lt;=$B$7),$C67*(1+$B$10*($B$7-B67)/365),0)</f>
        <v/>
      </c>
      <c r="S67" s="51">
        <f>IF(I67=1,$C67/(1+($B$111+손익!$B$24/10000)/2)^(J67-1),0)</f>
        <v/>
      </c>
      <c r="T67" s="51">
        <f>IF(I67=1,$C67/(1+($B$111+시나리오!$A$4/10000)/2)^(J67-1),0)</f>
        <v/>
      </c>
      <c r="U67" s="51">
        <f>IF(I67=1,$C67/(1+($B$111+시나리오!$A$5/10000)/2)^(J67-1),0)</f>
        <v/>
      </c>
      <c r="V67" s="51">
        <f>IF(I67=1,$C67/(1+($B$111+시나리오!$A$6/10000)/2)^(J67-1),0)</f>
        <v/>
      </c>
      <c r="W67" s="51">
        <f>IF(I67=1,$C67/(1+($B$111+시나리오!$A$7/10000)/2)^(J67-1),0)</f>
        <v/>
      </c>
      <c r="X67" s="51">
        <f>IF(I67=1,$C67/(1+($B$111+시나리오!$A$8/10000)/2)^(J67-1),0)</f>
        <v/>
      </c>
      <c r="Y67" s="51">
        <f>IF(I67=1,$C67/(1+($B$111+시나리오!$A$9/10000)/2)^(J67-1),0)</f>
        <v/>
      </c>
      <c r="Z67" s="51">
        <f>IF(I67=1,$C67/(1+($B$111+시나리오!$A$10/10000)/2)^(J67-1),0)</f>
        <v/>
      </c>
      <c r="AA67" s="51">
        <f>IF(I67=1,$C67/(1+($B$111+시나리오!$A$11/10000)/2)^(J67-1),0)</f>
        <v/>
      </c>
      <c r="AB67" s="51">
        <f>IF(I67=1,$C67/(1+($B$111+시나리오!$A$12/10000)/2)^(J67-1),0)</f>
        <v/>
      </c>
      <c r="AC67" s="51">
        <f>IF(I67=1,$C67/(1+($B$111+시나리오!$A$13/10000)/2)^(J67-1),0)</f>
        <v/>
      </c>
      <c r="AD67" s="51">
        <f>IF(I67=1,$C67/(1+($B$111+시나리오!$A$14/10000)/2)^(J67-1),0)</f>
        <v/>
      </c>
      <c r="AE67" s="51">
        <f>IF(I67=1,$C67/(1+($B$111+시나리오!$A$15/10000)/2)^(J67-1),0)</f>
        <v/>
      </c>
      <c r="AF67" s="51">
        <f>IF(I67=1,$C67/(1+($B$111+시나리오!$A$16/10000)/2)^(J67-1),0)</f>
        <v/>
      </c>
      <c r="AG67" s="51">
        <f>IF(I67=1,$C67/(1+($B$111+시나리오!$A$17/10000)/2)^(J67-1),0)</f>
        <v/>
      </c>
      <c r="AH67" s="51">
        <f>IF(I67=1,$C67/(1+($B$111+시나리오!$A$18/10000)/2)^(J67-1),0)</f>
        <v/>
      </c>
      <c r="AI67" s="51">
        <f>IF(I67=1,$C67/(1+($B$111+시나리오!$A$19/10000)/2)^(J67-1),0)</f>
        <v/>
      </c>
      <c r="AJ67" s="51">
        <f>IF(I67=1,$C67/(1+($B$111+시나리오!$A$20/10000)/2)^(J67-1),0)</f>
        <v/>
      </c>
      <c r="AK67" s="51">
        <f>IF(I67=1,$C67/(1+($B$111+시나리오!$A$21/10000)/2)^(J67-1),0)</f>
        <v/>
      </c>
      <c r="AL67" s="51">
        <f>IF(I67=1,$C67/(1+($B$111+시나리오!$A$22/10000)/2)^(J67-1),0)</f>
        <v/>
      </c>
      <c r="AM67" s="51">
        <f>IF(I67=1,$C67/(1+($B$111+시나리오!$A$23/10000)/2)^(J67-1),0)</f>
        <v/>
      </c>
      <c r="AN67" s="51">
        <f>IF(I67=1,$C67/(1+($B$111+시나리오!$A$24/10000)/2)^(J67-1),0)</f>
        <v/>
      </c>
      <c r="AQ67" s="49" t="n">
        <v>53</v>
      </c>
      <c r="AR67" s="50">
        <f>EDATE($AR$2,-6*(62-$AQ67))</f>
        <v/>
      </c>
      <c r="AS67" s="51">
        <f>IF(AND(AR67&gt;$AR$3,AR67&lt;=$AR$2),IF(AR67=$AR$2,$AR$5+100,$AR$5),0)</f>
        <v/>
      </c>
      <c r="AT67" s="49">
        <f>IF(AND($AS67&gt;0,AR67&gt;$AR$6),1,0)</f>
        <v/>
      </c>
      <c r="AU67" s="49">
        <f>IF(AT67=1,SUM($AT$15:AT67),"")</f>
        <v/>
      </c>
      <c r="AV67" s="51">
        <f>IF(AT67=1,$AS67/(1+$AR$8/2)^(AU67-1),0)</f>
        <v/>
      </c>
      <c r="AW67" s="51">
        <f>IF(AT67=1,$AS67/(1+($AR$8+0.0001)/2)^(AU67-1),0)</f>
        <v/>
      </c>
      <c r="AX67" s="51">
        <f>IF(AT67=1,$AS67/(1+($AR$8-0.0001)/2)^(AU67-1),0)</f>
        <v/>
      </c>
      <c r="AY67" s="49">
        <f>IF(AND($AS67&gt;0,AR67&gt;$AR$7),1,0)</f>
        <v/>
      </c>
      <c r="AZ67" s="49">
        <f>IF(AY67=1,SUM($AY$15:AY67),"")</f>
        <v/>
      </c>
      <c r="BA67" s="51">
        <f>IF(AY67=1,$AS67/(1+$AR$104/2)^(AZ67-1),0)</f>
        <v/>
      </c>
      <c r="BB67" s="51">
        <f>IF(AY67=1,$AS67/(1+($AR$104+0.0001)/2)^(AZ67-1),0)</f>
        <v/>
      </c>
      <c r="BC67" s="51">
        <f>IF(AY67=1,$AS67/(1+($AR$104-0.0001)/2)^(AZ67-1),0)</f>
        <v/>
      </c>
      <c r="BD67" s="51">
        <f>IF(AY67=1,$AS67/(1+$AR$109/2)^(AZ67-1),0)</f>
        <v/>
      </c>
      <c r="BE67" s="51">
        <f>IF(AY67=1,$AS67/(1+$AR$111/2)^(AZ67-1),0)</f>
        <v/>
      </c>
      <c r="BF67" s="51">
        <f>IF(AY67=1,$AS67/(1+($AR$111+0.0001)/2)^(AZ67-1),0)</f>
        <v/>
      </c>
      <c r="BG67" s="51">
        <f>IF(AY67=1,$AS67/(1+($AR$111-0.0001)/2)^(AZ67-1),0)</f>
        <v/>
      </c>
      <c r="BH67" s="51">
        <f>IF(AND($AS67&gt;0,AR67&gt;$AR$6,AR67&lt;=$AR$7),$AS67*(1+$AR$10*($AR$7-AR67)/365),0)</f>
        <v/>
      </c>
      <c r="BI67" s="51">
        <f>IF(AY67=1,$AS67/(1+($AR$111+손익!$B$24/10000)/2)^(AZ67-1),0)</f>
        <v/>
      </c>
      <c r="BJ67" s="51">
        <f>IF(AY67=1,$AS67/(1+($AR$111+시나리오!$A$4/10000)/2)^(AZ67-1),0)</f>
        <v/>
      </c>
      <c r="BK67" s="51">
        <f>IF(AY67=1,$AS67/(1+($AR$111+시나리오!$A$5/10000)/2)^(AZ67-1),0)</f>
        <v/>
      </c>
      <c r="BL67" s="51">
        <f>IF(AY67=1,$AS67/(1+($AR$111+시나리오!$A$6/10000)/2)^(AZ67-1),0)</f>
        <v/>
      </c>
      <c r="BM67" s="51">
        <f>IF(AY67=1,$AS67/(1+($AR$111+시나리오!$A$7/10000)/2)^(AZ67-1),0)</f>
        <v/>
      </c>
      <c r="BN67" s="51">
        <f>IF(AY67=1,$AS67/(1+($AR$111+시나리오!$A$8/10000)/2)^(AZ67-1),0)</f>
        <v/>
      </c>
      <c r="BO67" s="51">
        <f>IF(AY67=1,$AS67/(1+($AR$111+시나리오!$A$9/10000)/2)^(AZ67-1),0)</f>
        <v/>
      </c>
      <c r="BP67" s="51">
        <f>IF(AY67=1,$AS67/(1+($AR$111+시나리오!$A$10/10000)/2)^(AZ67-1),0)</f>
        <v/>
      </c>
      <c r="BQ67" s="51">
        <f>IF(AY67=1,$AS67/(1+($AR$111+시나리오!$A$11/10000)/2)^(AZ67-1),0)</f>
        <v/>
      </c>
      <c r="BR67" s="51">
        <f>IF(AY67=1,$AS67/(1+($AR$111+시나리오!$A$12/10000)/2)^(AZ67-1),0)</f>
        <v/>
      </c>
      <c r="BS67" s="51">
        <f>IF(AY67=1,$AS67/(1+($AR$111+시나리오!$A$13/10000)/2)^(AZ67-1),0)</f>
        <v/>
      </c>
      <c r="BT67" s="51">
        <f>IF(AY67=1,$AS67/(1+($AR$111+시나리오!$A$14/10000)/2)^(AZ67-1),0)</f>
        <v/>
      </c>
      <c r="BU67" s="51">
        <f>IF(AY67=1,$AS67/(1+($AR$111+시나리오!$A$15/10000)/2)^(AZ67-1),0)</f>
        <v/>
      </c>
      <c r="BV67" s="51">
        <f>IF(AY67=1,$AS67/(1+($AR$111+시나리오!$A$16/10000)/2)^(AZ67-1),0)</f>
        <v/>
      </c>
      <c r="BW67" s="51">
        <f>IF(AY67=1,$AS67/(1+($AR$111+시나리오!$A$17/10000)/2)^(AZ67-1),0)</f>
        <v/>
      </c>
      <c r="BX67" s="51">
        <f>IF(AY67=1,$AS67/(1+($AR$111+시나리오!$A$18/10000)/2)^(AZ67-1),0)</f>
        <v/>
      </c>
      <c r="BY67" s="51">
        <f>IF(AY67=1,$AS67/(1+($AR$111+시나리오!$A$19/10000)/2)^(AZ67-1),0)</f>
        <v/>
      </c>
      <c r="BZ67" s="51">
        <f>IF(AY67=1,$AS67/(1+($AR$111+시나리오!$A$20/10000)/2)^(AZ67-1),0)</f>
        <v/>
      </c>
      <c r="CA67" s="51">
        <f>IF(AY67=1,$AS67/(1+($AR$111+시나리오!$A$21/10000)/2)^(AZ67-1),0)</f>
        <v/>
      </c>
      <c r="CB67" s="51">
        <f>IF(AY67=1,$AS67/(1+($AR$111+시나리오!$A$22/10000)/2)^(AZ67-1),0)</f>
        <v/>
      </c>
      <c r="CC67" s="51">
        <f>IF(AY67=1,$AS67/(1+($AR$111+시나리오!$A$23/10000)/2)^(AZ67-1),0)</f>
        <v/>
      </c>
      <c r="CD67" s="51">
        <f>IF(AY67=1,$AS67/(1+($AR$111+시나리오!$A$24/10000)/2)^(AZ67-1),0)</f>
        <v/>
      </c>
      <c r="CG67" s="49" t="n">
        <v>53</v>
      </c>
      <c r="CH67" s="50">
        <f>EDATE($CH$2,-6*(62-$CG67))</f>
        <v/>
      </c>
      <c r="CI67" s="51">
        <f>IF(AND(CH67&gt;$CH$3,CH67&lt;=$CH$2),IF(CH67=$CH$2,$CH$5+100,$CH$5),0)</f>
        <v/>
      </c>
      <c r="CJ67" s="49">
        <f>IF(AND($CI67&gt;0,CH67&gt;$CH$6),1,0)</f>
        <v/>
      </c>
      <c r="CK67" s="49">
        <f>IF(CJ67=1,SUM($CJ$15:CJ67),"")</f>
        <v/>
      </c>
      <c r="CL67" s="51">
        <f>IF(CJ67=1,$CI67/(1+$CH$8/2)^(CK67-1),0)</f>
        <v/>
      </c>
      <c r="CM67" s="51">
        <f>IF(CJ67=1,$CI67/(1+($CH$8+0.0001)/2)^(CK67-1),0)</f>
        <v/>
      </c>
      <c r="CN67" s="51">
        <f>IF(CJ67=1,$CI67/(1+($CH$8-0.0001)/2)^(CK67-1),0)</f>
        <v/>
      </c>
      <c r="CO67" s="49">
        <f>IF(AND($CI67&gt;0,CH67&gt;$CH$7),1,0)</f>
        <v/>
      </c>
      <c r="CP67" s="49">
        <f>IF(CO67=1,SUM($CO$15:CO67),"")</f>
        <v/>
      </c>
      <c r="CQ67" s="51">
        <f>IF(CO67=1,$CI67/(1+$CH$104/2)^(CP67-1),0)</f>
        <v/>
      </c>
      <c r="CR67" s="51">
        <f>IF(CO67=1,$CI67/(1+($CH$104+0.0001)/2)^(CP67-1),0)</f>
        <v/>
      </c>
      <c r="CS67" s="51">
        <f>IF(CO67=1,$CI67/(1+($CH$104-0.0001)/2)^(CP67-1),0)</f>
        <v/>
      </c>
      <c r="CT67" s="51">
        <f>IF(CO67=1,$CI67/(1+$CH$109/2)^(CP67-1),0)</f>
        <v/>
      </c>
      <c r="CU67" s="51">
        <f>IF(CO67=1,$CI67/(1+$CH$111/2)^(CP67-1),0)</f>
        <v/>
      </c>
      <c r="CV67" s="51">
        <f>IF(CO67=1,$CI67/(1+($CH$111+0.0001)/2)^(CP67-1),0)</f>
        <v/>
      </c>
      <c r="CW67" s="51">
        <f>IF(CO67=1,$CI67/(1+($CH$111-0.0001)/2)^(CP67-1),0)</f>
        <v/>
      </c>
      <c r="CX67" s="51">
        <f>IF(AND($CI67&gt;0,CH67&gt;$CH$6,CH67&lt;=$CH$7),$CI67*(1+$CH$10*($CH$7-CH67)/365),0)</f>
        <v/>
      </c>
      <c r="CY67" s="51">
        <f>IF(CO67=1,$CI67/(1+($CH$111+손익!$B$24/10000)/2)^(CP67-1),0)</f>
        <v/>
      </c>
      <c r="CZ67" s="51">
        <f>IF(CO67=1,$CI67/(1+($CH$111+시나리오!$A$4/10000)/2)^(CP67-1),0)</f>
        <v/>
      </c>
      <c r="DA67" s="51">
        <f>IF(CO67=1,$CI67/(1+($CH$111+시나리오!$A$5/10000)/2)^(CP67-1),0)</f>
        <v/>
      </c>
      <c r="DB67" s="51">
        <f>IF(CO67=1,$CI67/(1+($CH$111+시나리오!$A$6/10000)/2)^(CP67-1),0)</f>
        <v/>
      </c>
      <c r="DC67" s="51">
        <f>IF(CO67=1,$CI67/(1+($CH$111+시나리오!$A$7/10000)/2)^(CP67-1),0)</f>
        <v/>
      </c>
      <c r="DD67" s="51">
        <f>IF(CO67=1,$CI67/(1+($CH$111+시나리오!$A$8/10000)/2)^(CP67-1),0)</f>
        <v/>
      </c>
      <c r="DE67" s="51">
        <f>IF(CO67=1,$CI67/(1+($CH$111+시나리오!$A$9/10000)/2)^(CP67-1),0)</f>
        <v/>
      </c>
      <c r="DF67" s="51">
        <f>IF(CO67=1,$CI67/(1+($CH$111+시나리오!$A$10/10000)/2)^(CP67-1),0)</f>
        <v/>
      </c>
      <c r="DG67" s="51">
        <f>IF(CO67=1,$CI67/(1+($CH$111+시나리오!$A$11/10000)/2)^(CP67-1),0)</f>
        <v/>
      </c>
      <c r="DH67" s="51">
        <f>IF(CO67=1,$CI67/(1+($CH$111+시나리오!$A$12/10000)/2)^(CP67-1),0)</f>
        <v/>
      </c>
      <c r="DI67" s="51">
        <f>IF(CO67=1,$CI67/(1+($CH$111+시나리오!$A$13/10000)/2)^(CP67-1),0)</f>
        <v/>
      </c>
      <c r="DJ67" s="51">
        <f>IF(CO67=1,$CI67/(1+($CH$111+시나리오!$A$14/10000)/2)^(CP67-1),0)</f>
        <v/>
      </c>
      <c r="DK67" s="51">
        <f>IF(CO67=1,$CI67/(1+($CH$111+시나리오!$A$15/10000)/2)^(CP67-1),0)</f>
        <v/>
      </c>
      <c r="DL67" s="51">
        <f>IF(CO67=1,$CI67/(1+($CH$111+시나리오!$A$16/10000)/2)^(CP67-1),0)</f>
        <v/>
      </c>
      <c r="DM67" s="51">
        <f>IF(CO67=1,$CI67/(1+($CH$111+시나리오!$A$17/10000)/2)^(CP67-1),0)</f>
        <v/>
      </c>
      <c r="DN67" s="51">
        <f>IF(CO67=1,$CI67/(1+($CH$111+시나리오!$A$18/10000)/2)^(CP67-1),0)</f>
        <v/>
      </c>
      <c r="DO67" s="51">
        <f>IF(CO67=1,$CI67/(1+($CH$111+시나리오!$A$19/10000)/2)^(CP67-1),0)</f>
        <v/>
      </c>
      <c r="DP67" s="51">
        <f>IF(CO67=1,$CI67/(1+($CH$111+시나리오!$A$20/10000)/2)^(CP67-1),0)</f>
        <v/>
      </c>
      <c r="DQ67" s="51">
        <f>IF(CO67=1,$CI67/(1+($CH$111+시나리오!$A$21/10000)/2)^(CP67-1),0)</f>
        <v/>
      </c>
      <c r="DR67" s="51">
        <f>IF(CO67=1,$CI67/(1+($CH$111+시나리오!$A$22/10000)/2)^(CP67-1),0)</f>
        <v/>
      </c>
      <c r="DS67" s="51">
        <f>IF(CO67=1,$CI67/(1+($CH$111+시나리오!$A$23/10000)/2)^(CP67-1),0)</f>
        <v/>
      </c>
      <c r="DT67" s="51">
        <f>IF(CO67=1,$CI67/(1+($CH$111+시나리오!$A$24/10000)/2)^(CP67-1),0)</f>
        <v/>
      </c>
    </row>
    <row r="68">
      <c r="A68" s="49" t="n">
        <v>54</v>
      </c>
      <c r="B68" s="50">
        <f>EDATE($B$2,-6*(62-$A68))</f>
        <v/>
      </c>
      <c r="C68" s="51">
        <f>IF(AND(B68&gt;$B$3,B68&lt;=$B$2),IF(B68=$B$2,$B$5+100,$B$5),0)</f>
        <v/>
      </c>
      <c r="D68" s="49">
        <f>IF(AND($C68&gt;0,B68&gt;$B$6),1,0)</f>
        <v/>
      </c>
      <c r="E68" s="49">
        <f>IF(D68=1,SUM($D$15:D68),"")</f>
        <v/>
      </c>
      <c r="F68" s="51">
        <f>IF(D68=1,$C68/(1+$B$8/2)^(E68-1),0)</f>
        <v/>
      </c>
      <c r="G68" s="51">
        <f>IF(D68=1,$C68/(1+($B$8+0.0001)/2)^(E68-1),0)</f>
        <v/>
      </c>
      <c r="H68" s="51">
        <f>IF(D68=1,$C68/(1+($B$8-0.0001)/2)^(E68-1),0)</f>
        <v/>
      </c>
      <c r="I68" s="49">
        <f>IF(AND($C68&gt;0,B68&gt;$B$7),1,0)</f>
        <v/>
      </c>
      <c r="J68" s="49">
        <f>IF(I68=1,SUM($I$15:I68),"")</f>
        <v/>
      </c>
      <c r="K68" s="51">
        <f>IF(I68=1,$C68/(1+$B$104/2)^(J68-1),0)</f>
        <v/>
      </c>
      <c r="L68" s="51">
        <f>IF(I68=1,$C68/(1+($B$104+0.0001)/2)^(J68-1),0)</f>
        <v/>
      </c>
      <c r="M68" s="51">
        <f>IF(I68=1,$C68/(1+($B$104-0.0001)/2)^(J68-1),0)</f>
        <v/>
      </c>
      <c r="N68" s="51">
        <f>IF(I68=1,$C68/(1+$B$109/2)^(J68-1),0)</f>
        <v/>
      </c>
      <c r="O68" s="51">
        <f>IF(I68=1,$C68/(1+$B$111/2)^(J68-1),0)</f>
        <v/>
      </c>
      <c r="P68" s="51">
        <f>IF(I68=1,$C68/(1+($B$111+0.0001)/2)^(J68-1),0)</f>
        <v/>
      </c>
      <c r="Q68" s="51">
        <f>IF(I68=1,$C68/(1+($B$111-0.0001)/2)^(J68-1),0)</f>
        <v/>
      </c>
      <c r="R68" s="51">
        <f>IF(AND($C68&gt;0,B68&gt;$B$6,B68&lt;=$B$7),$C68*(1+$B$10*($B$7-B68)/365),0)</f>
        <v/>
      </c>
      <c r="S68" s="51">
        <f>IF(I68=1,$C68/(1+($B$111+손익!$B$24/10000)/2)^(J68-1),0)</f>
        <v/>
      </c>
      <c r="T68" s="51">
        <f>IF(I68=1,$C68/(1+($B$111+시나리오!$A$4/10000)/2)^(J68-1),0)</f>
        <v/>
      </c>
      <c r="U68" s="51">
        <f>IF(I68=1,$C68/(1+($B$111+시나리오!$A$5/10000)/2)^(J68-1),0)</f>
        <v/>
      </c>
      <c r="V68" s="51">
        <f>IF(I68=1,$C68/(1+($B$111+시나리오!$A$6/10000)/2)^(J68-1),0)</f>
        <v/>
      </c>
      <c r="W68" s="51">
        <f>IF(I68=1,$C68/(1+($B$111+시나리오!$A$7/10000)/2)^(J68-1),0)</f>
        <v/>
      </c>
      <c r="X68" s="51">
        <f>IF(I68=1,$C68/(1+($B$111+시나리오!$A$8/10000)/2)^(J68-1),0)</f>
        <v/>
      </c>
      <c r="Y68" s="51">
        <f>IF(I68=1,$C68/(1+($B$111+시나리오!$A$9/10000)/2)^(J68-1),0)</f>
        <v/>
      </c>
      <c r="Z68" s="51">
        <f>IF(I68=1,$C68/(1+($B$111+시나리오!$A$10/10000)/2)^(J68-1),0)</f>
        <v/>
      </c>
      <c r="AA68" s="51">
        <f>IF(I68=1,$C68/(1+($B$111+시나리오!$A$11/10000)/2)^(J68-1),0)</f>
        <v/>
      </c>
      <c r="AB68" s="51">
        <f>IF(I68=1,$C68/(1+($B$111+시나리오!$A$12/10000)/2)^(J68-1),0)</f>
        <v/>
      </c>
      <c r="AC68" s="51">
        <f>IF(I68=1,$C68/(1+($B$111+시나리오!$A$13/10000)/2)^(J68-1),0)</f>
        <v/>
      </c>
      <c r="AD68" s="51">
        <f>IF(I68=1,$C68/(1+($B$111+시나리오!$A$14/10000)/2)^(J68-1),0)</f>
        <v/>
      </c>
      <c r="AE68" s="51">
        <f>IF(I68=1,$C68/(1+($B$111+시나리오!$A$15/10000)/2)^(J68-1),0)</f>
        <v/>
      </c>
      <c r="AF68" s="51">
        <f>IF(I68=1,$C68/(1+($B$111+시나리오!$A$16/10000)/2)^(J68-1),0)</f>
        <v/>
      </c>
      <c r="AG68" s="51">
        <f>IF(I68=1,$C68/(1+($B$111+시나리오!$A$17/10000)/2)^(J68-1),0)</f>
        <v/>
      </c>
      <c r="AH68" s="51">
        <f>IF(I68=1,$C68/(1+($B$111+시나리오!$A$18/10000)/2)^(J68-1),0)</f>
        <v/>
      </c>
      <c r="AI68" s="51">
        <f>IF(I68=1,$C68/(1+($B$111+시나리오!$A$19/10000)/2)^(J68-1),0)</f>
        <v/>
      </c>
      <c r="AJ68" s="51">
        <f>IF(I68=1,$C68/(1+($B$111+시나리오!$A$20/10000)/2)^(J68-1),0)</f>
        <v/>
      </c>
      <c r="AK68" s="51">
        <f>IF(I68=1,$C68/(1+($B$111+시나리오!$A$21/10000)/2)^(J68-1),0)</f>
        <v/>
      </c>
      <c r="AL68" s="51">
        <f>IF(I68=1,$C68/(1+($B$111+시나리오!$A$22/10000)/2)^(J68-1),0)</f>
        <v/>
      </c>
      <c r="AM68" s="51">
        <f>IF(I68=1,$C68/(1+($B$111+시나리오!$A$23/10000)/2)^(J68-1),0)</f>
        <v/>
      </c>
      <c r="AN68" s="51">
        <f>IF(I68=1,$C68/(1+($B$111+시나리오!$A$24/10000)/2)^(J68-1),0)</f>
        <v/>
      </c>
      <c r="AQ68" s="49" t="n">
        <v>54</v>
      </c>
      <c r="AR68" s="50">
        <f>EDATE($AR$2,-6*(62-$AQ68))</f>
        <v/>
      </c>
      <c r="AS68" s="51">
        <f>IF(AND(AR68&gt;$AR$3,AR68&lt;=$AR$2),IF(AR68=$AR$2,$AR$5+100,$AR$5),0)</f>
        <v/>
      </c>
      <c r="AT68" s="49">
        <f>IF(AND($AS68&gt;0,AR68&gt;$AR$6),1,0)</f>
        <v/>
      </c>
      <c r="AU68" s="49">
        <f>IF(AT68=1,SUM($AT$15:AT68),"")</f>
        <v/>
      </c>
      <c r="AV68" s="51">
        <f>IF(AT68=1,$AS68/(1+$AR$8/2)^(AU68-1),0)</f>
        <v/>
      </c>
      <c r="AW68" s="51">
        <f>IF(AT68=1,$AS68/(1+($AR$8+0.0001)/2)^(AU68-1),0)</f>
        <v/>
      </c>
      <c r="AX68" s="51">
        <f>IF(AT68=1,$AS68/(1+($AR$8-0.0001)/2)^(AU68-1),0)</f>
        <v/>
      </c>
      <c r="AY68" s="49">
        <f>IF(AND($AS68&gt;0,AR68&gt;$AR$7),1,0)</f>
        <v/>
      </c>
      <c r="AZ68" s="49">
        <f>IF(AY68=1,SUM($AY$15:AY68),"")</f>
        <v/>
      </c>
      <c r="BA68" s="51">
        <f>IF(AY68=1,$AS68/(1+$AR$104/2)^(AZ68-1),0)</f>
        <v/>
      </c>
      <c r="BB68" s="51">
        <f>IF(AY68=1,$AS68/(1+($AR$104+0.0001)/2)^(AZ68-1),0)</f>
        <v/>
      </c>
      <c r="BC68" s="51">
        <f>IF(AY68=1,$AS68/(1+($AR$104-0.0001)/2)^(AZ68-1),0)</f>
        <v/>
      </c>
      <c r="BD68" s="51">
        <f>IF(AY68=1,$AS68/(1+$AR$109/2)^(AZ68-1),0)</f>
        <v/>
      </c>
      <c r="BE68" s="51">
        <f>IF(AY68=1,$AS68/(1+$AR$111/2)^(AZ68-1),0)</f>
        <v/>
      </c>
      <c r="BF68" s="51">
        <f>IF(AY68=1,$AS68/(1+($AR$111+0.0001)/2)^(AZ68-1),0)</f>
        <v/>
      </c>
      <c r="BG68" s="51">
        <f>IF(AY68=1,$AS68/(1+($AR$111-0.0001)/2)^(AZ68-1),0)</f>
        <v/>
      </c>
      <c r="BH68" s="51">
        <f>IF(AND($AS68&gt;0,AR68&gt;$AR$6,AR68&lt;=$AR$7),$AS68*(1+$AR$10*($AR$7-AR68)/365),0)</f>
        <v/>
      </c>
      <c r="BI68" s="51">
        <f>IF(AY68=1,$AS68/(1+($AR$111+손익!$B$24/10000)/2)^(AZ68-1),0)</f>
        <v/>
      </c>
      <c r="BJ68" s="51">
        <f>IF(AY68=1,$AS68/(1+($AR$111+시나리오!$A$4/10000)/2)^(AZ68-1),0)</f>
        <v/>
      </c>
      <c r="BK68" s="51">
        <f>IF(AY68=1,$AS68/(1+($AR$111+시나리오!$A$5/10000)/2)^(AZ68-1),0)</f>
        <v/>
      </c>
      <c r="BL68" s="51">
        <f>IF(AY68=1,$AS68/(1+($AR$111+시나리오!$A$6/10000)/2)^(AZ68-1),0)</f>
        <v/>
      </c>
      <c r="BM68" s="51">
        <f>IF(AY68=1,$AS68/(1+($AR$111+시나리오!$A$7/10000)/2)^(AZ68-1),0)</f>
        <v/>
      </c>
      <c r="BN68" s="51">
        <f>IF(AY68=1,$AS68/(1+($AR$111+시나리오!$A$8/10000)/2)^(AZ68-1),0)</f>
        <v/>
      </c>
      <c r="BO68" s="51">
        <f>IF(AY68=1,$AS68/(1+($AR$111+시나리오!$A$9/10000)/2)^(AZ68-1),0)</f>
        <v/>
      </c>
      <c r="BP68" s="51">
        <f>IF(AY68=1,$AS68/(1+($AR$111+시나리오!$A$10/10000)/2)^(AZ68-1),0)</f>
        <v/>
      </c>
      <c r="BQ68" s="51">
        <f>IF(AY68=1,$AS68/(1+($AR$111+시나리오!$A$11/10000)/2)^(AZ68-1),0)</f>
        <v/>
      </c>
      <c r="BR68" s="51">
        <f>IF(AY68=1,$AS68/(1+($AR$111+시나리오!$A$12/10000)/2)^(AZ68-1),0)</f>
        <v/>
      </c>
      <c r="BS68" s="51">
        <f>IF(AY68=1,$AS68/(1+($AR$111+시나리오!$A$13/10000)/2)^(AZ68-1),0)</f>
        <v/>
      </c>
      <c r="BT68" s="51">
        <f>IF(AY68=1,$AS68/(1+($AR$111+시나리오!$A$14/10000)/2)^(AZ68-1),0)</f>
        <v/>
      </c>
      <c r="BU68" s="51">
        <f>IF(AY68=1,$AS68/(1+($AR$111+시나리오!$A$15/10000)/2)^(AZ68-1),0)</f>
        <v/>
      </c>
      <c r="BV68" s="51">
        <f>IF(AY68=1,$AS68/(1+($AR$111+시나리오!$A$16/10000)/2)^(AZ68-1),0)</f>
        <v/>
      </c>
      <c r="BW68" s="51">
        <f>IF(AY68=1,$AS68/(1+($AR$111+시나리오!$A$17/10000)/2)^(AZ68-1),0)</f>
        <v/>
      </c>
      <c r="BX68" s="51">
        <f>IF(AY68=1,$AS68/(1+($AR$111+시나리오!$A$18/10000)/2)^(AZ68-1),0)</f>
        <v/>
      </c>
      <c r="BY68" s="51">
        <f>IF(AY68=1,$AS68/(1+($AR$111+시나리오!$A$19/10000)/2)^(AZ68-1),0)</f>
        <v/>
      </c>
      <c r="BZ68" s="51">
        <f>IF(AY68=1,$AS68/(1+($AR$111+시나리오!$A$20/10000)/2)^(AZ68-1),0)</f>
        <v/>
      </c>
      <c r="CA68" s="51">
        <f>IF(AY68=1,$AS68/(1+($AR$111+시나리오!$A$21/10000)/2)^(AZ68-1),0)</f>
        <v/>
      </c>
      <c r="CB68" s="51">
        <f>IF(AY68=1,$AS68/(1+($AR$111+시나리오!$A$22/10000)/2)^(AZ68-1),0)</f>
        <v/>
      </c>
      <c r="CC68" s="51">
        <f>IF(AY68=1,$AS68/(1+($AR$111+시나리오!$A$23/10000)/2)^(AZ68-1),0)</f>
        <v/>
      </c>
      <c r="CD68" s="51">
        <f>IF(AY68=1,$AS68/(1+($AR$111+시나리오!$A$24/10000)/2)^(AZ68-1),0)</f>
        <v/>
      </c>
      <c r="CG68" s="49" t="n">
        <v>54</v>
      </c>
      <c r="CH68" s="50">
        <f>EDATE($CH$2,-6*(62-$CG68))</f>
        <v/>
      </c>
      <c r="CI68" s="51">
        <f>IF(AND(CH68&gt;$CH$3,CH68&lt;=$CH$2),IF(CH68=$CH$2,$CH$5+100,$CH$5),0)</f>
        <v/>
      </c>
      <c r="CJ68" s="49">
        <f>IF(AND($CI68&gt;0,CH68&gt;$CH$6),1,0)</f>
        <v/>
      </c>
      <c r="CK68" s="49">
        <f>IF(CJ68=1,SUM($CJ$15:CJ68),"")</f>
        <v/>
      </c>
      <c r="CL68" s="51">
        <f>IF(CJ68=1,$CI68/(1+$CH$8/2)^(CK68-1),0)</f>
        <v/>
      </c>
      <c r="CM68" s="51">
        <f>IF(CJ68=1,$CI68/(1+($CH$8+0.0001)/2)^(CK68-1),0)</f>
        <v/>
      </c>
      <c r="CN68" s="51">
        <f>IF(CJ68=1,$CI68/(1+($CH$8-0.0001)/2)^(CK68-1),0)</f>
        <v/>
      </c>
      <c r="CO68" s="49">
        <f>IF(AND($CI68&gt;0,CH68&gt;$CH$7),1,0)</f>
        <v/>
      </c>
      <c r="CP68" s="49">
        <f>IF(CO68=1,SUM($CO$15:CO68),"")</f>
        <v/>
      </c>
      <c r="CQ68" s="51">
        <f>IF(CO68=1,$CI68/(1+$CH$104/2)^(CP68-1),0)</f>
        <v/>
      </c>
      <c r="CR68" s="51">
        <f>IF(CO68=1,$CI68/(1+($CH$104+0.0001)/2)^(CP68-1),0)</f>
        <v/>
      </c>
      <c r="CS68" s="51">
        <f>IF(CO68=1,$CI68/(1+($CH$104-0.0001)/2)^(CP68-1),0)</f>
        <v/>
      </c>
      <c r="CT68" s="51">
        <f>IF(CO68=1,$CI68/(1+$CH$109/2)^(CP68-1),0)</f>
        <v/>
      </c>
      <c r="CU68" s="51">
        <f>IF(CO68=1,$CI68/(1+$CH$111/2)^(CP68-1),0)</f>
        <v/>
      </c>
      <c r="CV68" s="51">
        <f>IF(CO68=1,$CI68/(1+($CH$111+0.0001)/2)^(CP68-1),0)</f>
        <v/>
      </c>
      <c r="CW68" s="51">
        <f>IF(CO68=1,$CI68/(1+($CH$111-0.0001)/2)^(CP68-1),0)</f>
        <v/>
      </c>
      <c r="CX68" s="51">
        <f>IF(AND($CI68&gt;0,CH68&gt;$CH$6,CH68&lt;=$CH$7),$CI68*(1+$CH$10*($CH$7-CH68)/365),0)</f>
        <v/>
      </c>
      <c r="CY68" s="51">
        <f>IF(CO68=1,$CI68/(1+($CH$111+손익!$B$24/10000)/2)^(CP68-1),0)</f>
        <v/>
      </c>
      <c r="CZ68" s="51">
        <f>IF(CO68=1,$CI68/(1+($CH$111+시나리오!$A$4/10000)/2)^(CP68-1),0)</f>
        <v/>
      </c>
      <c r="DA68" s="51">
        <f>IF(CO68=1,$CI68/(1+($CH$111+시나리오!$A$5/10000)/2)^(CP68-1),0)</f>
        <v/>
      </c>
      <c r="DB68" s="51">
        <f>IF(CO68=1,$CI68/(1+($CH$111+시나리오!$A$6/10000)/2)^(CP68-1),0)</f>
        <v/>
      </c>
      <c r="DC68" s="51">
        <f>IF(CO68=1,$CI68/(1+($CH$111+시나리오!$A$7/10000)/2)^(CP68-1),0)</f>
        <v/>
      </c>
      <c r="DD68" s="51">
        <f>IF(CO68=1,$CI68/(1+($CH$111+시나리오!$A$8/10000)/2)^(CP68-1),0)</f>
        <v/>
      </c>
      <c r="DE68" s="51">
        <f>IF(CO68=1,$CI68/(1+($CH$111+시나리오!$A$9/10000)/2)^(CP68-1),0)</f>
        <v/>
      </c>
      <c r="DF68" s="51">
        <f>IF(CO68=1,$CI68/(1+($CH$111+시나리오!$A$10/10000)/2)^(CP68-1),0)</f>
        <v/>
      </c>
      <c r="DG68" s="51">
        <f>IF(CO68=1,$CI68/(1+($CH$111+시나리오!$A$11/10000)/2)^(CP68-1),0)</f>
        <v/>
      </c>
      <c r="DH68" s="51">
        <f>IF(CO68=1,$CI68/(1+($CH$111+시나리오!$A$12/10000)/2)^(CP68-1),0)</f>
        <v/>
      </c>
      <c r="DI68" s="51">
        <f>IF(CO68=1,$CI68/(1+($CH$111+시나리오!$A$13/10000)/2)^(CP68-1),0)</f>
        <v/>
      </c>
      <c r="DJ68" s="51">
        <f>IF(CO68=1,$CI68/(1+($CH$111+시나리오!$A$14/10000)/2)^(CP68-1),0)</f>
        <v/>
      </c>
      <c r="DK68" s="51">
        <f>IF(CO68=1,$CI68/(1+($CH$111+시나리오!$A$15/10000)/2)^(CP68-1),0)</f>
        <v/>
      </c>
      <c r="DL68" s="51">
        <f>IF(CO68=1,$CI68/(1+($CH$111+시나리오!$A$16/10000)/2)^(CP68-1),0)</f>
        <v/>
      </c>
      <c r="DM68" s="51">
        <f>IF(CO68=1,$CI68/(1+($CH$111+시나리오!$A$17/10000)/2)^(CP68-1),0)</f>
        <v/>
      </c>
      <c r="DN68" s="51">
        <f>IF(CO68=1,$CI68/(1+($CH$111+시나리오!$A$18/10000)/2)^(CP68-1),0)</f>
        <v/>
      </c>
      <c r="DO68" s="51">
        <f>IF(CO68=1,$CI68/(1+($CH$111+시나리오!$A$19/10000)/2)^(CP68-1),0)</f>
        <v/>
      </c>
      <c r="DP68" s="51">
        <f>IF(CO68=1,$CI68/(1+($CH$111+시나리오!$A$20/10000)/2)^(CP68-1),0)</f>
        <v/>
      </c>
      <c r="DQ68" s="51">
        <f>IF(CO68=1,$CI68/(1+($CH$111+시나리오!$A$21/10000)/2)^(CP68-1),0)</f>
        <v/>
      </c>
      <c r="DR68" s="51">
        <f>IF(CO68=1,$CI68/(1+($CH$111+시나리오!$A$22/10000)/2)^(CP68-1),0)</f>
        <v/>
      </c>
      <c r="DS68" s="51">
        <f>IF(CO68=1,$CI68/(1+($CH$111+시나리오!$A$23/10000)/2)^(CP68-1),0)</f>
        <v/>
      </c>
      <c r="DT68" s="51">
        <f>IF(CO68=1,$CI68/(1+($CH$111+시나리오!$A$24/10000)/2)^(CP68-1),0)</f>
        <v/>
      </c>
    </row>
    <row r="69">
      <c r="A69" s="49" t="n">
        <v>55</v>
      </c>
      <c r="B69" s="50">
        <f>EDATE($B$2,-6*(62-$A69))</f>
        <v/>
      </c>
      <c r="C69" s="51">
        <f>IF(AND(B69&gt;$B$3,B69&lt;=$B$2),IF(B69=$B$2,$B$5+100,$B$5),0)</f>
        <v/>
      </c>
      <c r="D69" s="49">
        <f>IF(AND($C69&gt;0,B69&gt;$B$6),1,0)</f>
        <v/>
      </c>
      <c r="E69" s="49">
        <f>IF(D69=1,SUM($D$15:D69),"")</f>
        <v/>
      </c>
      <c r="F69" s="51">
        <f>IF(D69=1,$C69/(1+$B$8/2)^(E69-1),0)</f>
        <v/>
      </c>
      <c r="G69" s="51">
        <f>IF(D69=1,$C69/(1+($B$8+0.0001)/2)^(E69-1),0)</f>
        <v/>
      </c>
      <c r="H69" s="51">
        <f>IF(D69=1,$C69/(1+($B$8-0.0001)/2)^(E69-1),0)</f>
        <v/>
      </c>
      <c r="I69" s="49">
        <f>IF(AND($C69&gt;0,B69&gt;$B$7),1,0)</f>
        <v/>
      </c>
      <c r="J69" s="49">
        <f>IF(I69=1,SUM($I$15:I69),"")</f>
        <v/>
      </c>
      <c r="K69" s="51">
        <f>IF(I69=1,$C69/(1+$B$104/2)^(J69-1),0)</f>
        <v/>
      </c>
      <c r="L69" s="51">
        <f>IF(I69=1,$C69/(1+($B$104+0.0001)/2)^(J69-1),0)</f>
        <v/>
      </c>
      <c r="M69" s="51">
        <f>IF(I69=1,$C69/(1+($B$104-0.0001)/2)^(J69-1),0)</f>
        <v/>
      </c>
      <c r="N69" s="51">
        <f>IF(I69=1,$C69/(1+$B$109/2)^(J69-1),0)</f>
        <v/>
      </c>
      <c r="O69" s="51">
        <f>IF(I69=1,$C69/(1+$B$111/2)^(J69-1),0)</f>
        <v/>
      </c>
      <c r="P69" s="51">
        <f>IF(I69=1,$C69/(1+($B$111+0.0001)/2)^(J69-1),0)</f>
        <v/>
      </c>
      <c r="Q69" s="51">
        <f>IF(I69=1,$C69/(1+($B$111-0.0001)/2)^(J69-1),0)</f>
        <v/>
      </c>
      <c r="R69" s="51">
        <f>IF(AND($C69&gt;0,B69&gt;$B$6,B69&lt;=$B$7),$C69*(1+$B$10*($B$7-B69)/365),0)</f>
        <v/>
      </c>
      <c r="S69" s="51">
        <f>IF(I69=1,$C69/(1+($B$111+손익!$B$24/10000)/2)^(J69-1),0)</f>
        <v/>
      </c>
      <c r="T69" s="51">
        <f>IF(I69=1,$C69/(1+($B$111+시나리오!$A$4/10000)/2)^(J69-1),0)</f>
        <v/>
      </c>
      <c r="U69" s="51">
        <f>IF(I69=1,$C69/(1+($B$111+시나리오!$A$5/10000)/2)^(J69-1),0)</f>
        <v/>
      </c>
      <c r="V69" s="51">
        <f>IF(I69=1,$C69/(1+($B$111+시나리오!$A$6/10000)/2)^(J69-1),0)</f>
        <v/>
      </c>
      <c r="W69" s="51">
        <f>IF(I69=1,$C69/(1+($B$111+시나리오!$A$7/10000)/2)^(J69-1),0)</f>
        <v/>
      </c>
      <c r="X69" s="51">
        <f>IF(I69=1,$C69/(1+($B$111+시나리오!$A$8/10000)/2)^(J69-1),0)</f>
        <v/>
      </c>
      <c r="Y69" s="51">
        <f>IF(I69=1,$C69/(1+($B$111+시나리오!$A$9/10000)/2)^(J69-1),0)</f>
        <v/>
      </c>
      <c r="Z69" s="51">
        <f>IF(I69=1,$C69/(1+($B$111+시나리오!$A$10/10000)/2)^(J69-1),0)</f>
        <v/>
      </c>
      <c r="AA69" s="51">
        <f>IF(I69=1,$C69/(1+($B$111+시나리오!$A$11/10000)/2)^(J69-1),0)</f>
        <v/>
      </c>
      <c r="AB69" s="51">
        <f>IF(I69=1,$C69/(1+($B$111+시나리오!$A$12/10000)/2)^(J69-1),0)</f>
        <v/>
      </c>
      <c r="AC69" s="51">
        <f>IF(I69=1,$C69/(1+($B$111+시나리오!$A$13/10000)/2)^(J69-1),0)</f>
        <v/>
      </c>
      <c r="AD69" s="51">
        <f>IF(I69=1,$C69/(1+($B$111+시나리오!$A$14/10000)/2)^(J69-1),0)</f>
        <v/>
      </c>
      <c r="AE69" s="51">
        <f>IF(I69=1,$C69/(1+($B$111+시나리오!$A$15/10000)/2)^(J69-1),0)</f>
        <v/>
      </c>
      <c r="AF69" s="51">
        <f>IF(I69=1,$C69/(1+($B$111+시나리오!$A$16/10000)/2)^(J69-1),0)</f>
        <v/>
      </c>
      <c r="AG69" s="51">
        <f>IF(I69=1,$C69/(1+($B$111+시나리오!$A$17/10000)/2)^(J69-1),0)</f>
        <v/>
      </c>
      <c r="AH69" s="51">
        <f>IF(I69=1,$C69/(1+($B$111+시나리오!$A$18/10000)/2)^(J69-1),0)</f>
        <v/>
      </c>
      <c r="AI69" s="51">
        <f>IF(I69=1,$C69/(1+($B$111+시나리오!$A$19/10000)/2)^(J69-1),0)</f>
        <v/>
      </c>
      <c r="AJ69" s="51">
        <f>IF(I69=1,$C69/(1+($B$111+시나리오!$A$20/10000)/2)^(J69-1),0)</f>
        <v/>
      </c>
      <c r="AK69" s="51">
        <f>IF(I69=1,$C69/(1+($B$111+시나리오!$A$21/10000)/2)^(J69-1),0)</f>
        <v/>
      </c>
      <c r="AL69" s="51">
        <f>IF(I69=1,$C69/(1+($B$111+시나리오!$A$22/10000)/2)^(J69-1),0)</f>
        <v/>
      </c>
      <c r="AM69" s="51">
        <f>IF(I69=1,$C69/(1+($B$111+시나리오!$A$23/10000)/2)^(J69-1),0)</f>
        <v/>
      </c>
      <c r="AN69" s="51">
        <f>IF(I69=1,$C69/(1+($B$111+시나리오!$A$24/10000)/2)^(J69-1),0)</f>
        <v/>
      </c>
      <c r="AQ69" s="49" t="n">
        <v>55</v>
      </c>
      <c r="AR69" s="50">
        <f>EDATE($AR$2,-6*(62-$AQ69))</f>
        <v/>
      </c>
      <c r="AS69" s="51">
        <f>IF(AND(AR69&gt;$AR$3,AR69&lt;=$AR$2),IF(AR69=$AR$2,$AR$5+100,$AR$5),0)</f>
        <v/>
      </c>
      <c r="AT69" s="49">
        <f>IF(AND($AS69&gt;0,AR69&gt;$AR$6),1,0)</f>
        <v/>
      </c>
      <c r="AU69" s="49">
        <f>IF(AT69=1,SUM($AT$15:AT69),"")</f>
        <v/>
      </c>
      <c r="AV69" s="51">
        <f>IF(AT69=1,$AS69/(1+$AR$8/2)^(AU69-1),0)</f>
        <v/>
      </c>
      <c r="AW69" s="51">
        <f>IF(AT69=1,$AS69/(1+($AR$8+0.0001)/2)^(AU69-1),0)</f>
        <v/>
      </c>
      <c r="AX69" s="51">
        <f>IF(AT69=1,$AS69/(1+($AR$8-0.0001)/2)^(AU69-1),0)</f>
        <v/>
      </c>
      <c r="AY69" s="49">
        <f>IF(AND($AS69&gt;0,AR69&gt;$AR$7),1,0)</f>
        <v/>
      </c>
      <c r="AZ69" s="49">
        <f>IF(AY69=1,SUM($AY$15:AY69),"")</f>
        <v/>
      </c>
      <c r="BA69" s="51">
        <f>IF(AY69=1,$AS69/(1+$AR$104/2)^(AZ69-1),0)</f>
        <v/>
      </c>
      <c r="BB69" s="51">
        <f>IF(AY69=1,$AS69/(1+($AR$104+0.0001)/2)^(AZ69-1),0)</f>
        <v/>
      </c>
      <c r="BC69" s="51">
        <f>IF(AY69=1,$AS69/(1+($AR$104-0.0001)/2)^(AZ69-1),0)</f>
        <v/>
      </c>
      <c r="BD69" s="51">
        <f>IF(AY69=1,$AS69/(1+$AR$109/2)^(AZ69-1),0)</f>
        <v/>
      </c>
      <c r="BE69" s="51">
        <f>IF(AY69=1,$AS69/(1+$AR$111/2)^(AZ69-1),0)</f>
        <v/>
      </c>
      <c r="BF69" s="51">
        <f>IF(AY69=1,$AS69/(1+($AR$111+0.0001)/2)^(AZ69-1),0)</f>
        <v/>
      </c>
      <c r="BG69" s="51">
        <f>IF(AY69=1,$AS69/(1+($AR$111-0.0001)/2)^(AZ69-1),0)</f>
        <v/>
      </c>
      <c r="BH69" s="51">
        <f>IF(AND($AS69&gt;0,AR69&gt;$AR$6,AR69&lt;=$AR$7),$AS69*(1+$AR$10*($AR$7-AR69)/365),0)</f>
        <v/>
      </c>
      <c r="BI69" s="51">
        <f>IF(AY69=1,$AS69/(1+($AR$111+손익!$B$24/10000)/2)^(AZ69-1),0)</f>
        <v/>
      </c>
      <c r="BJ69" s="51">
        <f>IF(AY69=1,$AS69/(1+($AR$111+시나리오!$A$4/10000)/2)^(AZ69-1),0)</f>
        <v/>
      </c>
      <c r="BK69" s="51">
        <f>IF(AY69=1,$AS69/(1+($AR$111+시나리오!$A$5/10000)/2)^(AZ69-1),0)</f>
        <v/>
      </c>
      <c r="BL69" s="51">
        <f>IF(AY69=1,$AS69/(1+($AR$111+시나리오!$A$6/10000)/2)^(AZ69-1),0)</f>
        <v/>
      </c>
      <c r="BM69" s="51">
        <f>IF(AY69=1,$AS69/(1+($AR$111+시나리오!$A$7/10000)/2)^(AZ69-1),0)</f>
        <v/>
      </c>
      <c r="BN69" s="51">
        <f>IF(AY69=1,$AS69/(1+($AR$111+시나리오!$A$8/10000)/2)^(AZ69-1),0)</f>
        <v/>
      </c>
      <c r="BO69" s="51">
        <f>IF(AY69=1,$AS69/(1+($AR$111+시나리오!$A$9/10000)/2)^(AZ69-1),0)</f>
        <v/>
      </c>
      <c r="BP69" s="51">
        <f>IF(AY69=1,$AS69/(1+($AR$111+시나리오!$A$10/10000)/2)^(AZ69-1),0)</f>
        <v/>
      </c>
      <c r="BQ69" s="51">
        <f>IF(AY69=1,$AS69/(1+($AR$111+시나리오!$A$11/10000)/2)^(AZ69-1),0)</f>
        <v/>
      </c>
      <c r="BR69" s="51">
        <f>IF(AY69=1,$AS69/(1+($AR$111+시나리오!$A$12/10000)/2)^(AZ69-1),0)</f>
        <v/>
      </c>
      <c r="BS69" s="51">
        <f>IF(AY69=1,$AS69/(1+($AR$111+시나리오!$A$13/10000)/2)^(AZ69-1),0)</f>
        <v/>
      </c>
      <c r="BT69" s="51">
        <f>IF(AY69=1,$AS69/(1+($AR$111+시나리오!$A$14/10000)/2)^(AZ69-1),0)</f>
        <v/>
      </c>
      <c r="BU69" s="51">
        <f>IF(AY69=1,$AS69/(1+($AR$111+시나리오!$A$15/10000)/2)^(AZ69-1),0)</f>
        <v/>
      </c>
      <c r="BV69" s="51">
        <f>IF(AY69=1,$AS69/(1+($AR$111+시나리오!$A$16/10000)/2)^(AZ69-1),0)</f>
        <v/>
      </c>
      <c r="BW69" s="51">
        <f>IF(AY69=1,$AS69/(1+($AR$111+시나리오!$A$17/10000)/2)^(AZ69-1),0)</f>
        <v/>
      </c>
      <c r="BX69" s="51">
        <f>IF(AY69=1,$AS69/(1+($AR$111+시나리오!$A$18/10000)/2)^(AZ69-1),0)</f>
        <v/>
      </c>
      <c r="BY69" s="51">
        <f>IF(AY69=1,$AS69/(1+($AR$111+시나리오!$A$19/10000)/2)^(AZ69-1),0)</f>
        <v/>
      </c>
      <c r="BZ69" s="51">
        <f>IF(AY69=1,$AS69/(1+($AR$111+시나리오!$A$20/10000)/2)^(AZ69-1),0)</f>
        <v/>
      </c>
      <c r="CA69" s="51">
        <f>IF(AY69=1,$AS69/(1+($AR$111+시나리오!$A$21/10000)/2)^(AZ69-1),0)</f>
        <v/>
      </c>
      <c r="CB69" s="51">
        <f>IF(AY69=1,$AS69/(1+($AR$111+시나리오!$A$22/10000)/2)^(AZ69-1),0)</f>
        <v/>
      </c>
      <c r="CC69" s="51">
        <f>IF(AY69=1,$AS69/(1+($AR$111+시나리오!$A$23/10000)/2)^(AZ69-1),0)</f>
        <v/>
      </c>
      <c r="CD69" s="51">
        <f>IF(AY69=1,$AS69/(1+($AR$111+시나리오!$A$24/10000)/2)^(AZ69-1),0)</f>
        <v/>
      </c>
      <c r="CG69" s="49" t="n">
        <v>55</v>
      </c>
      <c r="CH69" s="50">
        <f>EDATE($CH$2,-6*(62-$CG69))</f>
        <v/>
      </c>
      <c r="CI69" s="51">
        <f>IF(AND(CH69&gt;$CH$3,CH69&lt;=$CH$2),IF(CH69=$CH$2,$CH$5+100,$CH$5),0)</f>
        <v/>
      </c>
      <c r="CJ69" s="49">
        <f>IF(AND($CI69&gt;0,CH69&gt;$CH$6),1,0)</f>
        <v/>
      </c>
      <c r="CK69" s="49">
        <f>IF(CJ69=1,SUM($CJ$15:CJ69),"")</f>
        <v/>
      </c>
      <c r="CL69" s="51">
        <f>IF(CJ69=1,$CI69/(1+$CH$8/2)^(CK69-1),0)</f>
        <v/>
      </c>
      <c r="CM69" s="51">
        <f>IF(CJ69=1,$CI69/(1+($CH$8+0.0001)/2)^(CK69-1),0)</f>
        <v/>
      </c>
      <c r="CN69" s="51">
        <f>IF(CJ69=1,$CI69/(1+($CH$8-0.0001)/2)^(CK69-1),0)</f>
        <v/>
      </c>
      <c r="CO69" s="49">
        <f>IF(AND($CI69&gt;0,CH69&gt;$CH$7),1,0)</f>
        <v/>
      </c>
      <c r="CP69" s="49">
        <f>IF(CO69=1,SUM($CO$15:CO69),"")</f>
        <v/>
      </c>
      <c r="CQ69" s="51">
        <f>IF(CO69=1,$CI69/(1+$CH$104/2)^(CP69-1),0)</f>
        <v/>
      </c>
      <c r="CR69" s="51">
        <f>IF(CO69=1,$CI69/(1+($CH$104+0.0001)/2)^(CP69-1),0)</f>
        <v/>
      </c>
      <c r="CS69" s="51">
        <f>IF(CO69=1,$CI69/(1+($CH$104-0.0001)/2)^(CP69-1),0)</f>
        <v/>
      </c>
      <c r="CT69" s="51">
        <f>IF(CO69=1,$CI69/(1+$CH$109/2)^(CP69-1),0)</f>
        <v/>
      </c>
      <c r="CU69" s="51">
        <f>IF(CO69=1,$CI69/(1+$CH$111/2)^(CP69-1),0)</f>
        <v/>
      </c>
      <c r="CV69" s="51">
        <f>IF(CO69=1,$CI69/(1+($CH$111+0.0001)/2)^(CP69-1),0)</f>
        <v/>
      </c>
      <c r="CW69" s="51">
        <f>IF(CO69=1,$CI69/(1+($CH$111-0.0001)/2)^(CP69-1),0)</f>
        <v/>
      </c>
      <c r="CX69" s="51">
        <f>IF(AND($CI69&gt;0,CH69&gt;$CH$6,CH69&lt;=$CH$7),$CI69*(1+$CH$10*($CH$7-CH69)/365),0)</f>
        <v/>
      </c>
      <c r="CY69" s="51">
        <f>IF(CO69=1,$CI69/(1+($CH$111+손익!$B$24/10000)/2)^(CP69-1),0)</f>
        <v/>
      </c>
      <c r="CZ69" s="51">
        <f>IF(CO69=1,$CI69/(1+($CH$111+시나리오!$A$4/10000)/2)^(CP69-1),0)</f>
        <v/>
      </c>
      <c r="DA69" s="51">
        <f>IF(CO69=1,$CI69/(1+($CH$111+시나리오!$A$5/10000)/2)^(CP69-1),0)</f>
        <v/>
      </c>
      <c r="DB69" s="51">
        <f>IF(CO69=1,$CI69/(1+($CH$111+시나리오!$A$6/10000)/2)^(CP69-1),0)</f>
        <v/>
      </c>
      <c r="DC69" s="51">
        <f>IF(CO69=1,$CI69/(1+($CH$111+시나리오!$A$7/10000)/2)^(CP69-1),0)</f>
        <v/>
      </c>
      <c r="DD69" s="51">
        <f>IF(CO69=1,$CI69/(1+($CH$111+시나리오!$A$8/10000)/2)^(CP69-1),0)</f>
        <v/>
      </c>
      <c r="DE69" s="51">
        <f>IF(CO69=1,$CI69/(1+($CH$111+시나리오!$A$9/10000)/2)^(CP69-1),0)</f>
        <v/>
      </c>
      <c r="DF69" s="51">
        <f>IF(CO69=1,$CI69/(1+($CH$111+시나리오!$A$10/10000)/2)^(CP69-1),0)</f>
        <v/>
      </c>
      <c r="DG69" s="51">
        <f>IF(CO69=1,$CI69/(1+($CH$111+시나리오!$A$11/10000)/2)^(CP69-1),0)</f>
        <v/>
      </c>
      <c r="DH69" s="51">
        <f>IF(CO69=1,$CI69/(1+($CH$111+시나리오!$A$12/10000)/2)^(CP69-1),0)</f>
        <v/>
      </c>
      <c r="DI69" s="51">
        <f>IF(CO69=1,$CI69/(1+($CH$111+시나리오!$A$13/10000)/2)^(CP69-1),0)</f>
        <v/>
      </c>
      <c r="DJ69" s="51">
        <f>IF(CO69=1,$CI69/(1+($CH$111+시나리오!$A$14/10000)/2)^(CP69-1),0)</f>
        <v/>
      </c>
      <c r="DK69" s="51">
        <f>IF(CO69=1,$CI69/(1+($CH$111+시나리오!$A$15/10000)/2)^(CP69-1),0)</f>
        <v/>
      </c>
      <c r="DL69" s="51">
        <f>IF(CO69=1,$CI69/(1+($CH$111+시나리오!$A$16/10000)/2)^(CP69-1),0)</f>
        <v/>
      </c>
      <c r="DM69" s="51">
        <f>IF(CO69=1,$CI69/(1+($CH$111+시나리오!$A$17/10000)/2)^(CP69-1),0)</f>
        <v/>
      </c>
      <c r="DN69" s="51">
        <f>IF(CO69=1,$CI69/(1+($CH$111+시나리오!$A$18/10000)/2)^(CP69-1),0)</f>
        <v/>
      </c>
      <c r="DO69" s="51">
        <f>IF(CO69=1,$CI69/(1+($CH$111+시나리오!$A$19/10000)/2)^(CP69-1),0)</f>
        <v/>
      </c>
      <c r="DP69" s="51">
        <f>IF(CO69=1,$CI69/(1+($CH$111+시나리오!$A$20/10000)/2)^(CP69-1),0)</f>
        <v/>
      </c>
      <c r="DQ69" s="51">
        <f>IF(CO69=1,$CI69/(1+($CH$111+시나리오!$A$21/10000)/2)^(CP69-1),0)</f>
        <v/>
      </c>
      <c r="DR69" s="51">
        <f>IF(CO69=1,$CI69/(1+($CH$111+시나리오!$A$22/10000)/2)^(CP69-1),0)</f>
        <v/>
      </c>
      <c r="DS69" s="51">
        <f>IF(CO69=1,$CI69/(1+($CH$111+시나리오!$A$23/10000)/2)^(CP69-1),0)</f>
        <v/>
      </c>
      <c r="DT69" s="51">
        <f>IF(CO69=1,$CI69/(1+($CH$111+시나리오!$A$24/10000)/2)^(CP69-1),0)</f>
        <v/>
      </c>
    </row>
    <row r="70">
      <c r="A70" s="49" t="n">
        <v>56</v>
      </c>
      <c r="B70" s="50">
        <f>EDATE($B$2,-6*(62-$A70))</f>
        <v/>
      </c>
      <c r="C70" s="51">
        <f>IF(AND(B70&gt;$B$3,B70&lt;=$B$2),IF(B70=$B$2,$B$5+100,$B$5),0)</f>
        <v/>
      </c>
      <c r="D70" s="49">
        <f>IF(AND($C70&gt;0,B70&gt;$B$6),1,0)</f>
        <v/>
      </c>
      <c r="E70" s="49">
        <f>IF(D70=1,SUM($D$15:D70),"")</f>
        <v/>
      </c>
      <c r="F70" s="51">
        <f>IF(D70=1,$C70/(1+$B$8/2)^(E70-1),0)</f>
        <v/>
      </c>
      <c r="G70" s="51">
        <f>IF(D70=1,$C70/(1+($B$8+0.0001)/2)^(E70-1),0)</f>
        <v/>
      </c>
      <c r="H70" s="51">
        <f>IF(D70=1,$C70/(1+($B$8-0.0001)/2)^(E70-1),0)</f>
        <v/>
      </c>
      <c r="I70" s="49">
        <f>IF(AND($C70&gt;0,B70&gt;$B$7),1,0)</f>
        <v/>
      </c>
      <c r="J70" s="49">
        <f>IF(I70=1,SUM($I$15:I70),"")</f>
        <v/>
      </c>
      <c r="K70" s="51">
        <f>IF(I70=1,$C70/(1+$B$104/2)^(J70-1),0)</f>
        <v/>
      </c>
      <c r="L70" s="51">
        <f>IF(I70=1,$C70/(1+($B$104+0.0001)/2)^(J70-1),0)</f>
        <v/>
      </c>
      <c r="M70" s="51">
        <f>IF(I70=1,$C70/(1+($B$104-0.0001)/2)^(J70-1),0)</f>
        <v/>
      </c>
      <c r="N70" s="51">
        <f>IF(I70=1,$C70/(1+$B$109/2)^(J70-1),0)</f>
        <v/>
      </c>
      <c r="O70" s="51">
        <f>IF(I70=1,$C70/(1+$B$111/2)^(J70-1),0)</f>
        <v/>
      </c>
      <c r="P70" s="51">
        <f>IF(I70=1,$C70/(1+($B$111+0.0001)/2)^(J70-1),0)</f>
        <v/>
      </c>
      <c r="Q70" s="51">
        <f>IF(I70=1,$C70/(1+($B$111-0.0001)/2)^(J70-1),0)</f>
        <v/>
      </c>
      <c r="R70" s="51">
        <f>IF(AND($C70&gt;0,B70&gt;$B$6,B70&lt;=$B$7),$C70*(1+$B$10*($B$7-B70)/365),0)</f>
        <v/>
      </c>
      <c r="S70" s="51">
        <f>IF(I70=1,$C70/(1+($B$111+손익!$B$24/10000)/2)^(J70-1),0)</f>
        <v/>
      </c>
      <c r="T70" s="51">
        <f>IF(I70=1,$C70/(1+($B$111+시나리오!$A$4/10000)/2)^(J70-1),0)</f>
        <v/>
      </c>
      <c r="U70" s="51">
        <f>IF(I70=1,$C70/(1+($B$111+시나리오!$A$5/10000)/2)^(J70-1),0)</f>
        <v/>
      </c>
      <c r="V70" s="51">
        <f>IF(I70=1,$C70/(1+($B$111+시나리오!$A$6/10000)/2)^(J70-1),0)</f>
        <v/>
      </c>
      <c r="W70" s="51">
        <f>IF(I70=1,$C70/(1+($B$111+시나리오!$A$7/10000)/2)^(J70-1),0)</f>
        <v/>
      </c>
      <c r="X70" s="51">
        <f>IF(I70=1,$C70/(1+($B$111+시나리오!$A$8/10000)/2)^(J70-1),0)</f>
        <v/>
      </c>
      <c r="Y70" s="51">
        <f>IF(I70=1,$C70/(1+($B$111+시나리오!$A$9/10000)/2)^(J70-1),0)</f>
        <v/>
      </c>
      <c r="Z70" s="51">
        <f>IF(I70=1,$C70/(1+($B$111+시나리오!$A$10/10000)/2)^(J70-1),0)</f>
        <v/>
      </c>
      <c r="AA70" s="51">
        <f>IF(I70=1,$C70/(1+($B$111+시나리오!$A$11/10000)/2)^(J70-1),0)</f>
        <v/>
      </c>
      <c r="AB70" s="51">
        <f>IF(I70=1,$C70/(1+($B$111+시나리오!$A$12/10000)/2)^(J70-1),0)</f>
        <v/>
      </c>
      <c r="AC70" s="51">
        <f>IF(I70=1,$C70/(1+($B$111+시나리오!$A$13/10000)/2)^(J70-1),0)</f>
        <v/>
      </c>
      <c r="AD70" s="51">
        <f>IF(I70=1,$C70/(1+($B$111+시나리오!$A$14/10000)/2)^(J70-1),0)</f>
        <v/>
      </c>
      <c r="AE70" s="51">
        <f>IF(I70=1,$C70/(1+($B$111+시나리오!$A$15/10000)/2)^(J70-1),0)</f>
        <v/>
      </c>
      <c r="AF70" s="51">
        <f>IF(I70=1,$C70/(1+($B$111+시나리오!$A$16/10000)/2)^(J70-1),0)</f>
        <v/>
      </c>
      <c r="AG70" s="51">
        <f>IF(I70=1,$C70/(1+($B$111+시나리오!$A$17/10000)/2)^(J70-1),0)</f>
        <v/>
      </c>
      <c r="AH70" s="51">
        <f>IF(I70=1,$C70/(1+($B$111+시나리오!$A$18/10000)/2)^(J70-1),0)</f>
        <v/>
      </c>
      <c r="AI70" s="51">
        <f>IF(I70=1,$C70/(1+($B$111+시나리오!$A$19/10000)/2)^(J70-1),0)</f>
        <v/>
      </c>
      <c r="AJ70" s="51">
        <f>IF(I70=1,$C70/(1+($B$111+시나리오!$A$20/10000)/2)^(J70-1),0)</f>
        <v/>
      </c>
      <c r="AK70" s="51">
        <f>IF(I70=1,$C70/(1+($B$111+시나리오!$A$21/10000)/2)^(J70-1),0)</f>
        <v/>
      </c>
      <c r="AL70" s="51">
        <f>IF(I70=1,$C70/(1+($B$111+시나리오!$A$22/10000)/2)^(J70-1),0)</f>
        <v/>
      </c>
      <c r="AM70" s="51">
        <f>IF(I70=1,$C70/(1+($B$111+시나리오!$A$23/10000)/2)^(J70-1),0)</f>
        <v/>
      </c>
      <c r="AN70" s="51">
        <f>IF(I70=1,$C70/(1+($B$111+시나리오!$A$24/10000)/2)^(J70-1),0)</f>
        <v/>
      </c>
      <c r="AQ70" s="49" t="n">
        <v>56</v>
      </c>
      <c r="AR70" s="50">
        <f>EDATE($AR$2,-6*(62-$AQ70))</f>
        <v/>
      </c>
      <c r="AS70" s="51">
        <f>IF(AND(AR70&gt;$AR$3,AR70&lt;=$AR$2),IF(AR70=$AR$2,$AR$5+100,$AR$5),0)</f>
        <v/>
      </c>
      <c r="AT70" s="49">
        <f>IF(AND($AS70&gt;0,AR70&gt;$AR$6),1,0)</f>
        <v/>
      </c>
      <c r="AU70" s="49">
        <f>IF(AT70=1,SUM($AT$15:AT70),"")</f>
        <v/>
      </c>
      <c r="AV70" s="51">
        <f>IF(AT70=1,$AS70/(1+$AR$8/2)^(AU70-1),0)</f>
        <v/>
      </c>
      <c r="AW70" s="51">
        <f>IF(AT70=1,$AS70/(1+($AR$8+0.0001)/2)^(AU70-1),0)</f>
        <v/>
      </c>
      <c r="AX70" s="51">
        <f>IF(AT70=1,$AS70/(1+($AR$8-0.0001)/2)^(AU70-1),0)</f>
        <v/>
      </c>
      <c r="AY70" s="49">
        <f>IF(AND($AS70&gt;0,AR70&gt;$AR$7),1,0)</f>
        <v/>
      </c>
      <c r="AZ70" s="49">
        <f>IF(AY70=1,SUM($AY$15:AY70),"")</f>
        <v/>
      </c>
      <c r="BA70" s="51">
        <f>IF(AY70=1,$AS70/(1+$AR$104/2)^(AZ70-1),0)</f>
        <v/>
      </c>
      <c r="BB70" s="51">
        <f>IF(AY70=1,$AS70/(1+($AR$104+0.0001)/2)^(AZ70-1),0)</f>
        <v/>
      </c>
      <c r="BC70" s="51">
        <f>IF(AY70=1,$AS70/(1+($AR$104-0.0001)/2)^(AZ70-1),0)</f>
        <v/>
      </c>
      <c r="BD70" s="51">
        <f>IF(AY70=1,$AS70/(1+$AR$109/2)^(AZ70-1),0)</f>
        <v/>
      </c>
      <c r="BE70" s="51">
        <f>IF(AY70=1,$AS70/(1+$AR$111/2)^(AZ70-1),0)</f>
        <v/>
      </c>
      <c r="BF70" s="51">
        <f>IF(AY70=1,$AS70/(1+($AR$111+0.0001)/2)^(AZ70-1),0)</f>
        <v/>
      </c>
      <c r="BG70" s="51">
        <f>IF(AY70=1,$AS70/(1+($AR$111-0.0001)/2)^(AZ70-1),0)</f>
        <v/>
      </c>
      <c r="BH70" s="51">
        <f>IF(AND($AS70&gt;0,AR70&gt;$AR$6,AR70&lt;=$AR$7),$AS70*(1+$AR$10*($AR$7-AR70)/365),0)</f>
        <v/>
      </c>
      <c r="BI70" s="51">
        <f>IF(AY70=1,$AS70/(1+($AR$111+손익!$B$24/10000)/2)^(AZ70-1),0)</f>
        <v/>
      </c>
      <c r="BJ70" s="51">
        <f>IF(AY70=1,$AS70/(1+($AR$111+시나리오!$A$4/10000)/2)^(AZ70-1),0)</f>
        <v/>
      </c>
      <c r="BK70" s="51">
        <f>IF(AY70=1,$AS70/(1+($AR$111+시나리오!$A$5/10000)/2)^(AZ70-1),0)</f>
        <v/>
      </c>
      <c r="BL70" s="51">
        <f>IF(AY70=1,$AS70/(1+($AR$111+시나리오!$A$6/10000)/2)^(AZ70-1),0)</f>
        <v/>
      </c>
      <c r="BM70" s="51">
        <f>IF(AY70=1,$AS70/(1+($AR$111+시나리오!$A$7/10000)/2)^(AZ70-1),0)</f>
        <v/>
      </c>
      <c r="BN70" s="51">
        <f>IF(AY70=1,$AS70/(1+($AR$111+시나리오!$A$8/10000)/2)^(AZ70-1),0)</f>
        <v/>
      </c>
      <c r="BO70" s="51">
        <f>IF(AY70=1,$AS70/(1+($AR$111+시나리오!$A$9/10000)/2)^(AZ70-1),0)</f>
        <v/>
      </c>
      <c r="BP70" s="51">
        <f>IF(AY70=1,$AS70/(1+($AR$111+시나리오!$A$10/10000)/2)^(AZ70-1),0)</f>
        <v/>
      </c>
      <c r="BQ70" s="51">
        <f>IF(AY70=1,$AS70/(1+($AR$111+시나리오!$A$11/10000)/2)^(AZ70-1),0)</f>
        <v/>
      </c>
      <c r="BR70" s="51">
        <f>IF(AY70=1,$AS70/(1+($AR$111+시나리오!$A$12/10000)/2)^(AZ70-1),0)</f>
        <v/>
      </c>
      <c r="BS70" s="51">
        <f>IF(AY70=1,$AS70/(1+($AR$111+시나리오!$A$13/10000)/2)^(AZ70-1),0)</f>
        <v/>
      </c>
      <c r="BT70" s="51">
        <f>IF(AY70=1,$AS70/(1+($AR$111+시나리오!$A$14/10000)/2)^(AZ70-1),0)</f>
        <v/>
      </c>
      <c r="BU70" s="51">
        <f>IF(AY70=1,$AS70/(1+($AR$111+시나리오!$A$15/10000)/2)^(AZ70-1),0)</f>
        <v/>
      </c>
      <c r="BV70" s="51">
        <f>IF(AY70=1,$AS70/(1+($AR$111+시나리오!$A$16/10000)/2)^(AZ70-1),0)</f>
        <v/>
      </c>
      <c r="BW70" s="51">
        <f>IF(AY70=1,$AS70/(1+($AR$111+시나리오!$A$17/10000)/2)^(AZ70-1),0)</f>
        <v/>
      </c>
      <c r="BX70" s="51">
        <f>IF(AY70=1,$AS70/(1+($AR$111+시나리오!$A$18/10000)/2)^(AZ70-1),0)</f>
        <v/>
      </c>
      <c r="BY70" s="51">
        <f>IF(AY70=1,$AS70/(1+($AR$111+시나리오!$A$19/10000)/2)^(AZ70-1),0)</f>
        <v/>
      </c>
      <c r="BZ70" s="51">
        <f>IF(AY70=1,$AS70/(1+($AR$111+시나리오!$A$20/10000)/2)^(AZ70-1),0)</f>
        <v/>
      </c>
      <c r="CA70" s="51">
        <f>IF(AY70=1,$AS70/(1+($AR$111+시나리오!$A$21/10000)/2)^(AZ70-1),0)</f>
        <v/>
      </c>
      <c r="CB70" s="51">
        <f>IF(AY70=1,$AS70/(1+($AR$111+시나리오!$A$22/10000)/2)^(AZ70-1),0)</f>
        <v/>
      </c>
      <c r="CC70" s="51">
        <f>IF(AY70=1,$AS70/(1+($AR$111+시나리오!$A$23/10000)/2)^(AZ70-1),0)</f>
        <v/>
      </c>
      <c r="CD70" s="51">
        <f>IF(AY70=1,$AS70/(1+($AR$111+시나리오!$A$24/10000)/2)^(AZ70-1),0)</f>
        <v/>
      </c>
      <c r="CG70" s="49" t="n">
        <v>56</v>
      </c>
      <c r="CH70" s="50">
        <f>EDATE($CH$2,-6*(62-$CG70))</f>
        <v/>
      </c>
      <c r="CI70" s="51">
        <f>IF(AND(CH70&gt;$CH$3,CH70&lt;=$CH$2),IF(CH70=$CH$2,$CH$5+100,$CH$5),0)</f>
        <v/>
      </c>
      <c r="CJ70" s="49">
        <f>IF(AND($CI70&gt;0,CH70&gt;$CH$6),1,0)</f>
        <v/>
      </c>
      <c r="CK70" s="49">
        <f>IF(CJ70=1,SUM($CJ$15:CJ70),"")</f>
        <v/>
      </c>
      <c r="CL70" s="51">
        <f>IF(CJ70=1,$CI70/(1+$CH$8/2)^(CK70-1),0)</f>
        <v/>
      </c>
      <c r="CM70" s="51">
        <f>IF(CJ70=1,$CI70/(1+($CH$8+0.0001)/2)^(CK70-1),0)</f>
        <v/>
      </c>
      <c r="CN70" s="51">
        <f>IF(CJ70=1,$CI70/(1+($CH$8-0.0001)/2)^(CK70-1),0)</f>
        <v/>
      </c>
      <c r="CO70" s="49">
        <f>IF(AND($CI70&gt;0,CH70&gt;$CH$7),1,0)</f>
        <v/>
      </c>
      <c r="CP70" s="49">
        <f>IF(CO70=1,SUM($CO$15:CO70),"")</f>
        <v/>
      </c>
      <c r="CQ70" s="51">
        <f>IF(CO70=1,$CI70/(1+$CH$104/2)^(CP70-1),0)</f>
        <v/>
      </c>
      <c r="CR70" s="51">
        <f>IF(CO70=1,$CI70/(1+($CH$104+0.0001)/2)^(CP70-1),0)</f>
        <v/>
      </c>
      <c r="CS70" s="51">
        <f>IF(CO70=1,$CI70/(1+($CH$104-0.0001)/2)^(CP70-1),0)</f>
        <v/>
      </c>
      <c r="CT70" s="51">
        <f>IF(CO70=1,$CI70/(1+$CH$109/2)^(CP70-1),0)</f>
        <v/>
      </c>
      <c r="CU70" s="51">
        <f>IF(CO70=1,$CI70/(1+$CH$111/2)^(CP70-1),0)</f>
        <v/>
      </c>
      <c r="CV70" s="51">
        <f>IF(CO70=1,$CI70/(1+($CH$111+0.0001)/2)^(CP70-1),0)</f>
        <v/>
      </c>
      <c r="CW70" s="51">
        <f>IF(CO70=1,$CI70/(1+($CH$111-0.0001)/2)^(CP70-1),0)</f>
        <v/>
      </c>
      <c r="CX70" s="51">
        <f>IF(AND($CI70&gt;0,CH70&gt;$CH$6,CH70&lt;=$CH$7),$CI70*(1+$CH$10*($CH$7-CH70)/365),0)</f>
        <v/>
      </c>
      <c r="CY70" s="51">
        <f>IF(CO70=1,$CI70/(1+($CH$111+손익!$B$24/10000)/2)^(CP70-1),0)</f>
        <v/>
      </c>
      <c r="CZ70" s="51">
        <f>IF(CO70=1,$CI70/(1+($CH$111+시나리오!$A$4/10000)/2)^(CP70-1),0)</f>
        <v/>
      </c>
      <c r="DA70" s="51">
        <f>IF(CO70=1,$CI70/(1+($CH$111+시나리오!$A$5/10000)/2)^(CP70-1),0)</f>
        <v/>
      </c>
      <c r="DB70" s="51">
        <f>IF(CO70=1,$CI70/(1+($CH$111+시나리오!$A$6/10000)/2)^(CP70-1),0)</f>
        <v/>
      </c>
      <c r="DC70" s="51">
        <f>IF(CO70=1,$CI70/(1+($CH$111+시나리오!$A$7/10000)/2)^(CP70-1),0)</f>
        <v/>
      </c>
      <c r="DD70" s="51">
        <f>IF(CO70=1,$CI70/(1+($CH$111+시나리오!$A$8/10000)/2)^(CP70-1),0)</f>
        <v/>
      </c>
      <c r="DE70" s="51">
        <f>IF(CO70=1,$CI70/(1+($CH$111+시나리오!$A$9/10000)/2)^(CP70-1),0)</f>
        <v/>
      </c>
      <c r="DF70" s="51">
        <f>IF(CO70=1,$CI70/(1+($CH$111+시나리오!$A$10/10000)/2)^(CP70-1),0)</f>
        <v/>
      </c>
      <c r="DG70" s="51">
        <f>IF(CO70=1,$CI70/(1+($CH$111+시나리오!$A$11/10000)/2)^(CP70-1),0)</f>
        <v/>
      </c>
      <c r="DH70" s="51">
        <f>IF(CO70=1,$CI70/(1+($CH$111+시나리오!$A$12/10000)/2)^(CP70-1),0)</f>
        <v/>
      </c>
      <c r="DI70" s="51">
        <f>IF(CO70=1,$CI70/(1+($CH$111+시나리오!$A$13/10000)/2)^(CP70-1),0)</f>
        <v/>
      </c>
      <c r="DJ70" s="51">
        <f>IF(CO70=1,$CI70/(1+($CH$111+시나리오!$A$14/10000)/2)^(CP70-1),0)</f>
        <v/>
      </c>
      <c r="DK70" s="51">
        <f>IF(CO70=1,$CI70/(1+($CH$111+시나리오!$A$15/10000)/2)^(CP70-1),0)</f>
        <v/>
      </c>
      <c r="DL70" s="51">
        <f>IF(CO70=1,$CI70/(1+($CH$111+시나리오!$A$16/10000)/2)^(CP70-1),0)</f>
        <v/>
      </c>
      <c r="DM70" s="51">
        <f>IF(CO70=1,$CI70/(1+($CH$111+시나리오!$A$17/10000)/2)^(CP70-1),0)</f>
        <v/>
      </c>
      <c r="DN70" s="51">
        <f>IF(CO70=1,$CI70/(1+($CH$111+시나리오!$A$18/10000)/2)^(CP70-1),0)</f>
        <v/>
      </c>
      <c r="DO70" s="51">
        <f>IF(CO70=1,$CI70/(1+($CH$111+시나리오!$A$19/10000)/2)^(CP70-1),0)</f>
        <v/>
      </c>
      <c r="DP70" s="51">
        <f>IF(CO70=1,$CI70/(1+($CH$111+시나리오!$A$20/10000)/2)^(CP70-1),0)</f>
        <v/>
      </c>
      <c r="DQ70" s="51">
        <f>IF(CO70=1,$CI70/(1+($CH$111+시나리오!$A$21/10000)/2)^(CP70-1),0)</f>
        <v/>
      </c>
      <c r="DR70" s="51">
        <f>IF(CO70=1,$CI70/(1+($CH$111+시나리오!$A$22/10000)/2)^(CP70-1),0)</f>
        <v/>
      </c>
      <c r="DS70" s="51">
        <f>IF(CO70=1,$CI70/(1+($CH$111+시나리오!$A$23/10000)/2)^(CP70-1),0)</f>
        <v/>
      </c>
      <c r="DT70" s="51">
        <f>IF(CO70=1,$CI70/(1+($CH$111+시나리오!$A$24/10000)/2)^(CP70-1),0)</f>
        <v/>
      </c>
    </row>
    <row r="71">
      <c r="A71" s="49" t="n">
        <v>57</v>
      </c>
      <c r="B71" s="50">
        <f>EDATE($B$2,-6*(62-$A71))</f>
        <v/>
      </c>
      <c r="C71" s="51">
        <f>IF(AND(B71&gt;$B$3,B71&lt;=$B$2),IF(B71=$B$2,$B$5+100,$B$5),0)</f>
        <v/>
      </c>
      <c r="D71" s="49">
        <f>IF(AND($C71&gt;0,B71&gt;$B$6),1,0)</f>
        <v/>
      </c>
      <c r="E71" s="49">
        <f>IF(D71=1,SUM($D$15:D71),"")</f>
        <v/>
      </c>
      <c r="F71" s="51">
        <f>IF(D71=1,$C71/(1+$B$8/2)^(E71-1),0)</f>
        <v/>
      </c>
      <c r="G71" s="51">
        <f>IF(D71=1,$C71/(1+($B$8+0.0001)/2)^(E71-1),0)</f>
        <v/>
      </c>
      <c r="H71" s="51">
        <f>IF(D71=1,$C71/(1+($B$8-0.0001)/2)^(E71-1),0)</f>
        <v/>
      </c>
      <c r="I71" s="49">
        <f>IF(AND($C71&gt;0,B71&gt;$B$7),1,0)</f>
        <v/>
      </c>
      <c r="J71" s="49">
        <f>IF(I71=1,SUM($I$15:I71),"")</f>
        <v/>
      </c>
      <c r="K71" s="51">
        <f>IF(I71=1,$C71/(1+$B$104/2)^(J71-1),0)</f>
        <v/>
      </c>
      <c r="L71" s="51">
        <f>IF(I71=1,$C71/(1+($B$104+0.0001)/2)^(J71-1),0)</f>
        <v/>
      </c>
      <c r="M71" s="51">
        <f>IF(I71=1,$C71/(1+($B$104-0.0001)/2)^(J71-1),0)</f>
        <v/>
      </c>
      <c r="N71" s="51">
        <f>IF(I71=1,$C71/(1+$B$109/2)^(J71-1),0)</f>
        <v/>
      </c>
      <c r="O71" s="51">
        <f>IF(I71=1,$C71/(1+$B$111/2)^(J71-1),0)</f>
        <v/>
      </c>
      <c r="P71" s="51">
        <f>IF(I71=1,$C71/(1+($B$111+0.0001)/2)^(J71-1),0)</f>
        <v/>
      </c>
      <c r="Q71" s="51">
        <f>IF(I71=1,$C71/(1+($B$111-0.0001)/2)^(J71-1),0)</f>
        <v/>
      </c>
      <c r="R71" s="51">
        <f>IF(AND($C71&gt;0,B71&gt;$B$6,B71&lt;=$B$7),$C71*(1+$B$10*($B$7-B71)/365),0)</f>
        <v/>
      </c>
      <c r="S71" s="51">
        <f>IF(I71=1,$C71/(1+($B$111+손익!$B$24/10000)/2)^(J71-1),0)</f>
        <v/>
      </c>
      <c r="T71" s="51">
        <f>IF(I71=1,$C71/(1+($B$111+시나리오!$A$4/10000)/2)^(J71-1),0)</f>
        <v/>
      </c>
      <c r="U71" s="51">
        <f>IF(I71=1,$C71/(1+($B$111+시나리오!$A$5/10000)/2)^(J71-1),0)</f>
        <v/>
      </c>
      <c r="V71" s="51">
        <f>IF(I71=1,$C71/(1+($B$111+시나리오!$A$6/10000)/2)^(J71-1),0)</f>
        <v/>
      </c>
      <c r="W71" s="51">
        <f>IF(I71=1,$C71/(1+($B$111+시나리오!$A$7/10000)/2)^(J71-1),0)</f>
        <v/>
      </c>
      <c r="X71" s="51">
        <f>IF(I71=1,$C71/(1+($B$111+시나리오!$A$8/10000)/2)^(J71-1),0)</f>
        <v/>
      </c>
      <c r="Y71" s="51">
        <f>IF(I71=1,$C71/(1+($B$111+시나리오!$A$9/10000)/2)^(J71-1),0)</f>
        <v/>
      </c>
      <c r="Z71" s="51">
        <f>IF(I71=1,$C71/(1+($B$111+시나리오!$A$10/10000)/2)^(J71-1),0)</f>
        <v/>
      </c>
      <c r="AA71" s="51">
        <f>IF(I71=1,$C71/(1+($B$111+시나리오!$A$11/10000)/2)^(J71-1),0)</f>
        <v/>
      </c>
      <c r="AB71" s="51">
        <f>IF(I71=1,$C71/(1+($B$111+시나리오!$A$12/10000)/2)^(J71-1),0)</f>
        <v/>
      </c>
      <c r="AC71" s="51">
        <f>IF(I71=1,$C71/(1+($B$111+시나리오!$A$13/10000)/2)^(J71-1),0)</f>
        <v/>
      </c>
      <c r="AD71" s="51">
        <f>IF(I71=1,$C71/(1+($B$111+시나리오!$A$14/10000)/2)^(J71-1),0)</f>
        <v/>
      </c>
      <c r="AE71" s="51">
        <f>IF(I71=1,$C71/(1+($B$111+시나리오!$A$15/10000)/2)^(J71-1),0)</f>
        <v/>
      </c>
      <c r="AF71" s="51">
        <f>IF(I71=1,$C71/(1+($B$111+시나리오!$A$16/10000)/2)^(J71-1),0)</f>
        <v/>
      </c>
      <c r="AG71" s="51">
        <f>IF(I71=1,$C71/(1+($B$111+시나리오!$A$17/10000)/2)^(J71-1),0)</f>
        <v/>
      </c>
      <c r="AH71" s="51">
        <f>IF(I71=1,$C71/(1+($B$111+시나리오!$A$18/10000)/2)^(J71-1),0)</f>
        <v/>
      </c>
      <c r="AI71" s="51">
        <f>IF(I71=1,$C71/(1+($B$111+시나리오!$A$19/10000)/2)^(J71-1),0)</f>
        <v/>
      </c>
      <c r="AJ71" s="51">
        <f>IF(I71=1,$C71/(1+($B$111+시나리오!$A$20/10000)/2)^(J71-1),0)</f>
        <v/>
      </c>
      <c r="AK71" s="51">
        <f>IF(I71=1,$C71/(1+($B$111+시나리오!$A$21/10000)/2)^(J71-1),0)</f>
        <v/>
      </c>
      <c r="AL71" s="51">
        <f>IF(I71=1,$C71/(1+($B$111+시나리오!$A$22/10000)/2)^(J71-1),0)</f>
        <v/>
      </c>
      <c r="AM71" s="51">
        <f>IF(I71=1,$C71/(1+($B$111+시나리오!$A$23/10000)/2)^(J71-1),0)</f>
        <v/>
      </c>
      <c r="AN71" s="51">
        <f>IF(I71=1,$C71/(1+($B$111+시나리오!$A$24/10000)/2)^(J71-1),0)</f>
        <v/>
      </c>
      <c r="AQ71" s="49" t="n">
        <v>57</v>
      </c>
      <c r="AR71" s="50">
        <f>EDATE($AR$2,-6*(62-$AQ71))</f>
        <v/>
      </c>
      <c r="AS71" s="51">
        <f>IF(AND(AR71&gt;$AR$3,AR71&lt;=$AR$2),IF(AR71=$AR$2,$AR$5+100,$AR$5),0)</f>
        <v/>
      </c>
      <c r="AT71" s="49">
        <f>IF(AND($AS71&gt;0,AR71&gt;$AR$6),1,0)</f>
        <v/>
      </c>
      <c r="AU71" s="49">
        <f>IF(AT71=1,SUM($AT$15:AT71),"")</f>
        <v/>
      </c>
      <c r="AV71" s="51">
        <f>IF(AT71=1,$AS71/(1+$AR$8/2)^(AU71-1),0)</f>
        <v/>
      </c>
      <c r="AW71" s="51">
        <f>IF(AT71=1,$AS71/(1+($AR$8+0.0001)/2)^(AU71-1),0)</f>
        <v/>
      </c>
      <c r="AX71" s="51">
        <f>IF(AT71=1,$AS71/(1+($AR$8-0.0001)/2)^(AU71-1),0)</f>
        <v/>
      </c>
      <c r="AY71" s="49">
        <f>IF(AND($AS71&gt;0,AR71&gt;$AR$7),1,0)</f>
        <v/>
      </c>
      <c r="AZ71" s="49">
        <f>IF(AY71=1,SUM($AY$15:AY71),"")</f>
        <v/>
      </c>
      <c r="BA71" s="51">
        <f>IF(AY71=1,$AS71/(1+$AR$104/2)^(AZ71-1),0)</f>
        <v/>
      </c>
      <c r="BB71" s="51">
        <f>IF(AY71=1,$AS71/(1+($AR$104+0.0001)/2)^(AZ71-1),0)</f>
        <v/>
      </c>
      <c r="BC71" s="51">
        <f>IF(AY71=1,$AS71/(1+($AR$104-0.0001)/2)^(AZ71-1),0)</f>
        <v/>
      </c>
      <c r="BD71" s="51">
        <f>IF(AY71=1,$AS71/(1+$AR$109/2)^(AZ71-1),0)</f>
        <v/>
      </c>
      <c r="BE71" s="51">
        <f>IF(AY71=1,$AS71/(1+$AR$111/2)^(AZ71-1),0)</f>
        <v/>
      </c>
      <c r="BF71" s="51">
        <f>IF(AY71=1,$AS71/(1+($AR$111+0.0001)/2)^(AZ71-1),0)</f>
        <v/>
      </c>
      <c r="BG71" s="51">
        <f>IF(AY71=1,$AS71/(1+($AR$111-0.0001)/2)^(AZ71-1),0)</f>
        <v/>
      </c>
      <c r="BH71" s="51">
        <f>IF(AND($AS71&gt;0,AR71&gt;$AR$6,AR71&lt;=$AR$7),$AS71*(1+$AR$10*($AR$7-AR71)/365),0)</f>
        <v/>
      </c>
      <c r="BI71" s="51">
        <f>IF(AY71=1,$AS71/(1+($AR$111+손익!$B$24/10000)/2)^(AZ71-1),0)</f>
        <v/>
      </c>
      <c r="BJ71" s="51">
        <f>IF(AY71=1,$AS71/(1+($AR$111+시나리오!$A$4/10000)/2)^(AZ71-1),0)</f>
        <v/>
      </c>
      <c r="BK71" s="51">
        <f>IF(AY71=1,$AS71/(1+($AR$111+시나리오!$A$5/10000)/2)^(AZ71-1),0)</f>
        <v/>
      </c>
      <c r="BL71" s="51">
        <f>IF(AY71=1,$AS71/(1+($AR$111+시나리오!$A$6/10000)/2)^(AZ71-1),0)</f>
        <v/>
      </c>
      <c r="BM71" s="51">
        <f>IF(AY71=1,$AS71/(1+($AR$111+시나리오!$A$7/10000)/2)^(AZ71-1),0)</f>
        <v/>
      </c>
      <c r="BN71" s="51">
        <f>IF(AY71=1,$AS71/(1+($AR$111+시나리오!$A$8/10000)/2)^(AZ71-1),0)</f>
        <v/>
      </c>
      <c r="BO71" s="51">
        <f>IF(AY71=1,$AS71/(1+($AR$111+시나리오!$A$9/10000)/2)^(AZ71-1),0)</f>
        <v/>
      </c>
      <c r="BP71" s="51">
        <f>IF(AY71=1,$AS71/(1+($AR$111+시나리오!$A$10/10000)/2)^(AZ71-1),0)</f>
        <v/>
      </c>
      <c r="BQ71" s="51">
        <f>IF(AY71=1,$AS71/(1+($AR$111+시나리오!$A$11/10000)/2)^(AZ71-1),0)</f>
        <v/>
      </c>
      <c r="BR71" s="51">
        <f>IF(AY71=1,$AS71/(1+($AR$111+시나리오!$A$12/10000)/2)^(AZ71-1),0)</f>
        <v/>
      </c>
      <c r="BS71" s="51">
        <f>IF(AY71=1,$AS71/(1+($AR$111+시나리오!$A$13/10000)/2)^(AZ71-1),0)</f>
        <v/>
      </c>
      <c r="BT71" s="51">
        <f>IF(AY71=1,$AS71/(1+($AR$111+시나리오!$A$14/10000)/2)^(AZ71-1),0)</f>
        <v/>
      </c>
      <c r="BU71" s="51">
        <f>IF(AY71=1,$AS71/(1+($AR$111+시나리오!$A$15/10000)/2)^(AZ71-1),0)</f>
        <v/>
      </c>
      <c r="BV71" s="51">
        <f>IF(AY71=1,$AS71/(1+($AR$111+시나리오!$A$16/10000)/2)^(AZ71-1),0)</f>
        <v/>
      </c>
      <c r="BW71" s="51">
        <f>IF(AY71=1,$AS71/(1+($AR$111+시나리오!$A$17/10000)/2)^(AZ71-1),0)</f>
        <v/>
      </c>
      <c r="BX71" s="51">
        <f>IF(AY71=1,$AS71/(1+($AR$111+시나리오!$A$18/10000)/2)^(AZ71-1),0)</f>
        <v/>
      </c>
      <c r="BY71" s="51">
        <f>IF(AY71=1,$AS71/(1+($AR$111+시나리오!$A$19/10000)/2)^(AZ71-1),0)</f>
        <v/>
      </c>
      <c r="BZ71" s="51">
        <f>IF(AY71=1,$AS71/(1+($AR$111+시나리오!$A$20/10000)/2)^(AZ71-1),0)</f>
        <v/>
      </c>
      <c r="CA71" s="51">
        <f>IF(AY71=1,$AS71/(1+($AR$111+시나리오!$A$21/10000)/2)^(AZ71-1),0)</f>
        <v/>
      </c>
      <c r="CB71" s="51">
        <f>IF(AY71=1,$AS71/(1+($AR$111+시나리오!$A$22/10000)/2)^(AZ71-1),0)</f>
        <v/>
      </c>
      <c r="CC71" s="51">
        <f>IF(AY71=1,$AS71/(1+($AR$111+시나리오!$A$23/10000)/2)^(AZ71-1),0)</f>
        <v/>
      </c>
      <c r="CD71" s="51">
        <f>IF(AY71=1,$AS71/(1+($AR$111+시나리오!$A$24/10000)/2)^(AZ71-1),0)</f>
        <v/>
      </c>
      <c r="CG71" s="49" t="n">
        <v>57</v>
      </c>
      <c r="CH71" s="50">
        <f>EDATE($CH$2,-6*(62-$CG71))</f>
        <v/>
      </c>
      <c r="CI71" s="51">
        <f>IF(AND(CH71&gt;$CH$3,CH71&lt;=$CH$2),IF(CH71=$CH$2,$CH$5+100,$CH$5),0)</f>
        <v/>
      </c>
      <c r="CJ71" s="49">
        <f>IF(AND($CI71&gt;0,CH71&gt;$CH$6),1,0)</f>
        <v/>
      </c>
      <c r="CK71" s="49">
        <f>IF(CJ71=1,SUM($CJ$15:CJ71),"")</f>
        <v/>
      </c>
      <c r="CL71" s="51">
        <f>IF(CJ71=1,$CI71/(1+$CH$8/2)^(CK71-1),0)</f>
        <v/>
      </c>
      <c r="CM71" s="51">
        <f>IF(CJ71=1,$CI71/(1+($CH$8+0.0001)/2)^(CK71-1),0)</f>
        <v/>
      </c>
      <c r="CN71" s="51">
        <f>IF(CJ71=1,$CI71/(1+($CH$8-0.0001)/2)^(CK71-1),0)</f>
        <v/>
      </c>
      <c r="CO71" s="49">
        <f>IF(AND($CI71&gt;0,CH71&gt;$CH$7),1,0)</f>
        <v/>
      </c>
      <c r="CP71" s="49">
        <f>IF(CO71=1,SUM($CO$15:CO71),"")</f>
        <v/>
      </c>
      <c r="CQ71" s="51">
        <f>IF(CO71=1,$CI71/(1+$CH$104/2)^(CP71-1),0)</f>
        <v/>
      </c>
      <c r="CR71" s="51">
        <f>IF(CO71=1,$CI71/(1+($CH$104+0.0001)/2)^(CP71-1),0)</f>
        <v/>
      </c>
      <c r="CS71" s="51">
        <f>IF(CO71=1,$CI71/(1+($CH$104-0.0001)/2)^(CP71-1),0)</f>
        <v/>
      </c>
      <c r="CT71" s="51">
        <f>IF(CO71=1,$CI71/(1+$CH$109/2)^(CP71-1),0)</f>
        <v/>
      </c>
      <c r="CU71" s="51">
        <f>IF(CO71=1,$CI71/(1+$CH$111/2)^(CP71-1),0)</f>
        <v/>
      </c>
      <c r="CV71" s="51">
        <f>IF(CO71=1,$CI71/(1+($CH$111+0.0001)/2)^(CP71-1),0)</f>
        <v/>
      </c>
      <c r="CW71" s="51">
        <f>IF(CO71=1,$CI71/(1+($CH$111-0.0001)/2)^(CP71-1),0)</f>
        <v/>
      </c>
      <c r="CX71" s="51">
        <f>IF(AND($CI71&gt;0,CH71&gt;$CH$6,CH71&lt;=$CH$7),$CI71*(1+$CH$10*($CH$7-CH71)/365),0)</f>
        <v/>
      </c>
      <c r="CY71" s="51">
        <f>IF(CO71=1,$CI71/(1+($CH$111+손익!$B$24/10000)/2)^(CP71-1),0)</f>
        <v/>
      </c>
      <c r="CZ71" s="51">
        <f>IF(CO71=1,$CI71/(1+($CH$111+시나리오!$A$4/10000)/2)^(CP71-1),0)</f>
        <v/>
      </c>
      <c r="DA71" s="51">
        <f>IF(CO71=1,$CI71/(1+($CH$111+시나리오!$A$5/10000)/2)^(CP71-1),0)</f>
        <v/>
      </c>
      <c r="DB71" s="51">
        <f>IF(CO71=1,$CI71/(1+($CH$111+시나리오!$A$6/10000)/2)^(CP71-1),0)</f>
        <v/>
      </c>
      <c r="DC71" s="51">
        <f>IF(CO71=1,$CI71/(1+($CH$111+시나리오!$A$7/10000)/2)^(CP71-1),0)</f>
        <v/>
      </c>
      <c r="DD71" s="51">
        <f>IF(CO71=1,$CI71/(1+($CH$111+시나리오!$A$8/10000)/2)^(CP71-1),0)</f>
        <v/>
      </c>
      <c r="DE71" s="51">
        <f>IF(CO71=1,$CI71/(1+($CH$111+시나리오!$A$9/10000)/2)^(CP71-1),0)</f>
        <v/>
      </c>
      <c r="DF71" s="51">
        <f>IF(CO71=1,$CI71/(1+($CH$111+시나리오!$A$10/10000)/2)^(CP71-1),0)</f>
        <v/>
      </c>
      <c r="DG71" s="51">
        <f>IF(CO71=1,$CI71/(1+($CH$111+시나리오!$A$11/10000)/2)^(CP71-1),0)</f>
        <v/>
      </c>
      <c r="DH71" s="51">
        <f>IF(CO71=1,$CI71/(1+($CH$111+시나리오!$A$12/10000)/2)^(CP71-1),0)</f>
        <v/>
      </c>
      <c r="DI71" s="51">
        <f>IF(CO71=1,$CI71/(1+($CH$111+시나리오!$A$13/10000)/2)^(CP71-1),0)</f>
        <v/>
      </c>
      <c r="DJ71" s="51">
        <f>IF(CO71=1,$CI71/(1+($CH$111+시나리오!$A$14/10000)/2)^(CP71-1),0)</f>
        <v/>
      </c>
      <c r="DK71" s="51">
        <f>IF(CO71=1,$CI71/(1+($CH$111+시나리오!$A$15/10000)/2)^(CP71-1),0)</f>
        <v/>
      </c>
      <c r="DL71" s="51">
        <f>IF(CO71=1,$CI71/(1+($CH$111+시나리오!$A$16/10000)/2)^(CP71-1),0)</f>
        <v/>
      </c>
      <c r="DM71" s="51">
        <f>IF(CO71=1,$CI71/(1+($CH$111+시나리오!$A$17/10000)/2)^(CP71-1),0)</f>
        <v/>
      </c>
      <c r="DN71" s="51">
        <f>IF(CO71=1,$CI71/(1+($CH$111+시나리오!$A$18/10000)/2)^(CP71-1),0)</f>
        <v/>
      </c>
      <c r="DO71" s="51">
        <f>IF(CO71=1,$CI71/(1+($CH$111+시나리오!$A$19/10000)/2)^(CP71-1),0)</f>
        <v/>
      </c>
      <c r="DP71" s="51">
        <f>IF(CO71=1,$CI71/(1+($CH$111+시나리오!$A$20/10000)/2)^(CP71-1),0)</f>
        <v/>
      </c>
      <c r="DQ71" s="51">
        <f>IF(CO71=1,$CI71/(1+($CH$111+시나리오!$A$21/10000)/2)^(CP71-1),0)</f>
        <v/>
      </c>
      <c r="DR71" s="51">
        <f>IF(CO71=1,$CI71/(1+($CH$111+시나리오!$A$22/10000)/2)^(CP71-1),0)</f>
        <v/>
      </c>
      <c r="DS71" s="51">
        <f>IF(CO71=1,$CI71/(1+($CH$111+시나리오!$A$23/10000)/2)^(CP71-1),0)</f>
        <v/>
      </c>
      <c r="DT71" s="51">
        <f>IF(CO71=1,$CI71/(1+($CH$111+시나리오!$A$24/10000)/2)^(CP71-1),0)</f>
        <v/>
      </c>
    </row>
    <row r="72">
      <c r="A72" s="49" t="n">
        <v>58</v>
      </c>
      <c r="B72" s="50">
        <f>EDATE($B$2,-6*(62-$A72))</f>
        <v/>
      </c>
      <c r="C72" s="51">
        <f>IF(AND(B72&gt;$B$3,B72&lt;=$B$2),IF(B72=$B$2,$B$5+100,$B$5),0)</f>
        <v/>
      </c>
      <c r="D72" s="49">
        <f>IF(AND($C72&gt;0,B72&gt;$B$6),1,0)</f>
        <v/>
      </c>
      <c r="E72" s="49">
        <f>IF(D72=1,SUM($D$15:D72),"")</f>
        <v/>
      </c>
      <c r="F72" s="51">
        <f>IF(D72=1,$C72/(1+$B$8/2)^(E72-1),0)</f>
        <v/>
      </c>
      <c r="G72" s="51">
        <f>IF(D72=1,$C72/(1+($B$8+0.0001)/2)^(E72-1),0)</f>
        <v/>
      </c>
      <c r="H72" s="51">
        <f>IF(D72=1,$C72/(1+($B$8-0.0001)/2)^(E72-1),0)</f>
        <v/>
      </c>
      <c r="I72" s="49">
        <f>IF(AND($C72&gt;0,B72&gt;$B$7),1,0)</f>
        <v/>
      </c>
      <c r="J72" s="49">
        <f>IF(I72=1,SUM($I$15:I72),"")</f>
        <v/>
      </c>
      <c r="K72" s="51">
        <f>IF(I72=1,$C72/(1+$B$104/2)^(J72-1),0)</f>
        <v/>
      </c>
      <c r="L72" s="51">
        <f>IF(I72=1,$C72/(1+($B$104+0.0001)/2)^(J72-1),0)</f>
        <v/>
      </c>
      <c r="M72" s="51">
        <f>IF(I72=1,$C72/(1+($B$104-0.0001)/2)^(J72-1),0)</f>
        <v/>
      </c>
      <c r="N72" s="51">
        <f>IF(I72=1,$C72/(1+$B$109/2)^(J72-1),0)</f>
        <v/>
      </c>
      <c r="O72" s="51">
        <f>IF(I72=1,$C72/(1+$B$111/2)^(J72-1),0)</f>
        <v/>
      </c>
      <c r="P72" s="51">
        <f>IF(I72=1,$C72/(1+($B$111+0.0001)/2)^(J72-1),0)</f>
        <v/>
      </c>
      <c r="Q72" s="51">
        <f>IF(I72=1,$C72/(1+($B$111-0.0001)/2)^(J72-1),0)</f>
        <v/>
      </c>
      <c r="R72" s="51">
        <f>IF(AND($C72&gt;0,B72&gt;$B$6,B72&lt;=$B$7),$C72*(1+$B$10*($B$7-B72)/365),0)</f>
        <v/>
      </c>
      <c r="S72" s="51">
        <f>IF(I72=1,$C72/(1+($B$111+손익!$B$24/10000)/2)^(J72-1),0)</f>
        <v/>
      </c>
      <c r="T72" s="51">
        <f>IF(I72=1,$C72/(1+($B$111+시나리오!$A$4/10000)/2)^(J72-1),0)</f>
        <v/>
      </c>
      <c r="U72" s="51">
        <f>IF(I72=1,$C72/(1+($B$111+시나리오!$A$5/10000)/2)^(J72-1),0)</f>
        <v/>
      </c>
      <c r="V72" s="51">
        <f>IF(I72=1,$C72/(1+($B$111+시나리오!$A$6/10000)/2)^(J72-1),0)</f>
        <v/>
      </c>
      <c r="W72" s="51">
        <f>IF(I72=1,$C72/(1+($B$111+시나리오!$A$7/10000)/2)^(J72-1),0)</f>
        <v/>
      </c>
      <c r="X72" s="51">
        <f>IF(I72=1,$C72/(1+($B$111+시나리오!$A$8/10000)/2)^(J72-1),0)</f>
        <v/>
      </c>
      <c r="Y72" s="51">
        <f>IF(I72=1,$C72/(1+($B$111+시나리오!$A$9/10000)/2)^(J72-1),0)</f>
        <v/>
      </c>
      <c r="Z72" s="51">
        <f>IF(I72=1,$C72/(1+($B$111+시나리오!$A$10/10000)/2)^(J72-1),0)</f>
        <v/>
      </c>
      <c r="AA72" s="51">
        <f>IF(I72=1,$C72/(1+($B$111+시나리오!$A$11/10000)/2)^(J72-1),0)</f>
        <v/>
      </c>
      <c r="AB72" s="51">
        <f>IF(I72=1,$C72/(1+($B$111+시나리오!$A$12/10000)/2)^(J72-1),0)</f>
        <v/>
      </c>
      <c r="AC72" s="51">
        <f>IF(I72=1,$C72/(1+($B$111+시나리오!$A$13/10000)/2)^(J72-1),0)</f>
        <v/>
      </c>
      <c r="AD72" s="51">
        <f>IF(I72=1,$C72/(1+($B$111+시나리오!$A$14/10000)/2)^(J72-1),0)</f>
        <v/>
      </c>
      <c r="AE72" s="51">
        <f>IF(I72=1,$C72/(1+($B$111+시나리오!$A$15/10000)/2)^(J72-1),0)</f>
        <v/>
      </c>
      <c r="AF72" s="51">
        <f>IF(I72=1,$C72/(1+($B$111+시나리오!$A$16/10000)/2)^(J72-1),0)</f>
        <v/>
      </c>
      <c r="AG72" s="51">
        <f>IF(I72=1,$C72/(1+($B$111+시나리오!$A$17/10000)/2)^(J72-1),0)</f>
        <v/>
      </c>
      <c r="AH72" s="51">
        <f>IF(I72=1,$C72/(1+($B$111+시나리오!$A$18/10000)/2)^(J72-1),0)</f>
        <v/>
      </c>
      <c r="AI72" s="51">
        <f>IF(I72=1,$C72/(1+($B$111+시나리오!$A$19/10000)/2)^(J72-1),0)</f>
        <v/>
      </c>
      <c r="AJ72" s="51">
        <f>IF(I72=1,$C72/(1+($B$111+시나리오!$A$20/10000)/2)^(J72-1),0)</f>
        <v/>
      </c>
      <c r="AK72" s="51">
        <f>IF(I72=1,$C72/(1+($B$111+시나리오!$A$21/10000)/2)^(J72-1),0)</f>
        <v/>
      </c>
      <c r="AL72" s="51">
        <f>IF(I72=1,$C72/(1+($B$111+시나리오!$A$22/10000)/2)^(J72-1),0)</f>
        <v/>
      </c>
      <c r="AM72" s="51">
        <f>IF(I72=1,$C72/(1+($B$111+시나리오!$A$23/10000)/2)^(J72-1),0)</f>
        <v/>
      </c>
      <c r="AN72" s="51">
        <f>IF(I72=1,$C72/(1+($B$111+시나리오!$A$24/10000)/2)^(J72-1),0)</f>
        <v/>
      </c>
      <c r="AQ72" s="49" t="n">
        <v>58</v>
      </c>
      <c r="AR72" s="50">
        <f>EDATE($AR$2,-6*(62-$AQ72))</f>
        <v/>
      </c>
      <c r="AS72" s="51">
        <f>IF(AND(AR72&gt;$AR$3,AR72&lt;=$AR$2),IF(AR72=$AR$2,$AR$5+100,$AR$5),0)</f>
        <v/>
      </c>
      <c r="AT72" s="49">
        <f>IF(AND($AS72&gt;0,AR72&gt;$AR$6),1,0)</f>
        <v/>
      </c>
      <c r="AU72" s="49">
        <f>IF(AT72=1,SUM($AT$15:AT72),"")</f>
        <v/>
      </c>
      <c r="AV72" s="51">
        <f>IF(AT72=1,$AS72/(1+$AR$8/2)^(AU72-1),0)</f>
        <v/>
      </c>
      <c r="AW72" s="51">
        <f>IF(AT72=1,$AS72/(1+($AR$8+0.0001)/2)^(AU72-1),0)</f>
        <v/>
      </c>
      <c r="AX72" s="51">
        <f>IF(AT72=1,$AS72/(1+($AR$8-0.0001)/2)^(AU72-1),0)</f>
        <v/>
      </c>
      <c r="AY72" s="49">
        <f>IF(AND($AS72&gt;0,AR72&gt;$AR$7),1,0)</f>
        <v/>
      </c>
      <c r="AZ72" s="49">
        <f>IF(AY72=1,SUM($AY$15:AY72),"")</f>
        <v/>
      </c>
      <c r="BA72" s="51">
        <f>IF(AY72=1,$AS72/(1+$AR$104/2)^(AZ72-1),0)</f>
        <v/>
      </c>
      <c r="BB72" s="51">
        <f>IF(AY72=1,$AS72/(1+($AR$104+0.0001)/2)^(AZ72-1),0)</f>
        <v/>
      </c>
      <c r="BC72" s="51">
        <f>IF(AY72=1,$AS72/(1+($AR$104-0.0001)/2)^(AZ72-1),0)</f>
        <v/>
      </c>
      <c r="BD72" s="51">
        <f>IF(AY72=1,$AS72/(1+$AR$109/2)^(AZ72-1),0)</f>
        <v/>
      </c>
      <c r="BE72" s="51">
        <f>IF(AY72=1,$AS72/(1+$AR$111/2)^(AZ72-1),0)</f>
        <v/>
      </c>
      <c r="BF72" s="51">
        <f>IF(AY72=1,$AS72/(1+($AR$111+0.0001)/2)^(AZ72-1),0)</f>
        <v/>
      </c>
      <c r="BG72" s="51">
        <f>IF(AY72=1,$AS72/(1+($AR$111-0.0001)/2)^(AZ72-1),0)</f>
        <v/>
      </c>
      <c r="BH72" s="51">
        <f>IF(AND($AS72&gt;0,AR72&gt;$AR$6,AR72&lt;=$AR$7),$AS72*(1+$AR$10*($AR$7-AR72)/365),0)</f>
        <v/>
      </c>
      <c r="BI72" s="51">
        <f>IF(AY72=1,$AS72/(1+($AR$111+손익!$B$24/10000)/2)^(AZ72-1),0)</f>
        <v/>
      </c>
      <c r="BJ72" s="51">
        <f>IF(AY72=1,$AS72/(1+($AR$111+시나리오!$A$4/10000)/2)^(AZ72-1),0)</f>
        <v/>
      </c>
      <c r="BK72" s="51">
        <f>IF(AY72=1,$AS72/(1+($AR$111+시나리오!$A$5/10000)/2)^(AZ72-1),0)</f>
        <v/>
      </c>
      <c r="BL72" s="51">
        <f>IF(AY72=1,$AS72/(1+($AR$111+시나리오!$A$6/10000)/2)^(AZ72-1),0)</f>
        <v/>
      </c>
      <c r="BM72" s="51">
        <f>IF(AY72=1,$AS72/(1+($AR$111+시나리오!$A$7/10000)/2)^(AZ72-1),0)</f>
        <v/>
      </c>
      <c r="BN72" s="51">
        <f>IF(AY72=1,$AS72/(1+($AR$111+시나리오!$A$8/10000)/2)^(AZ72-1),0)</f>
        <v/>
      </c>
      <c r="BO72" s="51">
        <f>IF(AY72=1,$AS72/(1+($AR$111+시나리오!$A$9/10000)/2)^(AZ72-1),0)</f>
        <v/>
      </c>
      <c r="BP72" s="51">
        <f>IF(AY72=1,$AS72/(1+($AR$111+시나리오!$A$10/10000)/2)^(AZ72-1),0)</f>
        <v/>
      </c>
      <c r="BQ72" s="51">
        <f>IF(AY72=1,$AS72/(1+($AR$111+시나리오!$A$11/10000)/2)^(AZ72-1),0)</f>
        <v/>
      </c>
      <c r="BR72" s="51">
        <f>IF(AY72=1,$AS72/(1+($AR$111+시나리오!$A$12/10000)/2)^(AZ72-1),0)</f>
        <v/>
      </c>
      <c r="BS72" s="51">
        <f>IF(AY72=1,$AS72/(1+($AR$111+시나리오!$A$13/10000)/2)^(AZ72-1),0)</f>
        <v/>
      </c>
      <c r="BT72" s="51">
        <f>IF(AY72=1,$AS72/(1+($AR$111+시나리오!$A$14/10000)/2)^(AZ72-1),0)</f>
        <v/>
      </c>
      <c r="BU72" s="51">
        <f>IF(AY72=1,$AS72/(1+($AR$111+시나리오!$A$15/10000)/2)^(AZ72-1),0)</f>
        <v/>
      </c>
      <c r="BV72" s="51">
        <f>IF(AY72=1,$AS72/(1+($AR$111+시나리오!$A$16/10000)/2)^(AZ72-1),0)</f>
        <v/>
      </c>
      <c r="BW72" s="51">
        <f>IF(AY72=1,$AS72/(1+($AR$111+시나리오!$A$17/10000)/2)^(AZ72-1),0)</f>
        <v/>
      </c>
      <c r="BX72" s="51">
        <f>IF(AY72=1,$AS72/(1+($AR$111+시나리오!$A$18/10000)/2)^(AZ72-1),0)</f>
        <v/>
      </c>
      <c r="BY72" s="51">
        <f>IF(AY72=1,$AS72/(1+($AR$111+시나리오!$A$19/10000)/2)^(AZ72-1),0)</f>
        <v/>
      </c>
      <c r="BZ72" s="51">
        <f>IF(AY72=1,$AS72/(1+($AR$111+시나리오!$A$20/10000)/2)^(AZ72-1),0)</f>
        <v/>
      </c>
      <c r="CA72" s="51">
        <f>IF(AY72=1,$AS72/(1+($AR$111+시나리오!$A$21/10000)/2)^(AZ72-1),0)</f>
        <v/>
      </c>
      <c r="CB72" s="51">
        <f>IF(AY72=1,$AS72/(1+($AR$111+시나리오!$A$22/10000)/2)^(AZ72-1),0)</f>
        <v/>
      </c>
      <c r="CC72" s="51">
        <f>IF(AY72=1,$AS72/(1+($AR$111+시나리오!$A$23/10000)/2)^(AZ72-1),0)</f>
        <v/>
      </c>
      <c r="CD72" s="51">
        <f>IF(AY72=1,$AS72/(1+($AR$111+시나리오!$A$24/10000)/2)^(AZ72-1),0)</f>
        <v/>
      </c>
      <c r="CG72" s="49" t="n">
        <v>58</v>
      </c>
      <c r="CH72" s="50">
        <f>EDATE($CH$2,-6*(62-$CG72))</f>
        <v/>
      </c>
      <c r="CI72" s="51">
        <f>IF(AND(CH72&gt;$CH$3,CH72&lt;=$CH$2),IF(CH72=$CH$2,$CH$5+100,$CH$5),0)</f>
        <v/>
      </c>
      <c r="CJ72" s="49">
        <f>IF(AND($CI72&gt;0,CH72&gt;$CH$6),1,0)</f>
        <v/>
      </c>
      <c r="CK72" s="49">
        <f>IF(CJ72=1,SUM($CJ$15:CJ72),"")</f>
        <v/>
      </c>
      <c r="CL72" s="51">
        <f>IF(CJ72=1,$CI72/(1+$CH$8/2)^(CK72-1),0)</f>
        <v/>
      </c>
      <c r="CM72" s="51">
        <f>IF(CJ72=1,$CI72/(1+($CH$8+0.0001)/2)^(CK72-1),0)</f>
        <v/>
      </c>
      <c r="CN72" s="51">
        <f>IF(CJ72=1,$CI72/(1+($CH$8-0.0001)/2)^(CK72-1),0)</f>
        <v/>
      </c>
      <c r="CO72" s="49">
        <f>IF(AND($CI72&gt;0,CH72&gt;$CH$7),1,0)</f>
        <v/>
      </c>
      <c r="CP72" s="49">
        <f>IF(CO72=1,SUM($CO$15:CO72),"")</f>
        <v/>
      </c>
      <c r="CQ72" s="51">
        <f>IF(CO72=1,$CI72/(1+$CH$104/2)^(CP72-1),0)</f>
        <v/>
      </c>
      <c r="CR72" s="51">
        <f>IF(CO72=1,$CI72/(1+($CH$104+0.0001)/2)^(CP72-1),0)</f>
        <v/>
      </c>
      <c r="CS72" s="51">
        <f>IF(CO72=1,$CI72/(1+($CH$104-0.0001)/2)^(CP72-1),0)</f>
        <v/>
      </c>
      <c r="CT72" s="51">
        <f>IF(CO72=1,$CI72/(1+$CH$109/2)^(CP72-1),0)</f>
        <v/>
      </c>
      <c r="CU72" s="51">
        <f>IF(CO72=1,$CI72/(1+$CH$111/2)^(CP72-1),0)</f>
        <v/>
      </c>
      <c r="CV72" s="51">
        <f>IF(CO72=1,$CI72/(1+($CH$111+0.0001)/2)^(CP72-1),0)</f>
        <v/>
      </c>
      <c r="CW72" s="51">
        <f>IF(CO72=1,$CI72/(1+($CH$111-0.0001)/2)^(CP72-1),0)</f>
        <v/>
      </c>
      <c r="CX72" s="51">
        <f>IF(AND($CI72&gt;0,CH72&gt;$CH$6,CH72&lt;=$CH$7),$CI72*(1+$CH$10*($CH$7-CH72)/365),0)</f>
        <v/>
      </c>
      <c r="CY72" s="51">
        <f>IF(CO72=1,$CI72/(1+($CH$111+손익!$B$24/10000)/2)^(CP72-1),0)</f>
        <v/>
      </c>
      <c r="CZ72" s="51">
        <f>IF(CO72=1,$CI72/(1+($CH$111+시나리오!$A$4/10000)/2)^(CP72-1),0)</f>
        <v/>
      </c>
      <c r="DA72" s="51">
        <f>IF(CO72=1,$CI72/(1+($CH$111+시나리오!$A$5/10000)/2)^(CP72-1),0)</f>
        <v/>
      </c>
      <c r="DB72" s="51">
        <f>IF(CO72=1,$CI72/(1+($CH$111+시나리오!$A$6/10000)/2)^(CP72-1),0)</f>
        <v/>
      </c>
      <c r="DC72" s="51">
        <f>IF(CO72=1,$CI72/(1+($CH$111+시나리오!$A$7/10000)/2)^(CP72-1),0)</f>
        <v/>
      </c>
      <c r="DD72" s="51">
        <f>IF(CO72=1,$CI72/(1+($CH$111+시나리오!$A$8/10000)/2)^(CP72-1),0)</f>
        <v/>
      </c>
      <c r="DE72" s="51">
        <f>IF(CO72=1,$CI72/(1+($CH$111+시나리오!$A$9/10000)/2)^(CP72-1),0)</f>
        <v/>
      </c>
      <c r="DF72" s="51">
        <f>IF(CO72=1,$CI72/(1+($CH$111+시나리오!$A$10/10000)/2)^(CP72-1),0)</f>
        <v/>
      </c>
      <c r="DG72" s="51">
        <f>IF(CO72=1,$CI72/(1+($CH$111+시나리오!$A$11/10000)/2)^(CP72-1),0)</f>
        <v/>
      </c>
      <c r="DH72" s="51">
        <f>IF(CO72=1,$CI72/(1+($CH$111+시나리오!$A$12/10000)/2)^(CP72-1),0)</f>
        <v/>
      </c>
      <c r="DI72" s="51">
        <f>IF(CO72=1,$CI72/(1+($CH$111+시나리오!$A$13/10000)/2)^(CP72-1),0)</f>
        <v/>
      </c>
      <c r="DJ72" s="51">
        <f>IF(CO72=1,$CI72/(1+($CH$111+시나리오!$A$14/10000)/2)^(CP72-1),0)</f>
        <v/>
      </c>
      <c r="DK72" s="51">
        <f>IF(CO72=1,$CI72/(1+($CH$111+시나리오!$A$15/10000)/2)^(CP72-1),0)</f>
        <v/>
      </c>
      <c r="DL72" s="51">
        <f>IF(CO72=1,$CI72/(1+($CH$111+시나리오!$A$16/10000)/2)^(CP72-1),0)</f>
        <v/>
      </c>
      <c r="DM72" s="51">
        <f>IF(CO72=1,$CI72/(1+($CH$111+시나리오!$A$17/10000)/2)^(CP72-1),0)</f>
        <v/>
      </c>
      <c r="DN72" s="51">
        <f>IF(CO72=1,$CI72/(1+($CH$111+시나리오!$A$18/10000)/2)^(CP72-1),0)</f>
        <v/>
      </c>
      <c r="DO72" s="51">
        <f>IF(CO72=1,$CI72/(1+($CH$111+시나리오!$A$19/10000)/2)^(CP72-1),0)</f>
        <v/>
      </c>
      <c r="DP72" s="51">
        <f>IF(CO72=1,$CI72/(1+($CH$111+시나리오!$A$20/10000)/2)^(CP72-1),0)</f>
        <v/>
      </c>
      <c r="DQ72" s="51">
        <f>IF(CO72=1,$CI72/(1+($CH$111+시나리오!$A$21/10000)/2)^(CP72-1),0)</f>
        <v/>
      </c>
      <c r="DR72" s="51">
        <f>IF(CO72=1,$CI72/(1+($CH$111+시나리오!$A$22/10000)/2)^(CP72-1),0)</f>
        <v/>
      </c>
      <c r="DS72" s="51">
        <f>IF(CO72=1,$CI72/(1+($CH$111+시나리오!$A$23/10000)/2)^(CP72-1),0)</f>
        <v/>
      </c>
      <c r="DT72" s="51">
        <f>IF(CO72=1,$CI72/(1+($CH$111+시나리오!$A$24/10000)/2)^(CP72-1),0)</f>
        <v/>
      </c>
    </row>
    <row r="73">
      <c r="A73" s="49" t="n">
        <v>59</v>
      </c>
      <c r="B73" s="50">
        <f>EDATE($B$2,-6*(62-$A73))</f>
        <v/>
      </c>
      <c r="C73" s="51">
        <f>IF(AND(B73&gt;$B$3,B73&lt;=$B$2),IF(B73=$B$2,$B$5+100,$B$5),0)</f>
        <v/>
      </c>
      <c r="D73" s="49">
        <f>IF(AND($C73&gt;0,B73&gt;$B$6),1,0)</f>
        <v/>
      </c>
      <c r="E73" s="49">
        <f>IF(D73=1,SUM($D$15:D73),"")</f>
        <v/>
      </c>
      <c r="F73" s="51">
        <f>IF(D73=1,$C73/(1+$B$8/2)^(E73-1),0)</f>
        <v/>
      </c>
      <c r="G73" s="51">
        <f>IF(D73=1,$C73/(1+($B$8+0.0001)/2)^(E73-1),0)</f>
        <v/>
      </c>
      <c r="H73" s="51">
        <f>IF(D73=1,$C73/(1+($B$8-0.0001)/2)^(E73-1),0)</f>
        <v/>
      </c>
      <c r="I73" s="49">
        <f>IF(AND($C73&gt;0,B73&gt;$B$7),1,0)</f>
        <v/>
      </c>
      <c r="J73" s="49">
        <f>IF(I73=1,SUM($I$15:I73),"")</f>
        <v/>
      </c>
      <c r="K73" s="51">
        <f>IF(I73=1,$C73/(1+$B$104/2)^(J73-1),0)</f>
        <v/>
      </c>
      <c r="L73" s="51">
        <f>IF(I73=1,$C73/(1+($B$104+0.0001)/2)^(J73-1),0)</f>
        <v/>
      </c>
      <c r="M73" s="51">
        <f>IF(I73=1,$C73/(1+($B$104-0.0001)/2)^(J73-1),0)</f>
        <v/>
      </c>
      <c r="N73" s="51">
        <f>IF(I73=1,$C73/(1+$B$109/2)^(J73-1),0)</f>
        <v/>
      </c>
      <c r="O73" s="51">
        <f>IF(I73=1,$C73/(1+$B$111/2)^(J73-1),0)</f>
        <v/>
      </c>
      <c r="P73" s="51">
        <f>IF(I73=1,$C73/(1+($B$111+0.0001)/2)^(J73-1),0)</f>
        <v/>
      </c>
      <c r="Q73" s="51">
        <f>IF(I73=1,$C73/(1+($B$111-0.0001)/2)^(J73-1),0)</f>
        <v/>
      </c>
      <c r="R73" s="51">
        <f>IF(AND($C73&gt;0,B73&gt;$B$6,B73&lt;=$B$7),$C73*(1+$B$10*($B$7-B73)/365),0)</f>
        <v/>
      </c>
      <c r="S73" s="51">
        <f>IF(I73=1,$C73/(1+($B$111+손익!$B$24/10000)/2)^(J73-1),0)</f>
        <v/>
      </c>
      <c r="T73" s="51">
        <f>IF(I73=1,$C73/(1+($B$111+시나리오!$A$4/10000)/2)^(J73-1),0)</f>
        <v/>
      </c>
      <c r="U73" s="51">
        <f>IF(I73=1,$C73/(1+($B$111+시나리오!$A$5/10000)/2)^(J73-1),0)</f>
        <v/>
      </c>
      <c r="V73" s="51">
        <f>IF(I73=1,$C73/(1+($B$111+시나리오!$A$6/10000)/2)^(J73-1),0)</f>
        <v/>
      </c>
      <c r="W73" s="51">
        <f>IF(I73=1,$C73/(1+($B$111+시나리오!$A$7/10000)/2)^(J73-1),0)</f>
        <v/>
      </c>
      <c r="X73" s="51">
        <f>IF(I73=1,$C73/(1+($B$111+시나리오!$A$8/10000)/2)^(J73-1),0)</f>
        <v/>
      </c>
      <c r="Y73" s="51">
        <f>IF(I73=1,$C73/(1+($B$111+시나리오!$A$9/10000)/2)^(J73-1),0)</f>
        <v/>
      </c>
      <c r="Z73" s="51">
        <f>IF(I73=1,$C73/(1+($B$111+시나리오!$A$10/10000)/2)^(J73-1),0)</f>
        <v/>
      </c>
      <c r="AA73" s="51">
        <f>IF(I73=1,$C73/(1+($B$111+시나리오!$A$11/10000)/2)^(J73-1),0)</f>
        <v/>
      </c>
      <c r="AB73" s="51">
        <f>IF(I73=1,$C73/(1+($B$111+시나리오!$A$12/10000)/2)^(J73-1),0)</f>
        <v/>
      </c>
      <c r="AC73" s="51">
        <f>IF(I73=1,$C73/(1+($B$111+시나리오!$A$13/10000)/2)^(J73-1),0)</f>
        <v/>
      </c>
      <c r="AD73" s="51">
        <f>IF(I73=1,$C73/(1+($B$111+시나리오!$A$14/10000)/2)^(J73-1),0)</f>
        <v/>
      </c>
      <c r="AE73" s="51">
        <f>IF(I73=1,$C73/(1+($B$111+시나리오!$A$15/10000)/2)^(J73-1),0)</f>
        <v/>
      </c>
      <c r="AF73" s="51">
        <f>IF(I73=1,$C73/(1+($B$111+시나리오!$A$16/10000)/2)^(J73-1),0)</f>
        <v/>
      </c>
      <c r="AG73" s="51">
        <f>IF(I73=1,$C73/(1+($B$111+시나리오!$A$17/10000)/2)^(J73-1),0)</f>
        <v/>
      </c>
      <c r="AH73" s="51">
        <f>IF(I73=1,$C73/(1+($B$111+시나리오!$A$18/10000)/2)^(J73-1),0)</f>
        <v/>
      </c>
      <c r="AI73" s="51">
        <f>IF(I73=1,$C73/(1+($B$111+시나리오!$A$19/10000)/2)^(J73-1),0)</f>
        <v/>
      </c>
      <c r="AJ73" s="51">
        <f>IF(I73=1,$C73/(1+($B$111+시나리오!$A$20/10000)/2)^(J73-1),0)</f>
        <v/>
      </c>
      <c r="AK73" s="51">
        <f>IF(I73=1,$C73/(1+($B$111+시나리오!$A$21/10000)/2)^(J73-1),0)</f>
        <v/>
      </c>
      <c r="AL73" s="51">
        <f>IF(I73=1,$C73/(1+($B$111+시나리오!$A$22/10000)/2)^(J73-1),0)</f>
        <v/>
      </c>
      <c r="AM73" s="51">
        <f>IF(I73=1,$C73/(1+($B$111+시나리오!$A$23/10000)/2)^(J73-1),0)</f>
        <v/>
      </c>
      <c r="AN73" s="51">
        <f>IF(I73=1,$C73/(1+($B$111+시나리오!$A$24/10000)/2)^(J73-1),0)</f>
        <v/>
      </c>
      <c r="AQ73" s="49" t="n">
        <v>59</v>
      </c>
      <c r="AR73" s="50">
        <f>EDATE($AR$2,-6*(62-$AQ73))</f>
        <v/>
      </c>
      <c r="AS73" s="51">
        <f>IF(AND(AR73&gt;$AR$3,AR73&lt;=$AR$2),IF(AR73=$AR$2,$AR$5+100,$AR$5),0)</f>
        <v/>
      </c>
      <c r="AT73" s="49">
        <f>IF(AND($AS73&gt;0,AR73&gt;$AR$6),1,0)</f>
        <v/>
      </c>
      <c r="AU73" s="49">
        <f>IF(AT73=1,SUM($AT$15:AT73),"")</f>
        <v/>
      </c>
      <c r="AV73" s="51">
        <f>IF(AT73=1,$AS73/(1+$AR$8/2)^(AU73-1),0)</f>
        <v/>
      </c>
      <c r="AW73" s="51">
        <f>IF(AT73=1,$AS73/(1+($AR$8+0.0001)/2)^(AU73-1),0)</f>
        <v/>
      </c>
      <c r="AX73" s="51">
        <f>IF(AT73=1,$AS73/(1+($AR$8-0.0001)/2)^(AU73-1),0)</f>
        <v/>
      </c>
      <c r="AY73" s="49">
        <f>IF(AND($AS73&gt;0,AR73&gt;$AR$7),1,0)</f>
        <v/>
      </c>
      <c r="AZ73" s="49">
        <f>IF(AY73=1,SUM($AY$15:AY73),"")</f>
        <v/>
      </c>
      <c r="BA73" s="51">
        <f>IF(AY73=1,$AS73/(1+$AR$104/2)^(AZ73-1),0)</f>
        <v/>
      </c>
      <c r="BB73" s="51">
        <f>IF(AY73=1,$AS73/(1+($AR$104+0.0001)/2)^(AZ73-1),0)</f>
        <v/>
      </c>
      <c r="BC73" s="51">
        <f>IF(AY73=1,$AS73/(1+($AR$104-0.0001)/2)^(AZ73-1),0)</f>
        <v/>
      </c>
      <c r="BD73" s="51">
        <f>IF(AY73=1,$AS73/(1+$AR$109/2)^(AZ73-1),0)</f>
        <v/>
      </c>
      <c r="BE73" s="51">
        <f>IF(AY73=1,$AS73/(1+$AR$111/2)^(AZ73-1),0)</f>
        <v/>
      </c>
      <c r="BF73" s="51">
        <f>IF(AY73=1,$AS73/(1+($AR$111+0.0001)/2)^(AZ73-1),0)</f>
        <v/>
      </c>
      <c r="BG73" s="51">
        <f>IF(AY73=1,$AS73/(1+($AR$111-0.0001)/2)^(AZ73-1),0)</f>
        <v/>
      </c>
      <c r="BH73" s="51">
        <f>IF(AND($AS73&gt;0,AR73&gt;$AR$6,AR73&lt;=$AR$7),$AS73*(1+$AR$10*($AR$7-AR73)/365),0)</f>
        <v/>
      </c>
      <c r="BI73" s="51">
        <f>IF(AY73=1,$AS73/(1+($AR$111+손익!$B$24/10000)/2)^(AZ73-1),0)</f>
        <v/>
      </c>
      <c r="BJ73" s="51">
        <f>IF(AY73=1,$AS73/(1+($AR$111+시나리오!$A$4/10000)/2)^(AZ73-1),0)</f>
        <v/>
      </c>
      <c r="BK73" s="51">
        <f>IF(AY73=1,$AS73/(1+($AR$111+시나리오!$A$5/10000)/2)^(AZ73-1),0)</f>
        <v/>
      </c>
      <c r="BL73" s="51">
        <f>IF(AY73=1,$AS73/(1+($AR$111+시나리오!$A$6/10000)/2)^(AZ73-1),0)</f>
        <v/>
      </c>
      <c r="BM73" s="51">
        <f>IF(AY73=1,$AS73/(1+($AR$111+시나리오!$A$7/10000)/2)^(AZ73-1),0)</f>
        <v/>
      </c>
      <c r="BN73" s="51">
        <f>IF(AY73=1,$AS73/(1+($AR$111+시나리오!$A$8/10000)/2)^(AZ73-1),0)</f>
        <v/>
      </c>
      <c r="BO73" s="51">
        <f>IF(AY73=1,$AS73/(1+($AR$111+시나리오!$A$9/10000)/2)^(AZ73-1),0)</f>
        <v/>
      </c>
      <c r="BP73" s="51">
        <f>IF(AY73=1,$AS73/(1+($AR$111+시나리오!$A$10/10000)/2)^(AZ73-1),0)</f>
        <v/>
      </c>
      <c r="BQ73" s="51">
        <f>IF(AY73=1,$AS73/(1+($AR$111+시나리오!$A$11/10000)/2)^(AZ73-1),0)</f>
        <v/>
      </c>
      <c r="BR73" s="51">
        <f>IF(AY73=1,$AS73/(1+($AR$111+시나리오!$A$12/10000)/2)^(AZ73-1),0)</f>
        <v/>
      </c>
      <c r="BS73" s="51">
        <f>IF(AY73=1,$AS73/(1+($AR$111+시나리오!$A$13/10000)/2)^(AZ73-1),0)</f>
        <v/>
      </c>
      <c r="BT73" s="51">
        <f>IF(AY73=1,$AS73/(1+($AR$111+시나리오!$A$14/10000)/2)^(AZ73-1),0)</f>
        <v/>
      </c>
      <c r="BU73" s="51">
        <f>IF(AY73=1,$AS73/(1+($AR$111+시나리오!$A$15/10000)/2)^(AZ73-1),0)</f>
        <v/>
      </c>
      <c r="BV73" s="51">
        <f>IF(AY73=1,$AS73/(1+($AR$111+시나리오!$A$16/10000)/2)^(AZ73-1),0)</f>
        <v/>
      </c>
      <c r="BW73" s="51">
        <f>IF(AY73=1,$AS73/(1+($AR$111+시나리오!$A$17/10000)/2)^(AZ73-1),0)</f>
        <v/>
      </c>
      <c r="BX73" s="51">
        <f>IF(AY73=1,$AS73/(1+($AR$111+시나리오!$A$18/10000)/2)^(AZ73-1),0)</f>
        <v/>
      </c>
      <c r="BY73" s="51">
        <f>IF(AY73=1,$AS73/(1+($AR$111+시나리오!$A$19/10000)/2)^(AZ73-1),0)</f>
        <v/>
      </c>
      <c r="BZ73" s="51">
        <f>IF(AY73=1,$AS73/(1+($AR$111+시나리오!$A$20/10000)/2)^(AZ73-1),0)</f>
        <v/>
      </c>
      <c r="CA73" s="51">
        <f>IF(AY73=1,$AS73/(1+($AR$111+시나리오!$A$21/10000)/2)^(AZ73-1),0)</f>
        <v/>
      </c>
      <c r="CB73" s="51">
        <f>IF(AY73=1,$AS73/(1+($AR$111+시나리오!$A$22/10000)/2)^(AZ73-1),0)</f>
        <v/>
      </c>
      <c r="CC73" s="51">
        <f>IF(AY73=1,$AS73/(1+($AR$111+시나리오!$A$23/10000)/2)^(AZ73-1),0)</f>
        <v/>
      </c>
      <c r="CD73" s="51">
        <f>IF(AY73=1,$AS73/(1+($AR$111+시나리오!$A$24/10000)/2)^(AZ73-1),0)</f>
        <v/>
      </c>
      <c r="CG73" s="49" t="n">
        <v>59</v>
      </c>
      <c r="CH73" s="50">
        <f>EDATE($CH$2,-6*(62-$CG73))</f>
        <v/>
      </c>
      <c r="CI73" s="51">
        <f>IF(AND(CH73&gt;$CH$3,CH73&lt;=$CH$2),IF(CH73=$CH$2,$CH$5+100,$CH$5),0)</f>
        <v/>
      </c>
      <c r="CJ73" s="49">
        <f>IF(AND($CI73&gt;0,CH73&gt;$CH$6),1,0)</f>
        <v/>
      </c>
      <c r="CK73" s="49">
        <f>IF(CJ73=1,SUM($CJ$15:CJ73),"")</f>
        <v/>
      </c>
      <c r="CL73" s="51">
        <f>IF(CJ73=1,$CI73/(1+$CH$8/2)^(CK73-1),0)</f>
        <v/>
      </c>
      <c r="CM73" s="51">
        <f>IF(CJ73=1,$CI73/(1+($CH$8+0.0001)/2)^(CK73-1),0)</f>
        <v/>
      </c>
      <c r="CN73" s="51">
        <f>IF(CJ73=1,$CI73/(1+($CH$8-0.0001)/2)^(CK73-1),0)</f>
        <v/>
      </c>
      <c r="CO73" s="49">
        <f>IF(AND($CI73&gt;0,CH73&gt;$CH$7),1,0)</f>
        <v/>
      </c>
      <c r="CP73" s="49">
        <f>IF(CO73=1,SUM($CO$15:CO73),"")</f>
        <v/>
      </c>
      <c r="CQ73" s="51">
        <f>IF(CO73=1,$CI73/(1+$CH$104/2)^(CP73-1),0)</f>
        <v/>
      </c>
      <c r="CR73" s="51">
        <f>IF(CO73=1,$CI73/(1+($CH$104+0.0001)/2)^(CP73-1),0)</f>
        <v/>
      </c>
      <c r="CS73" s="51">
        <f>IF(CO73=1,$CI73/(1+($CH$104-0.0001)/2)^(CP73-1),0)</f>
        <v/>
      </c>
      <c r="CT73" s="51">
        <f>IF(CO73=1,$CI73/(1+$CH$109/2)^(CP73-1),0)</f>
        <v/>
      </c>
      <c r="CU73" s="51">
        <f>IF(CO73=1,$CI73/(1+$CH$111/2)^(CP73-1),0)</f>
        <v/>
      </c>
      <c r="CV73" s="51">
        <f>IF(CO73=1,$CI73/(1+($CH$111+0.0001)/2)^(CP73-1),0)</f>
        <v/>
      </c>
      <c r="CW73" s="51">
        <f>IF(CO73=1,$CI73/(1+($CH$111-0.0001)/2)^(CP73-1),0)</f>
        <v/>
      </c>
      <c r="CX73" s="51">
        <f>IF(AND($CI73&gt;0,CH73&gt;$CH$6,CH73&lt;=$CH$7),$CI73*(1+$CH$10*($CH$7-CH73)/365),0)</f>
        <v/>
      </c>
      <c r="CY73" s="51">
        <f>IF(CO73=1,$CI73/(1+($CH$111+손익!$B$24/10000)/2)^(CP73-1),0)</f>
        <v/>
      </c>
      <c r="CZ73" s="51">
        <f>IF(CO73=1,$CI73/(1+($CH$111+시나리오!$A$4/10000)/2)^(CP73-1),0)</f>
        <v/>
      </c>
      <c r="DA73" s="51">
        <f>IF(CO73=1,$CI73/(1+($CH$111+시나리오!$A$5/10000)/2)^(CP73-1),0)</f>
        <v/>
      </c>
      <c r="DB73" s="51">
        <f>IF(CO73=1,$CI73/(1+($CH$111+시나리오!$A$6/10000)/2)^(CP73-1),0)</f>
        <v/>
      </c>
      <c r="DC73" s="51">
        <f>IF(CO73=1,$CI73/(1+($CH$111+시나리오!$A$7/10000)/2)^(CP73-1),0)</f>
        <v/>
      </c>
      <c r="DD73" s="51">
        <f>IF(CO73=1,$CI73/(1+($CH$111+시나리오!$A$8/10000)/2)^(CP73-1),0)</f>
        <v/>
      </c>
      <c r="DE73" s="51">
        <f>IF(CO73=1,$CI73/(1+($CH$111+시나리오!$A$9/10000)/2)^(CP73-1),0)</f>
        <v/>
      </c>
      <c r="DF73" s="51">
        <f>IF(CO73=1,$CI73/(1+($CH$111+시나리오!$A$10/10000)/2)^(CP73-1),0)</f>
        <v/>
      </c>
      <c r="DG73" s="51">
        <f>IF(CO73=1,$CI73/(1+($CH$111+시나리오!$A$11/10000)/2)^(CP73-1),0)</f>
        <v/>
      </c>
      <c r="DH73" s="51">
        <f>IF(CO73=1,$CI73/(1+($CH$111+시나리오!$A$12/10000)/2)^(CP73-1),0)</f>
        <v/>
      </c>
      <c r="DI73" s="51">
        <f>IF(CO73=1,$CI73/(1+($CH$111+시나리오!$A$13/10000)/2)^(CP73-1),0)</f>
        <v/>
      </c>
      <c r="DJ73" s="51">
        <f>IF(CO73=1,$CI73/(1+($CH$111+시나리오!$A$14/10000)/2)^(CP73-1),0)</f>
        <v/>
      </c>
      <c r="DK73" s="51">
        <f>IF(CO73=1,$CI73/(1+($CH$111+시나리오!$A$15/10000)/2)^(CP73-1),0)</f>
        <v/>
      </c>
      <c r="DL73" s="51">
        <f>IF(CO73=1,$CI73/(1+($CH$111+시나리오!$A$16/10000)/2)^(CP73-1),0)</f>
        <v/>
      </c>
      <c r="DM73" s="51">
        <f>IF(CO73=1,$CI73/(1+($CH$111+시나리오!$A$17/10000)/2)^(CP73-1),0)</f>
        <v/>
      </c>
      <c r="DN73" s="51">
        <f>IF(CO73=1,$CI73/(1+($CH$111+시나리오!$A$18/10000)/2)^(CP73-1),0)</f>
        <v/>
      </c>
      <c r="DO73" s="51">
        <f>IF(CO73=1,$CI73/(1+($CH$111+시나리오!$A$19/10000)/2)^(CP73-1),0)</f>
        <v/>
      </c>
      <c r="DP73" s="51">
        <f>IF(CO73=1,$CI73/(1+($CH$111+시나리오!$A$20/10000)/2)^(CP73-1),0)</f>
        <v/>
      </c>
      <c r="DQ73" s="51">
        <f>IF(CO73=1,$CI73/(1+($CH$111+시나리오!$A$21/10000)/2)^(CP73-1),0)</f>
        <v/>
      </c>
      <c r="DR73" s="51">
        <f>IF(CO73=1,$CI73/(1+($CH$111+시나리오!$A$22/10000)/2)^(CP73-1),0)</f>
        <v/>
      </c>
      <c r="DS73" s="51">
        <f>IF(CO73=1,$CI73/(1+($CH$111+시나리오!$A$23/10000)/2)^(CP73-1),0)</f>
        <v/>
      </c>
      <c r="DT73" s="51">
        <f>IF(CO73=1,$CI73/(1+($CH$111+시나리오!$A$24/10000)/2)^(CP73-1),0)</f>
        <v/>
      </c>
    </row>
    <row r="74">
      <c r="A74" s="49" t="n">
        <v>60</v>
      </c>
      <c r="B74" s="50">
        <f>EDATE($B$2,-6*(62-$A74))</f>
        <v/>
      </c>
      <c r="C74" s="51">
        <f>IF(AND(B74&gt;$B$3,B74&lt;=$B$2),IF(B74=$B$2,$B$5+100,$B$5),0)</f>
        <v/>
      </c>
      <c r="D74" s="49">
        <f>IF(AND($C74&gt;0,B74&gt;$B$6),1,0)</f>
        <v/>
      </c>
      <c r="E74" s="49">
        <f>IF(D74=1,SUM($D$15:D74),"")</f>
        <v/>
      </c>
      <c r="F74" s="51">
        <f>IF(D74=1,$C74/(1+$B$8/2)^(E74-1),0)</f>
        <v/>
      </c>
      <c r="G74" s="51">
        <f>IF(D74=1,$C74/(1+($B$8+0.0001)/2)^(E74-1),0)</f>
        <v/>
      </c>
      <c r="H74" s="51">
        <f>IF(D74=1,$C74/(1+($B$8-0.0001)/2)^(E74-1),0)</f>
        <v/>
      </c>
      <c r="I74" s="49">
        <f>IF(AND($C74&gt;0,B74&gt;$B$7),1,0)</f>
        <v/>
      </c>
      <c r="J74" s="49">
        <f>IF(I74=1,SUM($I$15:I74),"")</f>
        <v/>
      </c>
      <c r="K74" s="51">
        <f>IF(I74=1,$C74/(1+$B$104/2)^(J74-1),0)</f>
        <v/>
      </c>
      <c r="L74" s="51">
        <f>IF(I74=1,$C74/(1+($B$104+0.0001)/2)^(J74-1),0)</f>
        <v/>
      </c>
      <c r="M74" s="51">
        <f>IF(I74=1,$C74/(1+($B$104-0.0001)/2)^(J74-1),0)</f>
        <v/>
      </c>
      <c r="N74" s="51">
        <f>IF(I74=1,$C74/(1+$B$109/2)^(J74-1),0)</f>
        <v/>
      </c>
      <c r="O74" s="51">
        <f>IF(I74=1,$C74/(1+$B$111/2)^(J74-1),0)</f>
        <v/>
      </c>
      <c r="P74" s="51">
        <f>IF(I74=1,$C74/(1+($B$111+0.0001)/2)^(J74-1),0)</f>
        <v/>
      </c>
      <c r="Q74" s="51">
        <f>IF(I74=1,$C74/(1+($B$111-0.0001)/2)^(J74-1),0)</f>
        <v/>
      </c>
      <c r="R74" s="51">
        <f>IF(AND($C74&gt;0,B74&gt;$B$6,B74&lt;=$B$7),$C74*(1+$B$10*($B$7-B74)/365),0)</f>
        <v/>
      </c>
      <c r="S74" s="51">
        <f>IF(I74=1,$C74/(1+($B$111+손익!$B$24/10000)/2)^(J74-1),0)</f>
        <v/>
      </c>
      <c r="T74" s="51">
        <f>IF(I74=1,$C74/(1+($B$111+시나리오!$A$4/10000)/2)^(J74-1),0)</f>
        <v/>
      </c>
      <c r="U74" s="51">
        <f>IF(I74=1,$C74/(1+($B$111+시나리오!$A$5/10000)/2)^(J74-1),0)</f>
        <v/>
      </c>
      <c r="V74" s="51">
        <f>IF(I74=1,$C74/(1+($B$111+시나리오!$A$6/10000)/2)^(J74-1),0)</f>
        <v/>
      </c>
      <c r="W74" s="51">
        <f>IF(I74=1,$C74/(1+($B$111+시나리오!$A$7/10000)/2)^(J74-1),0)</f>
        <v/>
      </c>
      <c r="X74" s="51">
        <f>IF(I74=1,$C74/(1+($B$111+시나리오!$A$8/10000)/2)^(J74-1),0)</f>
        <v/>
      </c>
      <c r="Y74" s="51">
        <f>IF(I74=1,$C74/(1+($B$111+시나리오!$A$9/10000)/2)^(J74-1),0)</f>
        <v/>
      </c>
      <c r="Z74" s="51">
        <f>IF(I74=1,$C74/(1+($B$111+시나리오!$A$10/10000)/2)^(J74-1),0)</f>
        <v/>
      </c>
      <c r="AA74" s="51">
        <f>IF(I74=1,$C74/(1+($B$111+시나리오!$A$11/10000)/2)^(J74-1),0)</f>
        <v/>
      </c>
      <c r="AB74" s="51">
        <f>IF(I74=1,$C74/(1+($B$111+시나리오!$A$12/10000)/2)^(J74-1),0)</f>
        <v/>
      </c>
      <c r="AC74" s="51">
        <f>IF(I74=1,$C74/(1+($B$111+시나리오!$A$13/10000)/2)^(J74-1),0)</f>
        <v/>
      </c>
      <c r="AD74" s="51">
        <f>IF(I74=1,$C74/(1+($B$111+시나리오!$A$14/10000)/2)^(J74-1),0)</f>
        <v/>
      </c>
      <c r="AE74" s="51">
        <f>IF(I74=1,$C74/(1+($B$111+시나리오!$A$15/10000)/2)^(J74-1),0)</f>
        <v/>
      </c>
      <c r="AF74" s="51">
        <f>IF(I74=1,$C74/(1+($B$111+시나리오!$A$16/10000)/2)^(J74-1),0)</f>
        <v/>
      </c>
      <c r="AG74" s="51">
        <f>IF(I74=1,$C74/(1+($B$111+시나리오!$A$17/10000)/2)^(J74-1),0)</f>
        <v/>
      </c>
      <c r="AH74" s="51">
        <f>IF(I74=1,$C74/(1+($B$111+시나리오!$A$18/10000)/2)^(J74-1),0)</f>
        <v/>
      </c>
      <c r="AI74" s="51">
        <f>IF(I74=1,$C74/(1+($B$111+시나리오!$A$19/10000)/2)^(J74-1),0)</f>
        <v/>
      </c>
      <c r="AJ74" s="51">
        <f>IF(I74=1,$C74/(1+($B$111+시나리오!$A$20/10000)/2)^(J74-1),0)</f>
        <v/>
      </c>
      <c r="AK74" s="51">
        <f>IF(I74=1,$C74/(1+($B$111+시나리오!$A$21/10000)/2)^(J74-1),0)</f>
        <v/>
      </c>
      <c r="AL74" s="51">
        <f>IF(I74=1,$C74/(1+($B$111+시나리오!$A$22/10000)/2)^(J74-1),0)</f>
        <v/>
      </c>
      <c r="AM74" s="51">
        <f>IF(I74=1,$C74/(1+($B$111+시나리오!$A$23/10000)/2)^(J74-1),0)</f>
        <v/>
      </c>
      <c r="AN74" s="51">
        <f>IF(I74=1,$C74/(1+($B$111+시나리오!$A$24/10000)/2)^(J74-1),0)</f>
        <v/>
      </c>
      <c r="AQ74" s="49" t="n">
        <v>60</v>
      </c>
      <c r="AR74" s="50">
        <f>EDATE($AR$2,-6*(62-$AQ74))</f>
        <v/>
      </c>
      <c r="AS74" s="51">
        <f>IF(AND(AR74&gt;$AR$3,AR74&lt;=$AR$2),IF(AR74=$AR$2,$AR$5+100,$AR$5),0)</f>
        <v/>
      </c>
      <c r="AT74" s="49">
        <f>IF(AND($AS74&gt;0,AR74&gt;$AR$6),1,0)</f>
        <v/>
      </c>
      <c r="AU74" s="49">
        <f>IF(AT74=1,SUM($AT$15:AT74),"")</f>
        <v/>
      </c>
      <c r="AV74" s="51">
        <f>IF(AT74=1,$AS74/(1+$AR$8/2)^(AU74-1),0)</f>
        <v/>
      </c>
      <c r="AW74" s="51">
        <f>IF(AT74=1,$AS74/(1+($AR$8+0.0001)/2)^(AU74-1),0)</f>
        <v/>
      </c>
      <c r="AX74" s="51">
        <f>IF(AT74=1,$AS74/(1+($AR$8-0.0001)/2)^(AU74-1),0)</f>
        <v/>
      </c>
      <c r="AY74" s="49">
        <f>IF(AND($AS74&gt;0,AR74&gt;$AR$7),1,0)</f>
        <v/>
      </c>
      <c r="AZ74" s="49">
        <f>IF(AY74=1,SUM($AY$15:AY74),"")</f>
        <v/>
      </c>
      <c r="BA74" s="51">
        <f>IF(AY74=1,$AS74/(1+$AR$104/2)^(AZ74-1),0)</f>
        <v/>
      </c>
      <c r="BB74" s="51">
        <f>IF(AY74=1,$AS74/(1+($AR$104+0.0001)/2)^(AZ74-1),0)</f>
        <v/>
      </c>
      <c r="BC74" s="51">
        <f>IF(AY74=1,$AS74/(1+($AR$104-0.0001)/2)^(AZ74-1),0)</f>
        <v/>
      </c>
      <c r="BD74" s="51">
        <f>IF(AY74=1,$AS74/(1+$AR$109/2)^(AZ74-1),0)</f>
        <v/>
      </c>
      <c r="BE74" s="51">
        <f>IF(AY74=1,$AS74/(1+$AR$111/2)^(AZ74-1),0)</f>
        <v/>
      </c>
      <c r="BF74" s="51">
        <f>IF(AY74=1,$AS74/(1+($AR$111+0.0001)/2)^(AZ74-1),0)</f>
        <v/>
      </c>
      <c r="BG74" s="51">
        <f>IF(AY74=1,$AS74/(1+($AR$111-0.0001)/2)^(AZ74-1),0)</f>
        <v/>
      </c>
      <c r="BH74" s="51">
        <f>IF(AND($AS74&gt;0,AR74&gt;$AR$6,AR74&lt;=$AR$7),$AS74*(1+$AR$10*($AR$7-AR74)/365),0)</f>
        <v/>
      </c>
      <c r="BI74" s="51">
        <f>IF(AY74=1,$AS74/(1+($AR$111+손익!$B$24/10000)/2)^(AZ74-1),0)</f>
        <v/>
      </c>
      <c r="BJ74" s="51">
        <f>IF(AY74=1,$AS74/(1+($AR$111+시나리오!$A$4/10000)/2)^(AZ74-1),0)</f>
        <v/>
      </c>
      <c r="BK74" s="51">
        <f>IF(AY74=1,$AS74/(1+($AR$111+시나리오!$A$5/10000)/2)^(AZ74-1),0)</f>
        <v/>
      </c>
      <c r="BL74" s="51">
        <f>IF(AY74=1,$AS74/(1+($AR$111+시나리오!$A$6/10000)/2)^(AZ74-1),0)</f>
        <v/>
      </c>
      <c r="BM74" s="51">
        <f>IF(AY74=1,$AS74/(1+($AR$111+시나리오!$A$7/10000)/2)^(AZ74-1),0)</f>
        <v/>
      </c>
      <c r="BN74" s="51">
        <f>IF(AY74=1,$AS74/(1+($AR$111+시나리오!$A$8/10000)/2)^(AZ74-1),0)</f>
        <v/>
      </c>
      <c r="BO74" s="51">
        <f>IF(AY74=1,$AS74/(1+($AR$111+시나리오!$A$9/10000)/2)^(AZ74-1),0)</f>
        <v/>
      </c>
      <c r="BP74" s="51">
        <f>IF(AY74=1,$AS74/(1+($AR$111+시나리오!$A$10/10000)/2)^(AZ74-1),0)</f>
        <v/>
      </c>
      <c r="BQ74" s="51">
        <f>IF(AY74=1,$AS74/(1+($AR$111+시나리오!$A$11/10000)/2)^(AZ74-1),0)</f>
        <v/>
      </c>
      <c r="BR74" s="51">
        <f>IF(AY74=1,$AS74/(1+($AR$111+시나리오!$A$12/10000)/2)^(AZ74-1),0)</f>
        <v/>
      </c>
      <c r="BS74" s="51">
        <f>IF(AY74=1,$AS74/(1+($AR$111+시나리오!$A$13/10000)/2)^(AZ74-1),0)</f>
        <v/>
      </c>
      <c r="BT74" s="51">
        <f>IF(AY74=1,$AS74/(1+($AR$111+시나리오!$A$14/10000)/2)^(AZ74-1),0)</f>
        <v/>
      </c>
      <c r="BU74" s="51">
        <f>IF(AY74=1,$AS74/(1+($AR$111+시나리오!$A$15/10000)/2)^(AZ74-1),0)</f>
        <v/>
      </c>
      <c r="BV74" s="51">
        <f>IF(AY74=1,$AS74/(1+($AR$111+시나리오!$A$16/10000)/2)^(AZ74-1),0)</f>
        <v/>
      </c>
      <c r="BW74" s="51">
        <f>IF(AY74=1,$AS74/(1+($AR$111+시나리오!$A$17/10000)/2)^(AZ74-1),0)</f>
        <v/>
      </c>
      <c r="BX74" s="51">
        <f>IF(AY74=1,$AS74/(1+($AR$111+시나리오!$A$18/10000)/2)^(AZ74-1),0)</f>
        <v/>
      </c>
      <c r="BY74" s="51">
        <f>IF(AY74=1,$AS74/(1+($AR$111+시나리오!$A$19/10000)/2)^(AZ74-1),0)</f>
        <v/>
      </c>
      <c r="BZ74" s="51">
        <f>IF(AY74=1,$AS74/(1+($AR$111+시나리오!$A$20/10000)/2)^(AZ74-1),0)</f>
        <v/>
      </c>
      <c r="CA74" s="51">
        <f>IF(AY74=1,$AS74/(1+($AR$111+시나리오!$A$21/10000)/2)^(AZ74-1),0)</f>
        <v/>
      </c>
      <c r="CB74" s="51">
        <f>IF(AY74=1,$AS74/(1+($AR$111+시나리오!$A$22/10000)/2)^(AZ74-1),0)</f>
        <v/>
      </c>
      <c r="CC74" s="51">
        <f>IF(AY74=1,$AS74/(1+($AR$111+시나리오!$A$23/10000)/2)^(AZ74-1),0)</f>
        <v/>
      </c>
      <c r="CD74" s="51">
        <f>IF(AY74=1,$AS74/(1+($AR$111+시나리오!$A$24/10000)/2)^(AZ74-1),0)</f>
        <v/>
      </c>
      <c r="CG74" s="49" t="n">
        <v>60</v>
      </c>
      <c r="CH74" s="50">
        <f>EDATE($CH$2,-6*(62-$CG74))</f>
        <v/>
      </c>
      <c r="CI74" s="51">
        <f>IF(AND(CH74&gt;$CH$3,CH74&lt;=$CH$2),IF(CH74=$CH$2,$CH$5+100,$CH$5),0)</f>
        <v/>
      </c>
      <c r="CJ74" s="49">
        <f>IF(AND($CI74&gt;0,CH74&gt;$CH$6),1,0)</f>
        <v/>
      </c>
      <c r="CK74" s="49">
        <f>IF(CJ74=1,SUM($CJ$15:CJ74),"")</f>
        <v/>
      </c>
      <c r="CL74" s="51">
        <f>IF(CJ74=1,$CI74/(1+$CH$8/2)^(CK74-1),0)</f>
        <v/>
      </c>
      <c r="CM74" s="51">
        <f>IF(CJ74=1,$CI74/(1+($CH$8+0.0001)/2)^(CK74-1),0)</f>
        <v/>
      </c>
      <c r="CN74" s="51">
        <f>IF(CJ74=1,$CI74/(1+($CH$8-0.0001)/2)^(CK74-1),0)</f>
        <v/>
      </c>
      <c r="CO74" s="49">
        <f>IF(AND($CI74&gt;0,CH74&gt;$CH$7),1,0)</f>
        <v/>
      </c>
      <c r="CP74" s="49">
        <f>IF(CO74=1,SUM($CO$15:CO74),"")</f>
        <v/>
      </c>
      <c r="CQ74" s="51">
        <f>IF(CO74=1,$CI74/(1+$CH$104/2)^(CP74-1),0)</f>
        <v/>
      </c>
      <c r="CR74" s="51">
        <f>IF(CO74=1,$CI74/(1+($CH$104+0.0001)/2)^(CP74-1),0)</f>
        <v/>
      </c>
      <c r="CS74" s="51">
        <f>IF(CO74=1,$CI74/(1+($CH$104-0.0001)/2)^(CP74-1),0)</f>
        <v/>
      </c>
      <c r="CT74" s="51">
        <f>IF(CO74=1,$CI74/(1+$CH$109/2)^(CP74-1),0)</f>
        <v/>
      </c>
      <c r="CU74" s="51">
        <f>IF(CO74=1,$CI74/(1+$CH$111/2)^(CP74-1),0)</f>
        <v/>
      </c>
      <c r="CV74" s="51">
        <f>IF(CO74=1,$CI74/(1+($CH$111+0.0001)/2)^(CP74-1),0)</f>
        <v/>
      </c>
      <c r="CW74" s="51">
        <f>IF(CO74=1,$CI74/(1+($CH$111-0.0001)/2)^(CP74-1),0)</f>
        <v/>
      </c>
      <c r="CX74" s="51">
        <f>IF(AND($CI74&gt;0,CH74&gt;$CH$6,CH74&lt;=$CH$7),$CI74*(1+$CH$10*($CH$7-CH74)/365),0)</f>
        <v/>
      </c>
      <c r="CY74" s="51">
        <f>IF(CO74=1,$CI74/(1+($CH$111+손익!$B$24/10000)/2)^(CP74-1),0)</f>
        <v/>
      </c>
      <c r="CZ74" s="51">
        <f>IF(CO74=1,$CI74/(1+($CH$111+시나리오!$A$4/10000)/2)^(CP74-1),0)</f>
        <v/>
      </c>
      <c r="DA74" s="51">
        <f>IF(CO74=1,$CI74/(1+($CH$111+시나리오!$A$5/10000)/2)^(CP74-1),0)</f>
        <v/>
      </c>
      <c r="DB74" s="51">
        <f>IF(CO74=1,$CI74/(1+($CH$111+시나리오!$A$6/10000)/2)^(CP74-1),0)</f>
        <v/>
      </c>
      <c r="DC74" s="51">
        <f>IF(CO74=1,$CI74/(1+($CH$111+시나리오!$A$7/10000)/2)^(CP74-1),0)</f>
        <v/>
      </c>
      <c r="DD74" s="51">
        <f>IF(CO74=1,$CI74/(1+($CH$111+시나리오!$A$8/10000)/2)^(CP74-1),0)</f>
        <v/>
      </c>
      <c r="DE74" s="51">
        <f>IF(CO74=1,$CI74/(1+($CH$111+시나리오!$A$9/10000)/2)^(CP74-1),0)</f>
        <v/>
      </c>
      <c r="DF74" s="51">
        <f>IF(CO74=1,$CI74/(1+($CH$111+시나리오!$A$10/10000)/2)^(CP74-1),0)</f>
        <v/>
      </c>
      <c r="DG74" s="51">
        <f>IF(CO74=1,$CI74/(1+($CH$111+시나리오!$A$11/10000)/2)^(CP74-1),0)</f>
        <v/>
      </c>
      <c r="DH74" s="51">
        <f>IF(CO74=1,$CI74/(1+($CH$111+시나리오!$A$12/10000)/2)^(CP74-1),0)</f>
        <v/>
      </c>
      <c r="DI74" s="51">
        <f>IF(CO74=1,$CI74/(1+($CH$111+시나리오!$A$13/10000)/2)^(CP74-1),0)</f>
        <v/>
      </c>
      <c r="DJ74" s="51">
        <f>IF(CO74=1,$CI74/(1+($CH$111+시나리오!$A$14/10000)/2)^(CP74-1),0)</f>
        <v/>
      </c>
      <c r="DK74" s="51">
        <f>IF(CO74=1,$CI74/(1+($CH$111+시나리오!$A$15/10000)/2)^(CP74-1),0)</f>
        <v/>
      </c>
      <c r="DL74" s="51">
        <f>IF(CO74=1,$CI74/(1+($CH$111+시나리오!$A$16/10000)/2)^(CP74-1),0)</f>
        <v/>
      </c>
      <c r="DM74" s="51">
        <f>IF(CO74=1,$CI74/(1+($CH$111+시나리오!$A$17/10000)/2)^(CP74-1),0)</f>
        <v/>
      </c>
      <c r="DN74" s="51">
        <f>IF(CO74=1,$CI74/(1+($CH$111+시나리오!$A$18/10000)/2)^(CP74-1),0)</f>
        <v/>
      </c>
      <c r="DO74" s="51">
        <f>IF(CO74=1,$CI74/(1+($CH$111+시나리오!$A$19/10000)/2)^(CP74-1),0)</f>
        <v/>
      </c>
      <c r="DP74" s="51">
        <f>IF(CO74=1,$CI74/(1+($CH$111+시나리오!$A$20/10000)/2)^(CP74-1),0)</f>
        <v/>
      </c>
      <c r="DQ74" s="51">
        <f>IF(CO74=1,$CI74/(1+($CH$111+시나리오!$A$21/10000)/2)^(CP74-1),0)</f>
        <v/>
      </c>
      <c r="DR74" s="51">
        <f>IF(CO74=1,$CI74/(1+($CH$111+시나리오!$A$22/10000)/2)^(CP74-1),0)</f>
        <v/>
      </c>
      <c r="DS74" s="51">
        <f>IF(CO74=1,$CI74/(1+($CH$111+시나리오!$A$23/10000)/2)^(CP74-1),0)</f>
        <v/>
      </c>
      <c r="DT74" s="51">
        <f>IF(CO74=1,$CI74/(1+($CH$111+시나리오!$A$24/10000)/2)^(CP74-1),0)</f>
        <v/>
      </c>
    </row>
    <row r="75">
      <c r="A75" s="49" t="n">
        <v>61</v>
      </c>
      <c r="B75" s="50">
        <f>EDATE($B$2,-6*(62-$A75))</f>
        <v/>
      </c>
      <c r="C75" s="51">
        <f>IF(AND(B75&gt;$B$3,B75&lt;=$B$2),IF(B75=$B$2,$B$5+100,$B$5),0)</f>
        <v/>
      </c>
      <c r="D75" s="49">
        <f>IF(AND($C75&gt;0,B75&gt;$B$6),1,0)</f>
        <v/>
      </c>
      <c r="E75" s="49">
        <f>IF(D75=1,SUM($D$15:D75),"")</f>
        <v/>
      </c>
      <c r="F75" s="51">
        <f>IF(D75=1,$C75/(1+$B$8/2)^(E75-1),0)</f>
        <v/>
      </c>
      <c r="G75" s="51">
        <f>IF(D75=1,$C75/(1+($B$8+0.0001)/2)^(E75-1),0)</f>
        <v/>
      </c>
      <c r="H75" s="51">
        <f>IF(D75=1,$C75/(1+($B$8-0.0001)/2)^(E75-1),0)</f>
        <v/>
      </c>
      <c r="I75" s="49">
        <f>IF(AND($C75&gt;0,B75&gt;$B$7),1,0)</f>
        <v/>
      </c>
      <c r="J75" s="49">
        <f>IF(I75=1,SUM($I$15:I75),"")</f>
        <v/>
      </c>
      <c r="K75" s="51">
        <f>IF(I75=1,$C75/(1+$B$104/2)^(J75-1),0)</f>
        <v/>
      </c>
      <c r="L75" s="51">
        <f>IF(I75=1,$C75/(1+($B$104+0.0001)/2)^(J75-1),0)</f>
        <v/>
      </c>
      <c r="M75" s="51">
        <f>IF(I75=1,$C75/(1+($B$104-0.0001)/2)^(J75-1),0)</f>
        <v/>
      </c>
      <c r="N75" s="51">
        <f>IF(I75=1,$C75/(1+$B$109/2)^(J75-1),0)</f>
        <v/>
      </c>
      <c r="O75" s="51">
        <f>IF(I75=1,$C75/(1+$B$111/2)^(J75-1),0)</f>
        <v/>
      </c>
      <c r="P75" s="51">
        <f>IF(I75=1,$C75/(1+($B$111+0.0001)/2)^(J75-1),0)</f>
        <v/>
      </c>
      <c r="Q75" s="51">
        <f>IF(I75=1,$C75/(1+($B$111-0.0001)/2)^(J75-1),0)</f>
        <v/>
      </c>
      <c r="R75" s="51">
        <f>IF(AND($C75&gt;0,B75&gt;$B$6,B75&lt;=$B$7),$C75*(1+$B$10*($B$7-B75)/365),0)</f>
        <v/>
      </c>
      <c r="S75" s="51">
        <f>IF(I75=1,$C75/(1+($B$111+손익!$B$24/10000)/2)^(J75-1),0)</f>
        <v/>
      </c>
      <c r="T75" s="51">
        <f>IF(I75=1,$C75/(1+($B$111+시나리오!$A$4/10000)/2)^(J75-1),0)</f>
        <v/>
      </c>
      <c r="U75" s="51">
        <f>IF(I75=1,$C75/(1+($B$111+시나리오!$A$5/10000)/2)^(J75-1),0)</f>
        <v/>
      </c>
      <c r="V75" s="51">
        <f>IF(I75=1,$C75/(1+($B$111+시나리오!$A$6/10000)/2)^(J75-1),0)</f>
        <v/>
      </c>
      <c r="W75" s="51">
        <f>IF(I75=1,$C75/(1+($B$111+시나리오!$A$7/10000)/2)^(J75-1),0)</f>
        <v/>
      </c>
      <c r="X75" s="51">
        <f>IF(I75=1,$C75/(1+($B$111+시나리오!$A$8/10000)/2)^(J75-1),0)</f>
        <v/>
      </c>
      <c r="Y75" s="51">
        <f>IF(I75=1,$C75/(1+($B$111+시나리오!$A$9/10000)/2)^(J75-1),0)</f>
        <v/>
      </c>
      <c r="Z75" s="51">
        <f>IF(I75=1,$C75/(1+($B$111+시나리오!$A$10/10000)/2)^(J75-1),0)</f>
        <v/>
      </c>
      <c r="AA75" s="51">
        <f>IF(I75=1,$C75/(1+($B$111+시나리오!$A$11/10000)/2)^(J75-1),0)</f>
        <v/>
      </c>
      <c r="AB75" s="51">
        <f>IF(I75=1,$C75/(1+($B$111+시나리오!$A$12/10000)/2)^(J75-1),0)</f>
        <v/>
      </c>
      <c r="AC75" s="51">
        <f>IF(I75=1,$C75/(1+($B$111+시나리오!$A$13/10000)/2)^(J75-1),0)</f>
        <v/>
      </c>
      <c r="AD75" s="51">
        <f>IF(I75=1,$C75/(1+($B$111+시나리오!$A$14/10000)/2)^(J75-1),0)</f>
        <v/>
      </c>
      <c r="AE75" s="51">
        <f>IF(I75=1,$C75/(1+($B$111+시나리오!$A$15/10000)/2)^(J75-1),0)</f>
        <v/>
      </c>
      <c r="AF75" s="51">
        <f>IF(I75=1,$C75/(1+($B$111+시나리오!$A$16/10000)/2)^(J75-1),0)</f>
        <v/>
      </c>
      <c r="AG75" s="51">
        <f>IF(I75=1,$C75/(1+($B$111+시나리오!$A$17/10000)/2)^(J75-1),0)</f>
        <v/>
      </c>
      <c r="AH75" s="51">
        <f>IF(I75=1,$C75/(1+($B$111+시나리오!$A$18/10000)/2)^(J75-1),0)</f>
        <v/>
      </c>
      <c r="AI75" s="51">
        <f>IF(I75=1,$C75/(1+($B$111+시나리오!$A$19/10000)/2)^(J75-1),0)</f>
        <v/>
      </c>
      <c r="AJ75" s="51">
        <f>IF(I75=1,$C75/(1+($B$111+시나리오!$A$20/10000)/2)^(J75-1),0)</f>
        <v/>
      </c>
      <c r="AK75" s="51">
        <f>IF(I75=1,$C75/(1+($B$111+시나리오!$A$21/10000)/2)^(J75-1),0)</f>
        <v/>
      </c>
      <c r="AL75" s="51">
        <f>IF(I75=1,$C75/(1+($B$111+시나리오!$A$22/10000)/2)^(J75-1),0)</f>
        <v/>
      </c>
      <c r="AM75" s="51">
        <f>IF(I75=1,$C75/(1+($B$111+시나리오!$A$23/10000)/2)^(J75-1),0)</f>
        <v/>
      </c>
      <c r="AN75" s="51">
        <f>IF(I75=1,$C75/(1+($B$111+시나리오!$A$24/10000)/2)^(J75-1),0)</f>
        <v/>
      </c>
      <c r="AQ75" s="49" t="n">
        <v>61</v>
      </c>
      <c r="AR75" s="50">
        <f>EDATE($AR$2,-6*(62-$AQ75))</f>
        <v/>
      </c>
      <c r="AS75" s="51">
        <f>IF(AND(AR75&gt;$AR$3,AR75&lt;=$AR$2),IF(AR75=$AR$2,$AR$5+100,$AR$5),0)</f>
        <v/>
      </c>
      <c r="AT75" s="49">
        <f>IF(AND($AS75&gt;0,AR75&gt;$AR$6),1,0)</f>
        <v/>
      </c>
      <c r="AU75" s="49">
        <f>IF(AT75=1,SUM($AT$15:AT75),"")</f>
        <v/>
      </c>
      <c r="AV75" s="51">
        <f>IF(AT75=1,$AS75/(1+$AR$8/2)^(AU75-1),0)</f>
        <v/>
      </c>
      <c r="AW75" s="51">
        <f>IF(AT75=1,$AS75/(1+($AR$8+0.0001)/2)^(AU75-1),0)</f>
        <v/>
      </c>
      <c r="AX75" s="51">
        <f>IF(AT75=1,$AS75/(1+($AR$8-0.0001)/2)^(AU75-1),0)</f>
        <v/>
      </c>
      <c r="AY75" s="49">
        <f>IF(AND($AS75&gt;0,AR75&gt;$AR$7),1,0)</f>
        <v/>
      </c>
      <c r="AZ75" s="49">
        <f>IF(AY75=1,SUM($AY$15:AY75),"")</f>
        <v/>
      </c>
      <c r="BA75" s="51">
        <f>IF(AY75=1,$AS75/(1+$AR$104/2)^(AZ75-1),0)</f>
        <v/>
      </c>
      <c r="BB75" s="51">
        <f>IF(AY75=1,$AS75/(1+($AR$104+0.0001)/2)^(AZ75-1),0)</f>
        <v/>
      </c>
      <c r="BC75" s="51">
        <f>IF(AY75=1,$AS75/(1+($AR$104-0.0001)/2)^(AZ75-1),0)</f>
        <v/>
      </c>
      <c r="BD75" s="51">
        <f>IF(AY75=1,$AS75/(1+$AR$109/2)^(AZ75-1),0)</f>
        <v/>
      </c>
      <c r="BE75" s="51">
        <f>IF(AY75=1,$AS75/(1+$AR$111/2)^(AZ75-1),0)</f>
        <v/>
      </c>
      <c r="BF75" s="51">
        <f>IF(AY75=1,$AS75/(1+($AR$111+0.0001)/2)^(AZ75-1),0)</f>
        <v/>
      </c>
      <c r="BG75" s="51">
        <f>IF(AY75=1,$AS75/(1+($AR$111-0.0001)/2)^(AZ75-1),0)</f>
        <v/>
      </c>
      <c r="BH75" s="51">
        <f>IF(AND($AS75&gt;0,AR75&gt;$AR$6,AR75&lt;=$AR$7),$AS75*(1+$AR$10*($AR$7-AR75)/365),0)</f>
        <v/>
      </c>
      <c r="BI75" s="51">
        <f>IF(AY75=1,$AS75/(1+($AR$111+손익!$B$24/10000)/2)^(AZ75-1),0)</f>
        <v/>
      </c>
      <c r="BJ75" s="51">
        <f>IF(AY75=1,$AS75/(1+($AR$111+시나리오!$A$4/10000)/2)^(AZ75-1),0)</f>
        <v/>
      </c>
      <c r="BK75" s="51">
        <f>IF(AY75=1,$AS75/(1+($AR$111+시나리오!$A$5/10000)/2)^(AZ75-1),0)</f>
        <v/>
      </c>
      <c r="BL75" s="51">
        <f>IF(AY75=1,$AS75/(1+($AR$111+시나리오!$A$6/10000)/2)^(AZ75-1),0)</f>
        <v/>
      </c>
      <c r="BM75" s="51">
        <f>IF(AY75=1,$AS75/(1+($AR$111+시나리오!$A$7/10000)/2)^(AZ75-1),0)</f>
        <v/>
      </c>
      <c r="BN75" s="51">
        <f>IF(AY75=1,$AS75/(1+($AR$111+시나리오!$A$8/10000)/2)^(AZ75-1),0)</f>
        <v/>
      </c>
      <c r="BO75" s="51">
        <f>IF(AY75=1,$AS75/(1+($AR$111+시나리오!$A$9/10000)/2)^(AZ75-1),0)</f>
        <v/>
      </c>
      <c r="BP75" s="51">
        <f>IF(AY75=1,$AS75/(1+($AR$111+시나리오!$A$10/10000)/2)^(AZ75-1),0)</f>
        <v/>
      </c>
      <c r="BQ75" s="51">
        <f>IF(AY75=1,$AS75/(1+($AR$111+시나리오!$A$11/10000)/2)^(AZ75-1),0)</f>
        <v/>
      </c>
      <c r="BR75" s="51">
        <f>IF(AY75=1,$AS75/(1+($AR$111+시나리오!$A$12/10000)/2)^(AZ75-1),0)</f>
        <v/>
      </c>
      <c r="BS75" s="51">
        <f>IF(AY75=1,$AS75/(1+($AR$111+시나리오!$A$13/10000)/2)^(AZ75-1),0)</f>
        <v/>
      </c>
      <c r="BT75" s="51">
        <f>IF(AY75=1,$AS75/(1+($AR$111+시나리오!$A$14/10000)/2)^(AZ75-1),0)</f>
        <v/>
      </c>
      <c r="BU75" s="51">
        <f>IF(AY75=1,$AS75/(1+($AR$111+시나리오!$A$15/10000)/2)^(AZ75-1),0)</f>
        <v/>
      </c>
      <c r="BV75" s="51">
        <f>IF(AY75=1,$AS75/(1+($AR$111+시나리오!$A$16/10000)/2)^(AZ75-1),0)</f>
        <v/>
      </c>
      <c r="BW75" s="51">
        <f>IF(AY75=1,$AS75/(1+($AR$111+시나리오!$A$17/10000)/2)^(AZ75-1),0)</f>
        <v/>
      </c>
      <c r="BX75" s="51">
        <f>IF(AY75=1,$AS75/(1+($AR$111+시나리오!$A$18/10000)/2)^(AZ75-1),0)</f>
        <v/>
      </c>
      <c r="BY75" s="51">
        <f>IF(AY75=1,$AS75/(1+($AR$111+시나리오!$A$19/10000)/2)^(AZ75-1),0)</f>
        <v/>
      </c>
      <c r="BZ75" s="51">
        <f>IF(AY75=1,$AS75/(1+($AR$111+시나리오!$A$20/10000)/2)^(AZ75-1),0)</f>
        <v/>
      </c>
      <c r="CA75" s="51">
        <f>IF(AY75=1,$AS75/(1+($AR$111+시나리오!$A$21/10000)/2)^(AZ75-1),0)</f>
        <v/>
      </c>
      <c r="CB75" s="51">
        <f>IF(AY75=1,$AS75/(1+($AR$111+시나리오!$A$22/10000)/2)^(AZ75-1),0)</f>
        <v/>
      </c>
      <c r="CC75" s="51">
        <f>IF(AY75=1,$AS75/(1+($AR$111+시나리오!$A$23/10000)/2)^(AZ75-1),0)</f>
        <v/>
      </c>
      <c r="CD75" s="51">
        <f>IF(AY75=1,$AS75/(1+($AR$111+시나리오!$A$24/10000)/2)^(AZ75-1),0)</f>
        <v/>
      </c>
      <c r="CG75" s="49" t="n">
        <v>61</v>
      </c>
      <c r="CH75" s="50">
        <f>EDATE($CH$2,-6*(62-$CG75))</f>
        <v/>
      </c>
      <c r="CI75" s="51">
        <f>IF(AND(CH75&gt;$CH$3,CH75&lt;=$CH$2),IF(CH75=$CH$2,$CH$5+100,$CH$5),0)</f>
        <v/>
      </c>
      <c r="CJ75" s="49">
        <f>IF(AND($CI75&gt;0,CH75&gt;$CH$6),1,0)</f>
        <v/>
      </c>
      <c r="CK75" s="49">
        <f>IF(CJ75=1,SUM($CJ$15:CJ75),"")</f>
        <v/>
      </c>
      <c r="CL75" s="51">
        <f>IF(CJ75=1,$CI75/(1+$CH$8/2)^(CK75-1),0)</f>
        <v/>
      </c>
      <c r="CM75" s="51">
        <f>IF(CJ75=1,$CI75/(1+($CH$8+0.0001)/2)^(CK75-1),0)</f>
        <v/>
      </c>
      <c r="CN75" s="51">
        <f>IF(CJ75=1,$CI75/(1+($CH$8-0.0001)/2)^(CK75-1),0)</f>
        <v/>
      </c>
      <c r="CO75" s="49">
        <f>IF(AND($CI75&gt;0,CH75&gt;$CH$7),1,0)</f>
        <v/>
      </c>
      <c r="CP75" s="49">
        <f>IF(CO75=1,SUM($CO$15:CO75),"")</f>
        <v/>
      </c>
      <c r="CQ75" s="51">
        <f>IF(CO75=1,$CI75/(1+$CH$104/2)^(CP75-1),0)</f>
        <v/>
      </c>
      <c r="CR75" s="51">
        <f>IF(CO75=1,$CI75/(1+($CH$104+0.0001)/2)^(CP75-1),0)</f>
        <v/>
      </c>
      <c r="CS75" s="51">
        <f>IF(CO75=1,$CI75/(1+($CH$104-0.0001)/2)^(CP75-1),0)</f>
        <v/>
      </c>
      <c r="CT75" s="51">
        <f>IF(CO75=1,$CI75/(1+$CH$109/2)^(CP75-1),0)</f>
        <v/>
      </c>
      <c r="CU75" s="51">
        <f>IF(CO75=1,$CI75/(1+$CH$111/2)^(CP75-1),0)</f>
        <v/>
      </c>
      <c r="CV75" s="51">
        <f>IF(CO75=1,$CI75/(1+($CH$111+0.0001)/2)^(CP75-1),0)</f>
        <v/>
      </c>
      <c r="CW75" s="51">
        <f>IF(CO75=1,$CI75/(1+($CH$111-0.0001)/2)^(CP75-1),0)</f>
        <v/>
      </c>
      <c r="CX75" s="51">
        <f>IF(AND($CI75&gt;0,CH75&gt;$CH$6,CH75&lt;=$CH$7),$CI75*(1+$CH$10*($CH$7-CH75)/365),0)</f>
        <v/>
      </c>
      <c r="CY75" s="51">
        <f>IF(CO75=1,$CI75/(1+($CH$111+손익!$B$24/10000)/2)^(CP75-1),0)</f>
        <v/>
      </c>
      <c r="CZ75" s="51">
        <f>IF(CO75=1,$CI75/(1+($CH$111+시나리오!$A$4/10000)/2)^(CP75-1),0)</f>
        <v/>
      </c>
      <c r="DA75" s="51">
        <f>IF(CO75=1,$CI75/(1+($CH$111+시나리오!$A$5/10000)/2)^(CP75-1),0)</f>
        <v/>
      </c>
      <c r="DB75" s="51">
        <f>IF(CO75=1,$CI75/(1+($CH$111+시나리오!$A$6/10000)/2)^(CP75-1),0)</f>
        <v/>
      </c>
      <c r="DC75" s="51">
        <f>IF(CO75=1,$CI75/(1+($CH$111+시나리오!$A$7/10000)/2)^(CP75-1),0)</f>
        <v/>
      </c>
      <c r="DD75" s="51">
        <f>IF(CO75=1,$CI75/(1+($CH$111+시나리오!$A$8/10000)/2)^(CP75-1),0)</f>
        <v/>
      </c>
      <c r="DE75" s="51">
        <f>IF(CO75=1,$CI75/(1+($CH$111+시나리오!$A$9/10000)/2)^(CP75-1),0)</f>
        <v/>
      </c>
      <c r="DF75" s="51">
        <f>IF(CO75=1,$CI75/(1+($CH$111+시나리오!$A$10/10000)/2)^(CP75-1),0)</f>
        <v/>
      </c>
      <c r="DG75" s="51">
        <f>IF(CO75=1,$CI75/(1+($CH$111+시나리오!$A$11/10000)/2)^(CP75-1),0)</f>
        <v/>
      </c>
      <c r="DH75" s="51">
        <f>IF(CO75=1,$CI75/(1+($CH$111+시나리오!$A$12/10000)/2)^(CP75-1),0)</f>
        <v/>
      </c>
      <c r="DI75" s="51">
        <f>IF(CO75=1,$CI75/(1+($CH$111+시나리오!$A$13/10000)/2)^(CP75-1),0)</f>
        <v/>
      </c>
      <c r="DJ75" s="51">
        <f>IF(CO75=1,$CI75/(1+($CH$111+시나리오!$A$14/10000)/2)^(CP75-1),0)</f>
        <v/>
      </c>
      <c r="DK75" s="51">
        <f>IF(CO75=1,$CI75/(1+($CH$111+시나리오!$A$15/10000)/2)^(CP75-1),0)</f>
        <v/>
      </c>
      <c r="DL75" s="51">
        <f>IF(CO75=1,$CI75/(1+($CH$111+시나리오!$A$16/10000)/2)^(CP75-1),0)</f>
        <v/>
      </c>
      <c r="DM75" s="51">
        <f>IF(CO75=1,$CI75/(1+($CH$111+시나리오!$A$17/10000)/2)^(CP75-1),0)</f>
        <v/>
      </c>
      <c r="DN75" s="51">
        <f>IF(CO75=1,$CI75/(1+($CH$111+시나리오!$A$18/10000)/2)^(CP75-1),0)</f>
        <v/>
      </c>
      <c r="DO75" s="51">
        <f>IF(CO75=1,$CI75/(1+($CH$111+시나리오!$A$19/10000)/2)^(CP75-1),0)</f>
        <v/>
      </c>
      <c r="DP75" s="51">
        <f>IF(CO75=1,$CI75/(1+($CH$111+시나리오!$A$20/10000)/2)^(CP75-1),0)</f>
        <v/>
      </c>
      <c r="DQ75" s="51">
        <f>IF(CO75=1,$CI75/(1+($CH$111+시나리오!$A$21/10000)/2)^(CP75-1),0)</f>
        <v/>
      </c>
      <c r="DR75" s="51">
        <f>IF(CO75=1,$CI75/(1+($CH$111+시나리오!$A$22/10000)/2)^(CP75-1),0)</f>
        <v/>
      </c>
      <c r="DS75" s="51">
        <f>IF(CO75=1,$CI75/(1+($CH$111+시나리오!$A$23/10000)/2)^(CP75-1),0)</f>
        <v/>
      </c>
      <c r="DT75" s="51">
        <f>IF(CO75=1,$CI75/(1+($CH$111+시나리오!$A$24/10000)/2)^(CP75-1),0)</f>
        <v/>
      </c>
    </row>
    <row r="76">
      <c r="A76" s="49" t="n">
        <v>62</v>
      </c>
      <c r="B76" s="50">
        <f>EDATE($B$2,-6*(62-$A76))</f>
        <v/>
      </c>
      <c r="C76" s="51">
        <f>IF(AND(B76&gt;$B$3,B76&lt;=$B$2),IF(B76=$B$2,$B$5+100,$B$5),0)</f>
        <v/>
      </c>
      <c r="D76" s="49">
        <f>IF(AND($C76&gt;0,B76&gt;$B$6),1,0)</f>
        <v/>
      </c>
      <c r="E76" s="49">
        <f>IF(D76=1,SUM($D$15:D76),"")</f>
        <v/>
      </c>
      <c r="F76" s="51">
        <f>IF(D76=1,$C76/(1+$B$8/2)^(E76-1),0)</f>
        <v/>
      </c>
      <c r="G76" s="51">
        <f>IF(D76=1,$C76/(1+($B$8+0.0001)/2)^(E76-1),0)</f>
        <v/>
      </c>
      <c r="H76" s="51">
        <f>IF(D76=1,$C76/(1+($B$8-0.0001)/2)^(E76-1),0)</f>
        <v/>
      </c>
      <c r="I76" s="49">
        <f>IF(AND($C76&gt;0,B76&gt;$B$7),1,0)</f>
        <v/>
      </c>
      <c r="J76" s="49">
        <f>IF(I76=1,SUM($I$15:I76),"")</f>
        <v/>
      </c>
      <c r="K76" s="51">
        <f>IF(I76=1,$C76/(1+$B$104/2)^(J76-1),0)</f>
        <v/>
      </c>
      <c r="L76" s="51">
        <f>IF(I76=1,$C76/(1+($B$104+0.0001)/2)^(J76-1),0)</f>
        <v/>
      </c>
      <c r="M76" s="51">
        <f>IF(I76=1,$C76/(1+($B$104-0.0001)/2)^(J76-1),0)</f>
        <v/>
      </c>
      <c r="N76" s="51">
        <f>IF(I76=1,$C76/(1+$B$109/2)^(J76-1),0)</f>
        <v/>
      </c>
      <c r="O76" s="51">
        <f>IF(I76=1,$C76/(1+$B$111/2)^(J76-1),0)</f>
        <v/>
      </c>
      <c r="P76" s="51">
        <f>IF(I76=1,$C76/(1+($B$111+0.0001)/2)^(J76-1),0)</f>
        <v/>
      </c>
      <c r="Q76" s="51">
        <f>IF(I76=1,$C76/(1+($B$111-0.0001)/2)^(J76-1),0)</f>
        <v/>
      </c>
      <c r="R76" s="51">
        <f>IF(AND($C76&gt;0,B76&gt;$B$6,B76&lt;=$B$7),$C76*(1+$B$10*($B$7-B76)/365),0)</f>
        <v/>
      </c>
      <c r="S76" s="51">
        <f>IF(I76=1,$C76/(1+($B$111+손익!$B$24/10000)/2)^(J76-1),0)</f>
        <v/>
      </c>
      <c r="T76" s="51">
        <f>IF(I76=1,$C76/(1+($B$111+시나리오!$A$4/10000)/2)^(J76-1),0)</f>
        <v/>
      </c>
      <c r="U76" s="51">
        <f>IF(I76=1,$C76/(1+($B$111+시나리오!$A$5/10000)/2)^(J76-1),0)</f>
        <v/>
      </c>
      <c r="V76" s="51">
        <f>IF(I76=1,$C76/(1+($B$111+시나리오!$A$6/10000)/2)^(J76-1),0)</f>
        <v/>
      </c>
      <c r="W76" s="51">
        <f>IF(I76=1,$C76/(1+($B$111+시나리오!$A$7/10000)/2)^(J76-1),0)</f>
        <v/>
      </c>
      <c r="X76" s="51">
        <f>IF(I76=1,$C76/(1+($B$111+시나리오!$A$8/10000)/2)^(J76-1),0)</f>
        <v/>
      </c>
      <c r="Y76" s="51">
        <f>IF(I76=1,$C76/(1+($B$111+시나리오!$A$9/10000)/2)^(J76-1),0)</f>
        <v/>
      </c>
      <c r="Z76" s="51">
        <f>IF(I76=1,$C76/(1+($B$111+시나리오!$A$10/10000)/2)^(J76-1),0)</f>
        <v/>
      </c>
      <c r="AA76" s="51">
        <f>IF(I76=1,$C76/(1+($B$111+시나리오!$A$11/10000)/2)^(J76-1),0)</f>
        <v/>
      </c>
      <c r="AB76" s="51">
        <f>IF(I76=1,$C76/(1+($B$111+시나리오!$A$12/10000)/2)^(J76-1),0)</f>
        <v/>
      </c>
      <c r="AC76" s="51">
        <f>IF(I76=1,$C76/(1+($B$111+시나리오!$A$13/10000)/2)^(J76-1),0)</f>
        <v/>
      </c>
      <c r="AD76" s="51">
        <f>IF(I76=1,$C76/(1+($B$111+시나리오!$A$14/10000)/2)^(J76-1),0)</f>
        <v/>
      </c>
      <c r="AE76" s="51">
        <f>IF(I76=1,$C76/(1+($B$111+시나리오!$A$15/10000)/2)^(J76-1),0)</f>
        <v/>
      </c>
      <c r="AF76" s="51">
        <f>IF(I76=1,$C76/(1+($B$111+시나리오!$A$16/10000)/2)^(J76-1),0)</f>
        <v/>
      </c>
      <c r="AG76" s="51">
        <f>IF(I76=1,$C76/(1+($B$111+시나리오!$A$17/10000)/2)^(J76-1),0)</f>
        <v/>
      </c>
      <c r="AH76" s="51">
        <f>IF(I76=1,$C76/(1+($B$111+시나리오!$A$18/10000)/2)^(J76-1),0)</f>
        <v/>
      </c>
      <c r="AI76" s="51">
        <f>IF(I76=1,$C76/(1+($B$111+시나리오!$A$19/10000)/2)^(J76-1),0)</f>
        <v/>
      </c>
      <c r="AJ76" s="51">
        <f>IF(I76=1,$C76/(1+($B$111+시나리오!$A$20/10000)/2)^(J76-1),0)</f>
        <v/>
      </c>
      <c r="AK76" s="51">
        <f>IF(I76=1,$C76/(1+($B$111+시나리오!$A$21/10000)/2)^(J76-1),0)</f>
        <v/>
      </c>
      <c r="AL76" s="51">
        <f>IF(I76=1,$C76/(1+($B$111+시나리오!$A$22/10000)/2)^(J76-1),0)</f>
        <v/>
      </c>
      <c r="AM76" s="51">
        <f>IF(I76=1,$C76/(1+($B$111+시나리오!$A$23/10000)/2)^(J76-1),0)</f>
        <v/>
      </c>
      <c r="AN76" s="51">
        <f>IF(I76=1,$C76/(1+($B$111+시나리오!$A$24/10000)/2)^(J76-1),0)</f>
        <v/>
      </c>
      <c r="AQ76" s="49" t="n">
        <v>62</v>
      </c>
      <c r="AR76" s="50">
        <f>EDATE($AR$2,-6*(62-$AQ76))</f>
        <v/>
      </c>
      <c r="AS76" s="51">
        <f>IF(AND(AR76&gt;$AR$3,AR76&lt;=$AR$2),IF(AR76=$AR$2,$AR$5+100,$AR$5),0)</f>
        <v/>
      </c>
      <c r="AT76" s="49">
        <f>IF(AND($AS76&gt;0,AR76&gt;$AR$6),1,0)</f>
        <v/>
      </c>
      <c r="AU76" s="49">
        <f>IF(AT76=1,SUM($AT$15:AT76),"")</f>
        <v/>
      </c>
      <c r="AV76" s="51">
        <f>IF(AT76=1,$AS76/(1+$AR$8/2)^(AU76-1),0)</f>
        <v/>
      </c>
      <c r="AW76" s="51">
        <f>IF(AT76=1,$AS76/(1+($AR$8+0.0001)/2)^(AU76-1),0)</f>
        <v/>
      </c>
      <c r="AX76" s="51">
        <f>IF(AT76=1,$AS76/(1+($AR$8-0.0001)/2)^(AU76-1),0)</f>
        <v/>
      </c>
      <c r="AY76" s="49">
        <f>IF(AND($AS76&gt;0,AR76&gt;$AR$7),1,0)</f>
        <v/>
      </c>
      <c r="AZ76" s="49">
        <f>IF(AY76=1,SUM($AY$15:AY76),"")</f>
        <v/>
      </c>
      <c r="BA76" s="51">
        <f>IF(AY76=1,$AS76/(1+$AR$104/2)^(AZ76-1),0)</f>
        <v/>
      </c>
      <c r="BB76" s="51">
        <f>IF(AY76=1,$AS76/(1+($AR$104+0.0001)/2)^(AZ76-1),0)</f>
        <v/>
      </c>
      <c r="BC76" s="51">
        <f>IF(AY76=1,$AS76/(1+($AR$104-0.0001)/2)^(AZ76-1),0)</f>
        <v/>
      </c>
      <c r="BD76" s="51">
        <f>IF(AY76=1,$AS76/(1+$AR$109/2)^(AZ76-1),0)</f>
        <v/>
      </c>
      <c r="BE76" s="51">
        <f>IF(AY76=1,$AS76/(1+$AR$111/2)^(AZ76-1),0)</f>
        <v/>
      </c>
      <c r="BF76" s="51">
        <f>IF(AY76=1,$AS76/(1+($AR$111+0.0001)/2)^(AZ76-1),0)</f>
        <v/>
      </c>
      <c r="BG76" s="51">
        <f>IF(AY76=1,$AS76/(1+($AR$111-0.0001)/2)^(AZ76-1),0)</f>
        <v/>
      </c>
      <c r="BH76" s="51">
        <f>IF(AND($AS76&gt;0,AR76&gt;$AR$6,AR76&lt;=$AR$7),$AS76*(1+$AR$10*($AR$7-AR76)/365),0)</f>
        <v/>
      </c>
      <c r="BI76" s="51">
        <f>IF(AY76=1,$AS76/(1+($AR$111+손익!$B$24/10000)/2)^(AZ76-1),0)</f>
        <v/>
      </c>
      <c r="BJ76" s="51">
        <f>IF(AY76=1,$AS76/(1+($AR$111+시나리오!$A$4/10000)/2)^(AZ76-1),0)</f>
        <v/>
      </c>
      <c r="BK76" s="51">
        <f>IF(AY76=1,$AS76/(1+($AR$111+시나리오!$A$5/10000)/2)^(AZ76-1),0)</f>
        <v/>
      </c>
      <c r="BL76" s="51">
        <f>IF(AY76=1,$AS76/(1+($AR$111+시나리오!$A$6/10000)/2)^(AZ76-1),0)</f>
        <v/>
      </c>
      <c r="BM76" s="51">
        <f>IF(AY76=1,$AS76/(1+($AR$111+시나리오!$A$7/10000)/2)^(AZ76-1),0)</f>
        <v/>
      </c>
      <c r="BN76" s="51">
        <f>IF(AY76=1,$AS76/(1+($AR$111+시나리오!$A$8/10000)/2)^(AZ76-1),0)</f>
        <v/>
      </c>
      <c r="BO76" s="51">
        <f>IF(AY76=1,$AS76/(1+($AR$111+시나리오!$A$9/10000)/2)^(AZ76-1),0)</f>
        <v/>
      </c>
      <c r="BP76" s="51">
        <f>IF(AY76=1,$AS76/(1+($AR$111+시나리오!$A$10/10000)/2)^(AZ76-1),0)</f>
        <v/>
      </c>
      <c r="BQ76" s="51">
        <f>IF(AY76=1,$AS76/(1+($AR$111+시나리오!$A$11/10000)/2)^(AZ76-1),0)</f>
        <v/>
      </c>
      <c r="BR76" s="51">
        <f>IF(AY76=1,$AS76/(1+($AR$111+시나리오!$A$12/10000)/2)^(AZ76-1),0)</f>
        <v/>
      </c>
      <c r="BS76" s="51">
        <f>IF(AY76=1,$AS76/(1+($AR$111+시나리오!$A$13/10000)/2)^(AZ76-1),0)</f>
        <v/>
      </c>
      <c r="BT76" s="51">
        <f>IF(AY76=1,$AS76/(1+($AR$111+시나리오!$A$14/10000)/2)^(AZ76-1),0)</f>
        <v/>
      </c>
      <c r="BU76" s="51">
        <f>IF(AY76=1,$AS76/(1+($AR$111+시나리오!$A$15/10000)/2)^(AZ76-1),0)</f>
        <v/>
      </c>
      <c r="BV76" s="51">
        <f>IF(AY76=1,$AS76/(1+($AR$111+시나리오!$A$16/10000)/2)^(AZ76-1),0)</f>
        <v/>
      </c>
      <c r="BW76" s="51">
        <f>IF(AY76=1,$AS76/(1+($AR$111+시나리오!$A$17/10000)/2)^(AZ76-1),0)</f>
        <v/>
      </c>
      <c r="BX76" s="51">
        <f>IF(AY76=1,$AS76/(1+($AR$111+시나리오!$A$18/10000)/2)^(AZ76-1),0)</f>
        <v/>
      </c>
      <c r="BY76" s="51">
        <f>IF(AY76=1,$AS76/(1+($AR$111+시나리오!$A$19/10000)/2)^(AZ76-1),0)</f>
        <v/>
      </c>
      <c r="BZ76" s="51">
        <f>IF(AY76=1,$AS76/(1+($AR$111+시나리오!$A$20/10000)/2)^(AZ76-1),0)</f>
        <v/>
      </c>
      <c r="CA76" s="51">
        <f>IF(AY76=1,$AS76/(1+($AR$111+시나리오!$A$21/10000)/2)^(AZ76-1),0)</f>
        <v/>
      </c>
      <c r="CB76" s="51">
        <f>IF(AY76=1,$AS76/(1+($AR$111+시나리오!$A$22/10000)/2)^(AZ76-1),0)</f>
        <v/>
      </c>
      <c r="CC76" s="51">
        <f>IF(AY76=1,$AS76/(1+($AR$111+시나리오!$A$23/10000)/2)^(AZ76-1),0)</f>
        <v/>
      </c>
      <c r="CD76" s="51">
        <f>IF(AY76=1,$AS76/(1+($AR$111+시나리오!$A$24/10000)/2)^(AZ76-1),0)</f>
        <v/>
      </c>
      <c r="CG76" s="49" t="n">
        <v>62</v>
      </c>
      <c r="CH76" s="50">
        <f>EDATE($CH$2,-6*(62-$CG76))</f>
        <v/>
      </c>
      <c r="CI76" s="51">
        <f>IF(AND(CH76&gt;$CH$3,CH76&lt;=$CH$2),IF(CH76=$CH$2,$CH$5+100,$CH$5),0)</f>
        <v/>
      </c>
      <c r="CJ76" s="49">
        <f>IF(AND($CI76&gt;0,CH76&gt;$CH$6),1,0)</f>
        <v/>
      </c>
      <c r="CK76" s="49">
        <f>IF(CJ76=1,SUM($CJ$15:CJ76),"")</f>
        <v/>
      </c>
      <c r="CL76" s="51">
        <f>IF(CJ76=1,$CI76/(1+$CH$8/2)^(CK76-1),0)</f>
        <v/>
      </c>
      <c r="CM76" s="51">
        <f>IF(CJ76=1,$CI76/(1+($CH$8+0.0001)/2)^(CK76-1),0)</f>
        <v/>
      </c>
      <c r="CN76" s="51">
        <f>IF(CJ76=1,$CI76/(1+($CH$8-0.0001)/2)^(CK76-1),0)</f>
        <v/>
      </c>
      <c r="CO76" s="49">
        <f>IF(AND($CI76&gt;0,CH76&gt;$CH$7),1,0)</f>
        <v/>
      </c>
      <c r="CP76" s="49">
        <f>IF(CO76=1,SUM($CO$15:CO76),"")</f>
        <v/>
      </c>
      <c r="CQ76" s="51">
        <f>IF(CO76=1,$CI76/(1+$CH$104/2)^(CP76-1),0)</f>
        <v/>
      </c>
      <c r="CR76" s="51">
        <f>IF(CO76=1,$CI76/(1+($CH$104+0.0001)/2)^(CP76-1),0)</f>
        <v/>
      </c>
      <c r="CS76" s="51">
        <f>IF(CO76=1,$CI76/(1+($CH$104-0.0001)/2)^(CP76-1),0)</f>
        <v/>
      </c>
      <c r="CT76" s="51">
        <f>IF(CO76=1,$CI76/(1+$CH$109/2)^(CP76-1),0)</f>
        <v/>
      </c>
      <c r="CU76" s="51">
        <f>IF(CO76=1,$CI76/(1+$CH$111/2)^(CP76-1),0)</f>
        <v/>
      </c>
      <c r="CV76" s="51">
        <f>IF(CO76=1,$CI76/(1+($CH$111+0.0001)/2)^(CP76-1),0)</f>
        <v/>
      </c>
      <c r="CW76" s="51">
        <f>IF(CO76=1,$CI76/(1+($CH$111-0.0001)/2)^(CP76-1),0)</f>
        <v/>
      </c>
      <c r="CX76" s="51">
        <f>IF(AND($CI76&gt;0,CH76&gt;$CH$6,CH76&lt;=$CH$7),$CI76*(1+$CH$10*($CH$7-CH76)/365),0)</f>
        <v/>
      </c>
      <c r="CY76" s="51">
        <f>IF(CO76=1,$CI76/(1+($CH$111+손익!$B$24/10000)/2)^(CP76-1),0)</f>
        <v/>
      </c>
      <c r="CZ76" s="51">
        <f>IF(CO76=1,$CI76/(1+($CH$111+시나리오!$A$4/10000)/2)^(CP76-1),0)</f>
        <v/>
      </c>
      <c r="DA76" s="51">
        <f>IF(CO76=1,$CI76/(1+($CH$111+시나리오!$A$5/10000)/2)^(CP76-1),0)</f>
        <v/>
      </c>
      <c r="DB76" s="51">
        <f>IF(CO76=1,$CI76/(1+($CH$111+시나리오!$A$6/10000)/2)^(CP76-1),0)</f>
        <v/>
      </c>
      <c r="DC76" s="51">
        <f>IF(CO76=1,$CI76/(1+($CH$111+시나리오!$A$7/10000)/2)^(CP76-1),0)</f>
        <v/>
      </c>
      <c r="DD76" s="51">
        <f>IF(CO76=1,$CI76/(1+($CH$111+시나리오!$A$8/10000)/2)^(CP76-1),0)</f>
        <v/>
      </c>
      <c r="DE76" s="51">
        <f>IF(CO76=1,$CI76/(1+($CH$111+시나리오!$A$9/10000)/2)^(CP76-1),0)</f>
        <v/>
      </c>
      <c r="DF76" s="51">
        <f>IF(CO76=1,$CI76/(1+($CH$111+시나리오!$A$10/10000)/2)^(CP76-1),0)</f>
        <v/>
      </c>
      <c r="DG76" s="51">
        <f>IF(CO76=1,$CI76/(1+($CH$111+시나리오!$A$11/10000)/2)^(CP76-1),0)</f>
        <v/>
      </c>
      <c r="DH76" s="51">
        <f>IF(CO76=1,$CI76/(1+($CH$111+시나리오!$A$12/10000)/2)^(CP76-1),0)</f>
        <v/>
      </c>
      <c r="DI76" s="51">
        <f>IF(CO76=1,$CI76/(1+($CH$111+시나리오!$A$13/10000)/2)^(CP76-1),0)</f>
        <v/>
      </c>
      <c r="DJ76" s="51">
        <f>IF(CO76=1,$CI76/(1+($CH$111+시나리오!$A$14/10000)/2)^(CP76-1),0)</f>
        <v/>
      </c>
      <c r="DK76" s="51">
        <f>IF(CO76=1,$CI76/(1+($CH$111+시나리오!$A$15/10000)/2)^(CP76-1),0)</f>
        <v/>
      </c>
      <c r="DL76" s="51">
        <f>IF(CO76=1,$CI76/(1+($CH$111+시나리오!$A$16/10000)/2)^(CP76-1),0)</f>
        <v/>
      </c>
      <c r="DM76" s="51">
        <f>IF(CO76=1,$CI76/(1+($CH$111+시나리오!$A$17/10000)/2)^(CP76-1),0)</f>
        <v/>
      </c>
      <c r="DN76" s="51">
        <f>IF(CO76=1,$CI76/(1+($CH$111+시나리오!$A$18/10000)/2)^(CP76-1),0)</f>
        <v/>
      </c>
      <c r="DO76" s="51">
        <f>IF(CO76=1,$CI76/(1+($CH$111+시나리오!$A$19/10000)/2)^(CP76-1),0)</f>
        <v/>
      </c>
      <c r="DP76" s="51">
        <f>IF(CO76=1,$CI76/(1+($CH$111+시나리오!$A$20/10000)/2)^(CP76-1),0)</f>
        <v/>
      </c>
      <c r="DQ76" s="51">
        <f>IF(CO76=1,$CI76/(1+($CH$111+시나리오!$A$21/10000)/2)^(CP76-1),0)</f>
        <v/>
      </c>
      <c r="DR76" s="51">
        <f>IF(CO76=1,$CI76/(1+($CH$111+시나리오!$A$22/10000)/2)^(CP76-1),0)</f>
        <v/>
      </c>
      <c r="DS76" s="51">
        <f>IF(CO76=1,$CI76/(1+($CH$111+시나리오!$A$23/10000)/2)^(CP76-1),0)</f>
        <v/>
      </c>
      <c r="DT76" s="51">
        <f>IF(CO76=1,$CI76/(1+($CH$111+시나리오!$A$24/10000)/2)^(CP76-1),0)</f>
        <v/>
      </c>
    </row>
    <row r="78">
      <c r="A78" s="40" t="inlineStr">
        <is>
          <t>── 현물 평가 (S0) ──</t>
        </is>
      </c>
      <c r="AQ78" s="40" t="inlineStr">
        <is>
          <t>── 현물 평가 (S0) ──</t>
        </is>
      </c>
      <c r="CG78" s="40" t="inlineStr">
        <is>
          <t>── 현물 평가 (S0) ──</t>
        </is>
      </c>
    </row>
    <row r="79">
      <c r="A79" s="4" t="inlineStr">
        <is>
          <t>잔존 이표 횟수 n</t>
        </is>
      </c>
      <c r="B79" s="15">
        <f>SUM(D15:D76)</f>
        <v/>
      </c>
      <c r="AQ79" s="4" t="inlineStr">
        <is>
          <t>잔존 이표 횟수 n</t>
        </is>
      </c>
      <c r="AR79" s="15">
        <f>SUM(AT15:AT76)</f>
        <v/>
      </c>
      <c r="CG79" s="4" t="inlineStr">
        <is>
          <t>잔존 이표 횟수 n</t>
        </is>
      </c>
      <c r="CH79" s="15">
        <f>SUM(CJ15:CJ76)</f>
        <v/>
      </c>
    </row>
    <row r="80">
      <c r="A80" s="4" t="inlineStr">
        <is>
          <t>다음 이표일</t>
        </is>
      </c>
      <c r="B80" s="19">
        <f>INDEX(B15:B76,MATCH(1,D15:D76,0))</f>
        <v/>
      </c>
      <c r="AQ80" s="4" t="inlineStr">
        <is>
          <t>다음 이표일</t>
        </is>
      </c>
      <c r="AR80" s="19">
        <f>INDEX(AR15:AR76,MATCH(1,AT15:AT76,0))</f>
        <v/>
      </c>
      <c r="CG80" s="4" t="inlineStr">
        <is>
          <t>다음 이표일</t>
        </is>
      </c>
      <c r="CH80" s="19">
        <f>INDEX(CH15:CH76,MATCH(1,CJ15:CJ76,0))</f>
        <v/>
      </c>
    </row>
    <row r="81">
      <c r="A81" s="4" t="inlineStr">
        <is>
          <t>직전 이표일</t>
        </is>
      </c>
      <c r="B81" s="19">
        <f>EDATE(B80,-6)</f>
        <v/>
      </c>
      <c r="AQ81" s="4" t="inlineStr">
        <is>
          <t>직전 이표일</t>
        </is>
      </c>
      <c r="AR81" s="19">
        <f>EDATE(AR80,-6)</f>
        <v/>
      </c>
      <c r="CG81" s="4" t="inlineStr">
        <is>
          <t>직전 이표일</t>
        </is>
      </c>
      <c r="CH81" s="19">
        <f>EDATE(CH80,-6)</f>
        <v/>
      </c>
    </row>
    <row r="82">
      <c r="A82" s="4" t="inlineStr">
        <is>
          <t>d (S0→다음이표일)</t>
        </is>
      </c>
      <c r="B82" s="15">
        <f>B80-B6</f>
        <v/>
      </c>
      <c r="AQ82" s="4" t="inlineStr">
        <is>
          <t>d (S0→다음이표일)</t>
        </is>
      </c>
      <c r="AR82" s="15">
        <f>AR80-AR6</f>
        <v/>
      </c>
      <c r="CG82" s="4" t="inlineStr">
        <is>
          <t>d (S0→다음이표일)</t>
        </is>
      </c>
      <c r="CH82" s="15">
        <f>CH80-CH6</f>
        <v/>
      </c>
    </row>
    <row r="83">
      <c r="A83" s="4" t="inlineStr">
        <is>
          <t>T (이표기간 일수)</t>
        </is>
      </c>
      <c r="B83" s="15">
        <f>B80-B81</f>
        <v/>
      </c>
      <c r="AQ83" s="4" t="inlineStr">
        <is>
          <t>T (이표기간 일수)</t>
        </is>
      </c>
      <c r="AR83" s="15">
        <f>AR80-AR81</f>
        <v/>
      </c>
      <c r="CG83" s="4" t="inlineStr">
        <is>
          <t>T (이표기간 일수)</t>
        </is>
      </c>
      <c r="CH83" s="15">
        <f>CH80-CH81</f>
        <v/>
      </c>
    </row>
    <row r="84">
      <c r="A84" s="4" t="inlineStr">
        <is>
          <t>단수기간 할인계수</t>
        </is>
      </c>
      <c r="B84" s="25">
        <f>1+B8/2*B82/B83</f>
        <v/>
      </c>
      <c r="AQ84" s="4" t="inlineStr">
        <is>
          <t>단수기간 할인계수</t>
        </is>
      </c>
      <c r="AR84" s="25">
        <f>1+AR8/2*AR82/AR83</f>
        <v/>
      </c>
      <c r="CG84" s="4" t="inlineStr">
        <is>
          <t>단수기간 할인계수</t>
        </is>
      </c>
      <c r="CH84" s="25">
        <f>1+CH8/2*CH82/CH83</f>
        <v/>
      </c>
    </row>
    <row r="85">
      <c r="A85" s="4" t="inlineStr">
        <is>
          <t>단가(더티) P0</t>
        </is>
      </c>
      <c r="B85" s="25">
        <f>SUM(F15:F76)/B84</f>
        <v/>
      </c>
      <c r="AQ85" s="4" t="inlineStr">
        <is>
          <t>단가(더티) P0</t>
        </is>
      </c>
      <c r="AR85" s="25">
        <f>SUM(AV15:AV76)/AR84</f>
        <v/>
      </c>
      <c r="CG85" s="4" t="inlineStr">
        <is>
          <t>단가(더티) P0</t>
        </is>
      </c>
      <c r="CH85" s="25">
        <f>SUM(CL15:CL76)/CH84</f>
        <v/>
      </c>
    </row>
    <row r="86">
      <c r="A86" s="4" t="inlineStr">
        <is>
          <t>P0 @ y+1bp</t>
        </is>
      </c>
      <c r="B86" s="25">
        <f>SUM(G15:G76)/(1+(B8+0.0001)/2*B82/B83)</f>
        <v/>
      </c>
      <c r="AQ86" s="4" t="inlineStr">
        <is>
          <t>P0 @ y+1bp</t>
        </is>
      </c>
      <c r="AR86" s="25">
        <f>SUM(AW15:AW76)/(1+(AR8+0.0001)/2*AR82/AR83)</f>
        <v/>
      </c>
      <c r="CG86" s="4" t="inlineStr">
        <is>
          <t>P0 @ y+1bp</t>
        </is>
      </c>
      <c r="CH86" s="25">
        <f>SUM(CM15:CM76)/(1+(CH8+0.0001)/2*CH82/CH83)</f>
        <v/>
      </c>
    </row>
    <row r="87">
      <c r="A87" s="4" t="inlineStr">
        <is>
          <t>P0 @ y-1bp</t>
        </is>
      </c>
      <c r="B87" s="25">
        <f>SUM(H15:H76)/(1+(B8-0.0001)/2*B82/B83)</f>
        <v/>
      </c>
      <c r="AQ87" s="4" t="inlineStr">
        <is>
          <t>P0 @ y-1bp</t>
        </is>
      </c>
      <c r="AR87" s="25">
        <f>SUM(AX15:AX76)/(1+(AR8-0.0001)/2*AR82/AR83)</f>
        <v/>
      </c>
      <c r="CG87" s="4" t="inlineStr">
        <is>
          <t>P0 @ y-1bp</t>
        </is>
      </c>
      <c r="CH87" s="25">
        <f>SUM(CN15:CN76)/(1+(CH8-0.0001)/2*CH82/CH83)</f>
        <v/>
      </c>
    </row>
    <row r="88">
      <c r="A88" s="4" t="inlineStr">
        <is>
          <t>BPV (포인트/1bp)</t>
        </is>
      </c>
      <c r="B88" s="25">
        <f>(B87-B86)/2</f>
        <v/>
      </c>
      <c r="AQ88" s="4" t="inlineStr">
        <is>
          <t>BPV (포인트/1bp)</t>
        </is>
      </c>
      <c r="AR88" s="25">
        <f>(AR87-AR86)/2</f>
        <v/>
      </c>
      <c r="CG88" s="4" t="inlineStr">
        <is>
          <t>BPV (포인트/1bp)</t>
        </is>
      </c>
      <c r="CH88" s="25">
        <f>(CH87-CH86)/2</f>
        <v/>
      </c>
    </row>
    <row r="89">
      <c r="A89" s="4" t="inlineStr">
        <is>
          <t>수정듀레이션(년)</t>
        </is>
      </c>
      <c r="B89" s="9">
        <f>B88*10000/B85</f>
        <v/>
      </c>
      <c r="AQ89" s="4" t="inlineStr">
        <is>
          <t>수정듀레이션(년)</t>
        </is>
      </c>
      <c r="AR89" s="9">
        <f>AR88*10000/AR85</f>
        <v/>
      </c>
      <c r="CG89" s="4" t="inlineStr">
        <is>
          <t>수정듀레이션(년)</t>
        </is>
      </c>
      <c r="CH89" s="9">
        <f>CH88*10000/CH85</f>
        <v/>
      </c>
    </row>
    <row r="90">
      <c r="A90" s="4" t="inlineStr">
        <is>
          <t>경과일수(참고)</t>
        </is>
      </c>
      <c r="B90" s="15">
        <f>B6-B81</f>
        <v/>
      </c>
      <c r="AQ90" s="4" t="inlineStr">
        <is>
          <t>경과일수(참고)</t>
        </is>
      </c>
      <c r="AR90" s="15">
        <f>AR6-AR81</f>
        <v/>
      </c>
      <c r="CG90" s="4" t="inlineStr">
        <is>
          <t>경과일수(참고)</t>
        </is>
      </c>
      <c r="CH90" s="15">
        <f>CH6-CH81</f>
        <v/>
      </c>
    </row>
    <row r="91">
      <c r="A91" s="4" t="inlineStr">
        <is>
          <t>경과이자(참고)</t>
        </is>
      </c>
      <c r="B91" s="25">
        <f>B4*100*B90/365</f>
        <v/>
      </c>
      <c r="AQ91" s="4" t="inlineStr">
        <is>
          <t>경과이자(참고)</t>
        </is>
      </c>
      <c r="AR91" s="25">
        <f>AR4*100*AR90/365</f>
        <v/>
      </c>
      <c r="CG91" s="4" t="inlineStr">
        <is>
          <t>경과이자(참고)</t>
        </is>
      </c>
      <c r="CH91" s="25">
        <f>CH4*100*CH90/365</f>
        <v/>
      </c>
    </row>
    <row r="92">
      <c r="A92" s="4" t="inlineStr">
        <is>
          <t>클린가(참고)</t>
        </is>
      </c>
      <c r="B92" s="25">
        <f>B85-B91</f>
        <v/>
      </c>
      <c r="AQ92" s="4" t="inlineStr">
        <is>
          <t>클린가(참고)</t>
        </is>
      </c>
      <c r="AR92" s="25">
        <f>AR85-AR91</f>
        <v/>
      </c>
      <c r="CG92" s="4" t="inlineStr">
        <is>
          <t>클린가(참고)</t>
        </is>
      </c>
      <c r="CH92" s="25">
        <f>CH85-CH91</f>
        <v/>
      </c>
    </row>
    <row r="94">
      <c r="A94" s="40" t="inlineStr">
        <is>
          <t>── 선도 평가 (H) ──</t>
        </is>
      </c>
      <c r="AQ94" s="40" t="inlineStr">
        <is>
          <t>── 선도 평가 (H) ──</t>
        </is>
      </c>
      <c r="CG94" s="40" t="inlineStr">
        <is>
          <t>── 선도 평가 (H) ──</t>
        </is>
      </c>
    </row>
    <row r="95">
      <c r="A95" s="4" t="inlineStr">
        <is>
          <t>선도 잔존 이표횟수</t>
        </is>
      </c>
      <c r="B95" s="15">
        <f>SUM(I15:I76)</f>
        <v/>
      </c>
      <c r="AQ95" s="4" t="inlineStr">
        <is>
          <t>선도 잔존 이표횟수</t>
        </is>
      </c>
      <c r="AR95" s="15">
        <f>SUM(AY15:AY76)</f>
        <v/>
      </c>
      <c r="CG95" s="4" t="inlineStr">
        <is>
          <t>선도 잔존 이표횟수</t>
        </is>
      </c>
      <c r="CH95" s="15">
        <f>SUM(CO15:CO76)</f>
        <v/>
      </c>
    </row>
    <row r="96">
      <c r="A96" s="4" t="inlineStr">
        <is>
          <t>H 이후 다음 이표일</t>
        </is>
      </c>
      <c r="B96" s="19">
        <f>INDEX(B15:B76,MATCH(1,I15:I76,0))</f>
        <v/>
      </c>
      <c r="AQ96" s="4" t="inlineStr">
        <is>
          <t>H 이후 다음 이표일</t>
        </is>
      </c>
      <c r="AR96" s="19">
        <f>INDEX(AR15:AR76,MATCH(1,AY15:AY76,0))</f>
        <v/>
      </c>
      <c r="CG96" s="4" t="inlineStr">
        <is>
          <t>H 이후 다음 이표일</t>
        </is>
      </c>
      <c r="CH96" s="19">
        <f>INDEX(CH15:CH76,MATCH(1,CO15:CO76,0))</f>
        <v/>
      </c>
    </row>
    <row r="97">
      <c r="A97" s="4" t="inlineStr">
        <is>
          <t>그 직전 이표일</t>
        </is>
      </c>
      <c r="B97" s="19">
        <f>EDATE(B96,-6)</f>
        <v/>
      </c>
      <c r="AQ97" s="4" t="inlineStr">
        <is>
          <t>그 직전 이표일</t>
        </is>
      </c>
      <c r="AR97" s="19">
        <f>EDATE(AR96,-6)</f>
        <v/>
      </c>
      <c r="CG97" s="4" t="inlineStr">
        <is>
          <t>그 직전 이표일</t>
        </is>
      </c>
      <c r="CH97" s="19">
        <f>EDATE(CH96,-6)</f>
        <v/>
      </c>
    </row>
    <row r="98">
      <c r="A98" s="4" t="inlineStr">
        <is>
          <t>d_H</t>
        </is>
      </c>
      <c r="B98" s="15">
        <f>B96-B7</f>
        <v/>
      </c>
      <c r="AQ98" s="4" t="inlineStr">
        <is>
          <t>d_H</t>
        </is>
      </c>
      <c r="AR98" s="15">
        <f>AR96-AR7</f>
        <v/>
      </c>
      <c r="CG98" s="4" t="inlineStr">
        <is>
          <t>d_H</t>
        </is>
      </c>
      <c r="CH98" s="15">
        <f>CH96-CH7</f>
        <v/>
      </c>
    </row>
    <row r="99">
      <c r="A99" s="4" t="inlineStr">
        <is>
          <t>T_H</t>
        </is>
      </c>
      <c r="B99" s="15">
        <f>B96-B97</f>
        <v/>
      </c>
      <c r="AQ99" s="4" t="inlineStr">
        <is>
          <t>T_H</t>
        </is>
      </c>
      <c r="AR99" s="15">
        <f>AR96-AR97</f>
        <v/>
      </c>
      <c r="CG99" s="4" t="inlineStr">
        <is>
          <t>T_H</t>
        </is>
      </c>
      <c r="CH99" s="15">
        <f>CH96-CH97</f>
        <v/>
      </c>
    </row>
    <row r="100">
      <c r="A100" s="4" t="inlineStr">
        <is>
          <t>기간중 쿠폰 재투자FV</t>
        </is>
      </c>
      <c r="B100" s="25">
        <f>SUM(R15:R76)</f>
        <v/>
      </c>
      <c r="AQ100" s="4" t="inlineStr">
        <is>
          <t>기간중 쿠폰 재투자FV</t>
        </is>
      </c>
      <c r="AR100" s="25">
        <f>SUM(BH15:BH76)</f>
        <v/>
      </c>
      <c r="CG100" s="4" t="inlineStr">
        <is>
          <t>기간중 쿠폰 재투자FV</t>
        </is>
      </c>
      <c r="CH100" s="25">
        <f>SUM(CX15:CX76)</f>
        <v/>
      </c>
    </row>
    <row r="101">
      <c r="A101" s="4" t="inlineStr">
        <is>
          <t>조달일수 (S0→H)</t>
        </is>
      </c>
      <c r="B101" s="15">
        <f>B7-B6</f>
        <v/>
      </c>
      <c r="AQ101" s="4" t="inlineStr">
        <is>
          <t>조달일수 (S0→H)</t>
        </is>
      </c>
      <c r="AR101" s="15">
        <f>AR7-AR6</f>
        <v/>
      </c>
      <c r="CG101" s="4" t="inlineStr">
        <is>
          <t>조달일수 (S0→H)</t>
        </is>
      </c>
      <c r="CH101" s="15">
        <f>CH7-CH6</f>
        <v/>
      </c>
    </row>
    <row r="102">
      <c r="A102" s="4" t="inlineStr">
        <is>
          <t>조달이자</t>
        </is>
      </c>
      <c r="B102" s="25">
        <f>B85*B9*B101/365</f>
        <v/>
      </c>
      <c r="AQ102" s="4" t="inlineStr">
        <is>
          <t>조달이자</t>
        </is>
      </c>
      <c r="AR102" s="25">
        <f>AR85*AR9*AR101/365</f>
        <v/>
      </c>
      <c r="CG102" s="4" t="inlineStr">
        <is>
          <t>조달이자</t>
        </is>
      </c>
      <c r="CH102" s="25">
        <f>CH85*CH9*CH101/365</f>
        <v/>
      </c>
    </row>
    <row r="103">
      <c r="A103" s="4" t="inlineStr">
        <is>
          <t>선도 목표단가(더티)</t>
        </is>
      </c>
      <c r="B103" s="25">
        <f>B85+B102-B100</f>
        <v/>
      </c>
      <c r="AQ103" s="4" t="inlineStr">
        <is>
          <t>선도 목표단가(더티)</t>
        </is>
      </c>
      <c r="AR103" s="25">
        <f>AR85+AR102-AR100</f>
        <v/>
      </c>
      <c r="CG103" s="4" t="inlineStr">
        <is>
          <t>선도 목표단가(더티)</t>
        </is>
      </c>
      <c r="CH103" s="25">
        <f>CH85+CH102-CH100</f>
        <v/>
      </c>
    </row>
    <row r="104">
      <c r="A104" s="4" t="inlineStr">
        <is>
          <t>y0 (초기추정)</t>
        </is>
      </c>
      <c r="B104" s="35">
        <f>B8</f>
        <v/>
      </c>
      <c r="AQ104" s="4" t="inlineStr">
        <is>
          <t>y0 (초기추정)</t>
        </is>
      </c>
      <c r="AR104" s="35">
        <f>AR8</f>
        <v/>
      </c>
      <c r="CG104" s="4" t="inlineStr">
        <is>
          <t>y0 (초기추정)</t>
        </is>
      </c>
      <c r="CH104" s="35">
        <f>CH8</f>
        <v/>
      </c>
    </row>
    <row r="105">
      <c r="A105" s="4" t="inlineStr">
        <is>
          <t>P_H(y0)</t>
        </is>
      </c>
      <c r="B105" s="25">
        <f>SUM(K15:K76)/(1+B104/2*B98/B99)</f>
        <v/>
      </c>
      <c r="AQ105" s="4" t="inlineStr">
        <is>
          <t>P_H(y0)</t>
        </is>
      </c>
      <c r="AR105" s="25">
        <f>SUM(BA15:BA76)/(1+AR104/2*AR98/AR99)</f>
        <v/>
      </c>
      <c r="CG105" s="4" t="inlineStr">
        <is>
          <t>P_H(y0)</t>
        </is>
      </c>
      <c r="CH105" s="25">
        <f>SUM(CQ15:CQ76)/(1+CH104/2*CH98/CH99)</f>
        <v/>
      </c>
    </row>
    <row r="106">
      <c r="A106" s="4" t="inlineStr">
        <is>
          <t>P_H(y0+1bp)</t>
        </is>
      </c>
      <c r="B106" s="25">
        <f>SUM(L15:L76)/(1+(B104+0.0001)/2*B98/B99)</f>
        <v/>
      </c>
      <c r="AQ106" s="4" t="inlineStr">
        <is>
          <t>P_H(y0+1bp)</t>
        </is>
      </c>
      <c r="AR106" s="25">
        <f>SUM(BB15:BB76)/(1+(AR104+0.0001)/2*AR98/AR99)</f>
        <v/>
      </c>
      <c r="CG106" s="4" t="inlineStr">
        <is>
          <t>P_H(y0+1bp)</t>
        </is>
      </c>
      <c r="CH106" s="25">
        <f>SUM(CR15:CR76)/(1+(CH104+0.0001)/2*CH98/CH99)</f>
        <v/>
      </c>
    </row>
    <row r="107">
      <c r="A107" s="4" t="inlineStr">
        <is>
          <t>P_H(y0-1bp)</t>
        </is>
      </c>
      <c r="B107" s="25">
        <f>SUM(M15:M76)/(1+(B104-0.0001)/2*B98/B99)</f>
        <v/>
      </c>
      <c r="AQ107" s="4" t="inlineStr">
        <is>
          <t>P_H(y0-1bp)</t>
        </is>
      </c>
      <c r="AR107" s="25">
        <f>SUM(BC15:BC76)/(1+(AR104-0.0001)/2*AR98/AR99)</f>
        <v/>
      </c>
      <c r="CG107" s="4" t="inlineStr">
        <is>
          <t>P_H(y0-1bp)</t>
        </is>
      </c>
      <c r="CH107" s="25">
        <f>SUM(CS15:CS76)/(1+(CH104-0.0001)/2*CH98/CH99)</f>
        <v/>
      </c>
    </row>
    <row r="108">
      <c r="A108" s="4" t="inlineStr">
        <is>
          <t>|dP/dy| (기울기)</t>
        </is>
      </c>
      <c r="B108" s="25">
        <f>(B107-B106)/0.0002</f>
        <v/>
      </c>
      <c r="AQ108" s="4" t="inlineStr">
        <is>
          <t>|dP/dy| (기울기)</t>
        </is>
      </c>
      <c r="AR108" s="25">
        <f>(AR107-AR106)/0.0002</f>
        <v/>
      </c>
      <c r="CG108" s="4" t="inlineStr">
        <is>
          <t>|dP/dy| (기울기)</t>
        </is>
      </c>
      <c r="CH108" s="25">
        <f>(CH107-CH106)/0.0002</f>
        <v/>
      </c>
    </row>
    <row r="109">
      <c r="A109" s="4" t="inlineStr">
        <is>
          <t>y1 (뉴턴 1회)</t>
        </is>
      </c>
      <c r="B109" s="35">
        <f>B104+(B105-B103)/B108</f>
        <v/>
      </c>
      <c r="AQ109" s="4" t="inlineStr">
        <is>
          <t>y1 (뉴턴 1회)</t>
        </is>
      </c>
      <c r="AR109" s="35">
        <f>AR104+(AR105-AR103)/AR108</f>
        <v/>
      </c>
      <c r="CG109" s="4" t="inlineStr">
        <is>
          <t>y1 (뉴턴 1회)</t>
        </is>
      </c>
      <c r="CH109" s="35">
        <f>CH104+(CH105-CH103)/CH108</f>
        <v/>
      </c>
    </row>
    <row r="110">
      <c r="A110" s="4" t="inlineStr">
        <is>
          <t>P_H(y1)</t>
        </is>
      </c>
      <c r="B110" s="25">
        <f>SUM(N15:N76)/(1+B109/2*B98/B99)</f>
        <v/>
      </c>
      <c r="AQ110" s="4" t="inlineStr">
        <is>
          <t>P_H(y1)</t>
        </is>
      </c>
      <c r="AR110" s="25">
        <f>SUM(BD15:BD76)/(1+AR109/2*AR98/AR99)</f>
        <v/>
      </c>
      <c r="CG110" s="4" t="inlineStr">
        <is>
          <t>P_H(y1)</t>
        </is>
      </c>
      <c r="CH110" s="25">
        <f>SUM(CT15:CT76)/(1+CH109/2*CH98/CH99)</f>
        <v/>
      </c>
    </row>
    <row r="111">
      <c r="A111" s="4" t="inlineStr">
        <is>
          <t>y2 (뉴턴 2회) ▶ 선도수익률</t>
        </is>
      </c>
      <c r="B111" s="35">
        <f>B109+(B110-B103)/B108</f>
        <v/>
      </c>
      <c r="AQ111" s="4" t="inlineStr">
        <is>
          <t>y2 (뉴턴 2회) ▶ 선도수익률</t>
        </is>
      </c>
      <c r="AR111" s="35">
        <f>AR109+(AR110-AR103)/AR108</f>
        <v/>
      </c>
      <c r="CG111" s="4" t="inlineStr">
        <is>
          <t>y2 (뉴턴 2회) ▶ 선도수익률</t>
        </is>
      </c>
      <c r="CH111" s="35">
        <f>CH109+(CH110-CH103)/CH108</f>
        <v/>
      </c>
    </row>
    <row r="112">
      <c r="A112" s="4" t="inlineStr">
        <is>
          <t>P_H(y2)</t>
        </is>
      </c>
      <c r="B112" s="25">
        <f>SUM(O15:O76)/(1+B111/2*B98/B99)</f>
        <v/>
      </c>
      <c r="AQ112" s="4" t="inlineStr">
        <is>
          <t>P_H(y2)</t>
        </is>
      </c>
      <c r="AR112" s="25">
        <f>SUM(BE15:BE76)/(1+AR111/2*AR98/AR99)</f>
        <v/>
      </c>
      <c r="CG112" s="4" t="inlineStr">
        <is>
          <t>P_H(y2)</t>
        </is>
      </c>
      <c r="CH112" s="25">
        <f>SUM(CU15:CU76)/(1+CH111/2*CH98/CH99)</f>
        <v/>
      </c>
    </row>
    <row r="113">
      <c r="A113" s="4" t="inlineStr">
        <is>
          <t>수렴 잔차</t>
        </is>
      </c>
      <c r="B113" s="30">
        <f>B112-B103</f>
        <v/>
      </c>
      <c r="AQ113" s="4" t="inlineStr">
        <is>
          <t>수렴 잔차</t>
        </is>
      </c>
      <c r="AR113" s="30">
        <f>AR112-AR103</f>
        <v/>
      </c>
      <c r="CG113" s="4" t="inlineStr">
        <is>
          <t>수렴 잔차</t>
        </is>
      </c>
      <c r="CH113" s="30">
        <f>CH112-CH103</f>
        <v/>
      </c>
    </row>
    <row r="114">
      <c r="A114" s="4" t="inlineStr">
        <is>
          <t>P_H(y2+1bp)</t>
        </is>
      </c>
      <c r="B114" s="25">
        <f>SUM(P15:P76)/(1+(B111+0.0001)/2*B98/B99)</f>
        <v/>
      </c>
      <c r="AQ114" s="4" t="inlineStr">
        <is>
          <t>P_H(y2+1bp)</t>
        </is>
      </c>
      <c r="AR114" s="25">
        <f>SUM(BF15:BF76)/(1+(AR111+0.0001)/2*AR98/AR99)</f>
        <v/>
      </c>
      <c r="CG114" s="4" t="inlineStr">
        <is>
          <t>P_H(y2+1bp)</t>
        </is>
      </c>
      <c r="CH114" s="25">
        <f>SUM(CV15:CV76)/(1+(CH111+0.0001)/2*CH98/CH99)</f>
        <v/>
      </c>
    </row>
    <row r="115">
      <c r="A115" s="4" t="inlineStr">
        <is>
          <t>P_H(y2-1bp)</t>
        </is>
      </c>
      <c r="B115" s="25">
        <f>SUM(Q15:Q76)/(1+(B111-0.0001)/2*B98/B99)</f>
        <v/>
      </c>
      <c r="AQ115" s="4" t="inlineStr">
        <is>
          <t>P_H(y2-1bp)</t>
        </is>
      </c>
      <c r="AR115" s="25">
        <f>SUM(BG15:BG76)/(1+(AR111-0.0001)/2*AR98/AR99)</f>
        <v/>
      </c>
      <c r="CG115" s="4" t="inlineStr">
        <is>
          <t>P_H(y2-1bp)</t>
        </is>
      </c>
      <c r="CH115" s="25">
        <f>SUM(CW15:CW76)/(1+(CH111-0.0001)/2*CH98/CH99)</f>
        <v/>
      </c>
    </row>
    <row r="116">
      <c r="A116" s="4" t="inlineStr">
        <is>
          <t>선도 BPV (포인트/1bp)</t>
        </is>
      </c>
      <c r="B116" s="25">
        <f>(B115-B114)/2</f>
        <v/>
      </c>
      <c r="AQ116" s="4" t="inlineStr">
        <is>
          <t>선도 BPV (포인트/1bp)</t>
        </is>
      </c>
      <c r="AR116" s="25">
        <f>(AR115-AR114)/2</f>
        <v/>
      </c>
      <c r="CG116" s="4" t="inlineStr">
        <is>
          <t>선도 BPV (포인트/1bp)</t>
        </is>
      </c>
      <c r="CH116" s="25">
        <f>(CH115-CH114)/2</f>
        <v/>
      </c>
    </row>
    <row r="117">
      <c r="A117" s="4" t="inlineStr">
        <is>
          <t>선도 2차미분 P''</t>
        </is>
      </c>
      <c r="B117" s="31">
        <f>(B114-2*B112+B115)/(0.0001^2)</f>
        <v/>
      </c>
      <c r="AQ117" s="4" t="inlineStr">
        <is>
          <t>선도 2차미분 P''</t>
        </is>
      </c>
      <c r="AR117" s="31">
        <f>(AR114-2*AR112+AR115)/(0.0001^2)</f>
        <v/>
      </c>
      <c r="CG117" s="4" t="inlineStr">
        <is>
          <t>선도 2차미분 P''</t>
        </is>
      </c>
      <c r="CH117" s="31">
        <f>(CH114-2*CH112+CH115)/(0.0001^2)</f>
        <v/>
      </c>
    </row>
    <row r="118">
      <c r="A118" s="4" t="inlineStr">
        <is>
          <t>선도 잔존만기(년)</t>
        </is>
      </c>
      <c r="B118" s="9">
        <f>(B2-B7)/365</f>
        <v/>
      </c>
      <c r="AQ118" s="4" t="inlineStr">
        <is>
          <t>선도 잔존만기(년)</t>
        </is>
      </c>
      <c r="AR118" s="9">
        <f>(AR2-AR7)/365</f>
        <v/>
      </c>
      <c r="CG118" s="4" t="inlineStr">
        <is>
          <t>선도 잔존만기(년)</t>
        </is>
      </c>
      <c r="CH118" s="9">
        <f>(CH2-CH7)/365</f>
        <v/>
      </c>
    </row>
    <row r="120">
      <c r="A120" s="40" t="inlineStr">
        <is>
          <t>── 정밀 재평가 (근사 없음) ──</t>
        </is>
      </c>
      <c r="AQ120" s="40" t="inlineStr">
        <is>
          <t>── 정밀 재평가 (근사 없음) ──</t>
        </is>
      </c>
      <c r="CG120" s="40" t="inlineStr">
        <is>
          <t>── 정밀 재평가 (근사 없음) ──</t>
        </is>
      </c>
    </row>
    <row r="121">
      <c r="A121" s="4" t="inlineStr">
        <is>
          <t>P_H @ y2+손익shift</t>
        </is>
      </c>
      <c r="B121" s="25">
        <f>SUM(S15:S76)/(1+(B111+손익!$B$24/10000)/2*B98/B99)</f>
        <v/>
      </c>
      <c r="AQ121" s="4" t="inlineStr">
        <is>
          <t>P_H @ y2+손익shift</t>
        </is>
      </c>
      <c r="AR121" s="25">
        <f>SUM(BI15:BI76)/(1+(AR111+손익!$B$24/10000)/2*AR98/AR99)</f>
        <v/>
      </c>
      <c r="CG121" s="4" t="inlineStr">
        <is>
          <t>P_H @ y2+손익shift</t>
        </is>
      </c>
      <c r="CH121" s="25">
        <f>SUM(CY15:CY76)/(1+(CH111+손익!$B$24/10000)/2*CH98/CH99)</f>
        <v/>
      </c>
    </row>
    <row r="123">
      <c r="A123" s="4" t="inlineStr">
        <is>
          <t>P_H @ y2+시나리오1</t>
        </is>
      </c>
      <c r="B123" s="25">
        <f>SUM(T15:T76)/(1+(B111+시나리오!$A$4/10000)/2*B98/B99)</f>
        <v/>
      </c>
      <c r="AQ123" s="4" t="inlineStr">
        <is>
          <t>P_H @ y2+시나리오1</t>
        </is>
      </c>
      <c r="AR123" s="25">
        <f>SUM(BJ15:BJ76)/(1+(AR111+시나리오!$A$4/10000)/2*AR98/AR99)</f>
        <v/>
      </c>
      <c r="CG123" s="4" t="inlineStr">
        <is>
          <t>P_H @ y2+시나리오1</t>
        </is>
      </c>
      <c r="CH123" s="25">
        <f>SUM(CZ15:CZ76)/(1+(CH111+시나리오!$A$4/10000)/2*CH98/CH99)</f>
        <v/>
      </c>
    </row>
    <row r="124">
      <c r="A124" s="4" t="inlineStr">
        <is>
          <t>P_H @ y2+시나리오2</t>
        </is>
      </c>
      <c r="B124" s="25">
        <f>SUM(U15:U76)/(1+(B111+시나리오!$A$5/10000)/2*B98/B99)</f>
        <v/>
      </c>
      <c r="AQ124" s="4" t="inlineStr">
        <is>
          <t>P_H @ y2+시나리오2</t>
        </is>
      </c>
      <c r="AR124" s="25">
        <f>SUM(BK15:BK76)/(1+(AR111+시나리오!$A$5/10000)/2*AR98/AR99)</f>
        <v/>
      </c>
      <c r="CG124" s="4" t="inlineStr">
        <is>
          <t>P_H @ y2+시나리오2</t>
        </is>
      </c>
      <c r="CH124" s="25">
        <f>SUM(DA15:DA76)/(1+(CH111+시나리오!$A$5/10000)/2*CH98/CH99)</f>
        <v/>
      </c>
    </row>
    <row r="125">
      <c r="A125" s="4" t="inlineStr">
        <is>
          <t>P_H @ y2+시나리오3</t>
        </is>
      </c>
      <c r="B125" s="25">
        <f>SUM(V15:V76)/(1+(B111+시나리오!$A$6/10000)/2*B98/B99)</f>
        <v/>
      </c>
      <c r="AQ125" s="4" t="inlineStr">
        <is>
          <t>P_H @ y2+시나리오3</t>
        </is>
      </c>
      <c r="AR125" s="25">
        <f>SUM(BL15:BL76)/(1+(AR111+시나리오!$A$6/10000)/2*AR98/AR99)</f>
        <v/>
      </c>
      <c r="CG125" s="4" t="inlineStr">
        <is>
          <t>P_H @ y2+시나리오3</t>
        </is>
      </c>
      <c r="CH125" s="25">
        <f>SUM(DB15:DB76)/(1+(CH111+시나리오!$A$6/10000)/2*CH98/CH99)</f>
        <v/>
      </c>
    </row>
    <row r="126">
      <c r="A126" s="4" t="inlineStr">
        <is>
          <t>P_H @ y2+시나리오4</t>
        </is>
      </c>
      <c r="B126" s="25">
        <f>SUM(W15:W76)/(1+(B111+시나리오!$A$7/10000)/2*B98/B99)</f>
        <v/>
      </c>
      <c r="AQ126" s="4" t="inlineStr">
        <is>
          <t>P_H @ y2+시나리오4</t>
        </is>
      </c>
      <c r="AR126" s="25">
        <f>SUM(BM15:BM76)/(1+(AR111+시나리오!$A$7/10000)/2*AR98/AR99)</f>
        <v/>
      </c>
      <c r="CG126" s="4" t="inlineStr">
        <is>
          <t>P_H @ y2+시나리오4</t>
        </is>
      </c>
      <c r="CH126" s="25">
        <f>SUM(DC15:DC76)/(1+(CH111+시나리오!$A$7/10000)/2*CH98/CH99)</f>
        <v/>
      </c>
    </row>
    <row r="127">
      <c r="A127" s="4" t="inlineStr">
        <is>
          <t>P_H @ y2+시나리오5</t>
        </is>
      </c>
      <c r="B127" s="25">
        <f>SUM(X15:X76)/(1+(B111+시나리오!$A$8/10000)/2*B98/B99)</f>
        <v/>
      </c>
      <c r="AQ127" s="4" t="inlineStr">
        <is>
          <t>P_H @ y2+시나리오5</t>
        </is>
      </c>
      <c r="AR127" s="25">
        <f>SUM(BN15:BN76)/(1+(AR111+시나리오!$A$8/10000)/2*AR98/AR99)</f>
        <v/>
      </c>
      <c r="CG127" s="4" t="inlineStr">
        <is>
          <t>P_H @ y2+시나리오5</t>
        </is>
      </c>
      <c r="CH127" s="25">
        <f>SUM(DD15:DD76)/(1+(CH111+시나리오!$A$8/10000)/2*CH98/CH99)</f>
        <v/>
      </c>
    </row>
    <row r="128">
      <c r="A128" s="4" t="inlineStr">
        <is>
          <t>P_H @ y2+시나리오6</t>
        </is>
      </c>
      <c r="B128" s="25">
        <f>SUM(Y15:Y76)/(1+(B111+시나리오!$A$9/10000)/2*B98/B99)</f>
        <v/>
      </c>
      <c r="AQ128" s="4" t="inlineStr">
        <is>
          <t>P_H @ y2+시나리오6</t>
        </is>
      </c>
      <c r="AR128" s="25">
        <f>SUM(BO15:BO76)/(1+(AR111+시나리오!$A$9/10000)/2*AR98/AR99)</f>
        <v/>
      </c>
      <c r="CG128" s="4" t="inlineStr">
        <is>
          <t>P_H @ y2+시나리오6</t>
        </is>
      </c>
      <c r="CH128" s="25">
        <f>SUM(DE15:DE76)/(1+(CH111+시나리오!$A$9/10000)/2*CH98/CH99)</f>
        <v/>
      </c>
    </row>
    <row r="129">
      <c r="A129" s="4" t="inlineStr">
        <is>
          <t>P_H @ y2+시나리오7</t>
        </is>
      </c>
      <c r="B129" s="25">
        <f>SUM(Z15:Z76)/(1+(B111+시나리오!$A$10/10000)/2*B98/B99)</f>
        <v/>
      </c>
      <c r="AQ129" s="4" t="inlineStr">
        <is>
          <t>P_H @ y2+시나리오7</t>
        </is>
      </c>
      <c r="AR129" s="25">
        <f>SUM(BP15:BP76)/(1+(AR111+시나리오!$A$10/10000)/2*AR98/AR99)</f>
        <v/>
      </c>
      <c r="CG129" s="4" t="inlineStr">
        <is>
          <t>P_H @ y2+시나리오7</t>
        </is>
      </c>
      <c r="CH129" s="25">
        <f>SUM(DF15:DF76)/(1+(CH111+시나리오!$A$10/10000)/2*CH98/CH99)</f>
        <v/>
      </c>
    </row>
    <row r="130">
      <c r="A130" s="4" t="inlineStr">
        <is>
          <t>P_H @ y2+시나리오8</t>
        </is>
      </c>
      <c r="B130" s="25">
        <f>SUM(AA15:AA76)/(1+(B111+시나리오!$A$11/10000)/2*B98/B99)</f>
        <v/>
      </c>
      <c r="AQ130" s="4" t="inlineStr">
        <is>
          <t>P_H @ y2+시나리오8</t>
        </is>
      </c>
      <c r="AR130" s="25">
        <f>SUM(BQ15:BQ76)/(1+(AR111+시나리오!$A$11/10000)/2*AR98/AR99)</f>
        <v/>
      </c>
      <c r="CG130" s="4" t="inlineStr">
        <is>
          <t>P_H @ y2+시나리오8</t>
        </is>
      </c>
      <c r="CH130" s="25">
        <f>SUM(DG15:DG76)/(1+(CH111+시나리오!$A$11/10000)/2*CH98/CH99)</f>
        <v/>
      </c>
    </row>
    <row r="131">
      <c r="A131" s="4" t="inlineStr">
        <is>
          <t>P_H @ y2+시나리오9</t>
        </is>
      </c>
      <c r="B131" s="25">
        <f>SUM(AB15:AB76)/(1+(B111+시나리오!$A$12/10000)/2*B98/B99)</f>
        <v/>
      </c>
      <c r="AQ131" s="4" t="inlineStr">
        <is>
          <t>P_H @ y2+시나리오9</t>
        </is>
      </c>
      <c r="AR131" s="25">
        <f>SUM(BR15:BR76)/(1+(AR111+시나리오!$A$12/10000)/2*AR98/AR99)</f>
        <v/>
      </c>
      <c r="CG131" s="4" t="inlineStr">
        <is>
          <t>P_H @ y2+시나리오9</t>
        </is>
      </c>
      <c r="CH131" s="25">
        <f>SUM(DH15:DH76)/(1+(CH111+시나리오!$A$12/10000)/2*CH98/CH99)</f>
        <v/>
      </c>
    </row>
    <row r="132">
      <c r="A132" s="4" t="inlineStr">
        <is>
          <t>P_H @ y2+시나리오10</t>
        </is>
      </c>
      <c r="B132" s="25">
        <f>SUM(AC15:AC76)/(1+(B111+시나리오!$A$13/10000)/2*B98/B99)</f>
        <v/>
      </c>
      <c r="AQ132" s="4" t="inlineStr">
        <is>
          <t>P_H @ y2+시나리오10</t>
        </is>
      </c>
      <c r="AR132" s="25">
        <f>SUM(BS15:BS76)/(1+(AR111+시나리오!$A$13/10000)/2*AR98/AR99)</f>
        <v/>
      </c>
      <c r="CG132" s="4" t="inlineStr">
        <is>
          <t>P_H @ y2+시나리오10</t>
        </is>
      </c>
      <c r="CH132" s="25">
        <f>SUM(DI15:DI76)/(1+(CH111+시나리오!$A$13/10000)/2*CH98/CH99)</f>
        <v/>
      </c>
    </row>
    <row r="133">
      <c r="A133" s="4" t="inlineStr">
        <is>
          <t>P_H @ y2+시나리오11</t>
        </is>
      </c>
      <c r="B133" s="25">
        <f>SUM(AD15:AD76)/(1+(B111+시나리오!$A$14/10000)/2*B98/B99)</f>
        <v/>
      </c>
      <c r="AQ133" s="4" t="inlineStr">
        <is>
          <t>P_H @ y2+시나리오11</t>
        </is>
      </c>
      <c r="AR133" s="25">
        <f>SUM(BT15:BT76)/(1+(AR111+시나리오!$A$14/10000)/2*AR98/AR99)</f>
        <v/>
      </c>
      <c r="CG133" s="4" t="inlineStr">
        <is>
          <t>P_H @ y2+시나리오11</t>
        </is>
      </c>
      <c r="CH133" s="25">
        <f>SUM(DJ15:DJ76)/(1+(CH111+시나리오!$A$14/10000)/2*CH98/CH99)</f>
        <v/>
      </c>
    </row>
    <row r="134">
      <c r="A134" s="4" t="inlineStr">
        <is>
          <t>P_H @ y2+시나리오12</t>
        </is>
      </c>
      <c r="B134" s="25">
        <f>SUM(AE15:AE76)/(1+(B111+시나리오!$A$15/10000)/2*B98/B99)</f>
        <v/>
      </c>
      <c r="AQ134" s="4" t="inlineStr">
        <is>
          <t>P_H @ y2+시나리오12</t>
        </is>
      </c>
      <c r="AR134" s="25">
        <f>SUM(BU15:BU76)/(1+(AR111+시나리오!$A$15/10000)/2*AR98/AR99)</f>
        <v/>
      </c>
      <c r="CG134" s="4" t="inlineStr">
        <is>
          <t>P_H @ y2+시나리오12</t>
        </is>
      </c>
      <c r="CH134" s="25">
        <f>SUM(DK15:DK76)/(1+(CH111+시나리오!$A$15/10000)/2*CH98/CH99)</f>
        <v/>
      </c>
    </row>
    <row r="135">
      <c r="A135" s="4" t="inlineStr">
        <is>
          <t>P_H @ y2+시나리오13</t>
        </is>
      </c>
      <c r="B135" s="25">
        <f>SUM(AF15:AF76)/(1+(B111+시나리오!$A$16/10000)/2*B98/B99)</f>
        <v/>
      </c>
      <c r="AQ135" s="4" t="inlineStr">
        <is>
          <t>P_H @ y2+시나리오13</t>
        </is>
      </c>
      <c r="AR135" s="25">
        <f>SUM(BV15:BV76)/(1+(AR111+시나리오!$A$16/10000)/2*AR98/AR99)</f>
        <v/>
      </c>
      <c r="CG135" s="4" t="inlineStr">
        <is>
          <t>P_H @ y2+시나리오13</t>
        </is>
      </c>
      <c r="CH135" s="25">
        <f>SUM(DL15:DL76)/(1+(CH111+시나리오!$A$16/10000)/2*CH98/CH99)</f>
        <v/>
      </c>
    </row>
    <row r="136">
      <c r="A136" s="4" t="inlineStr">
        <is>
          <t>P_H @ y2+시나리오14</t>
        </is>
      </c>
      <c r="B136" s="25">
        <f>SUM(AG15:AG76)/(1+(B111+시나리오!$A$17/10000)/2*B98/B99)</f>
        <v/>
      </c>
      <c r="AQ136" s="4" t="inlineStr">
        <is>
          <t>P_H @ y2+시나리오14</t>
        </is>
      </c>
      <c r="AR136" s="25">
        <f>SUM(BW15:BW76)/(1+(AR111+시나리오!$A$17/10000)/2*AR98/AR99)</f>
        <v/>
      </c>
      <c r="CG136" s="4" t="inlineStr">
        <is>
          <t>P_H @ y2+시나리오14</t>
        </is>
      </c>
      <c r="CH136" s="25">
        <f>SUM(DM15:DM76)/(1+(CH111+시나리오!$A$17/10000)/2*CH98/CH99)</f>
        <v/>
      </c>
    </row>
    <row r="137">
      <c r="A137" s="4" t="inlineStr">
        <is>
          <t>P_H @ y2+시나리오15</t>
        </is>
      </c>
      <c r="B137" s="25">
        <f>SUM(AH15:AH76)/(1+(B111+시나리오!$A$18/10000)/2*B98/B99)</f>
        <v/>
      </c>
      <c r="AQ137" s="4" t="inlineStr">
        <is>
          <t>P_H @ y2+시나리오15</t>
        </is>
      </c>
      <c r="AR137" s="25">
        <f>SUM(BX15:BX76)/(1+(AR111+시나리오!$A$18/10000)/2*AR98/AR99)</f>
        <v/>
      </c>
      <c r="CG137" s="4" t="inlineStr">
        <is>
          <t>P_H @ y2+시나리오15</t>
        </is>
      </c>
      <c r="CH137" s="25">
        <f>SUM(DN15:DN76)/(1+(CH111+시나리오!$A$18/10000)/2*CH98/CH99)</f>
        <v/>
      </c>
    </row>
    <row r="138">
      <c r="A138" s="4" t="inlineStr">
        <is>
          <t>P_H @ y2+시나리오16</t>
        </is>
      </c>
      <c r="B138" s="25">
        <f>SUM(AI15:AI76)/(1+(B111+시나리오!$A$19/10000)/2*B98/B99)</f>
        <v/>
      </c>
      <c r="AQ138" s="4" t="inlineStr">
        <is>
          <t>P_H @ y2+시나리오16</t>
        </is>
      </c>
      <c r="AR138" s="25">
        <f>SUM(BY15:BY76)/(1+(AR111+시나리오!$A$19/10000)/2*AR98/AR99)</f>
        <v/>
      </c>
      <c r="CG138" s="4" t="inlineStr">
        <is>
          <t>P_H @ y2+시나리오16</t>
        </is>
      </c>
      <c r="CH138" s="25">
        <f>SUM(DO15:DO76)/(1+(CH111+시나리오!$A$19/10000)/2*CH98/CH99)</f>
        <v/>
      </c>
    </row>
    <row r="139">
      <c r="A139" s="4" t="inlineStr">
        <is>
          <t>P_H @ y2+시나리오17</t>
        </is>
      </c>
      <c r="B139" s="25">
        <f>SUM(AJ15:AJ76)/(1+(B111+시나리오!$A$20/10000)/2*B98/B99)</f>
        <v/>
      </c>
      <c r="AQ139" s="4" t="inlineStr">
        <is>
          <t>P_H @ y2+시나리오17</t>
        </is>
      </c>
      <c r="AR139" s="25">
        <f>SUM(BZ15:BZ76)/(1+(AR111+시나리오!$A$20/10000)/2*AR98/AR99)</f>
        <v/>
      </c>
      <c r="CG139" s="4" t="inlineStr">
        <is>
          <t>P_H @ y2+시나리오17</t>
        </is>
      </c>
      <c r="CH139" s="25">
        <f>SUM(DP15:DP76)/(1+(CH111+시나리오!$A$20/10000)/2*CH98/CH99)</f>
        <v/>
      </c>
    </row>
    <row r="140">
      <c r="A140" s="4" t="inlineStr">
        <is>
          <t>P_H @ y2+시나리오18</t>
        </is>
      </c>
      <c r="B140" s="25">
        <f>SUM(AK15:AK76)/(1+(B111+시나리오!$A$21/10000)/2*B98/B99)</f>
        <v/>
      </c>
      <c r="AQ140" s="4" t="inlineStr">
        <is>
          <t>P_H @ y2+시나리오18</t>
        </is>
      </c>
      <c r="AR140" s="25">
        <f>SUM(CA15:CA76)/(1+(AR111+시나리오!$A$21/10000)/2*AR98/AR99)</f>
        <v/>
      </c>
      <c r="CG140" s="4" t="inlineStr">
        <is>
          <t>P_H @ y2+시나리오18</t>
        </is>
      </c>
      <c r="CH140" s="25">
        <f>SUM(DQ15:DQ76)/(1+(CH111+시나리오!$A$21/10000)/2*CH98/CH99)</f>
        <v/>
      </c>
    </row>
    <row r="141">
      <c r="A141" s="4" t="inlineStr">
        <is>
          <t>P_H @ y2+시나리오19</t>
        </is>
      </c>
      <c r="B141" s="25">
        <f>SUM(AL15:AL76)/(1+(B111+시나리오!$A$22/10000)/2*B98/B99)</f>
        <v/>
      </c>
      <c r="AQ141" s="4" t="inlineStr">
        <is>
          <t>P_H @ y2+시나리오19</t>
        </is>
      </c>
      <c r="AR141" s="25">
        <f>SUM(CB15:CB76)/(1+(AR111+시나리오!$A$22/10000)/2*AR98/AR99)</f>
        <v/>
      </c>
      <c r="CG141" s="4" t="inlineStr">
        <is>
          <t>P_H @ y2+시나리오19</t>
        </is>
      </c>
      <c r="CH141" s="25">
        <f>SUM(DR15:DR76)/(1+(CH111+시나리오!$A$22/10000)/2*CH98/CH99)</f>
        <v/>
      </c>
    </row>
    <row r="142">
      <c r="A142" s="4" t="inlineStr">
        <is>
          <t>P_H @ y2+시나리오20</t>
        </is>
      </c>
      <c r="B142" s="25">
        <f>SUM(AM15:AM76)/(1+(B111+시나리오!$A$23/10000)/2*B98/B99)</f>
        <v/>
      </c>
      <c r="AQ142" s="4" t="inlineStr">
        <is>
          <t>P_H @ y2+시나리오20</t>
        </is>
      </c>
      <c r="AR142" s="25">
        <f>SUM(CC15:CC76)/(1+(AR111+시나리오!$A$23/10000)/2*AR98/AR99)</f>
        <v/>
      </c>
      <c r="CG142" s="4" t="inlineStr">
        <is>
          <t>P_H @ y2+시나리오20</t>
        </is>
      </c>
      <c r="CH142" s="25">
        <f>SUM(DS15:DS76)/(1+(CH111+시나리오!$A$23/10000)/2*CH98/CH99)</f>
        <v/>
      </c>
    </row>
    <row r="143">
      <c r="A143" s="4" t="inlineStr">
        <is>
          <t>P_H @ y2+시나리오21</t>
        </is>
      </c>
      <c r="B143" s="25">
        <f>SUM(AN15:AN76)/(1+(B111+시나리오!$A$24/10000)/2*B98/B99)</f>
        <v/>
      </c>
      <c r="AQ143" s="4" t="inlineStr">
        <is>
          <t>P_H @ y2+시나리오21</t>
        </is>
      </c>
      <c r="AR143" s="25">
        <f>SUM(CD15:CD76)/(1+(AR111+시나리오!$A$24/10000)/2*AR98/AR99)</f>
        <v/>
      </c>
      <c r="CG143" s="4" t="inlineStr">
        <is>
          <t>P_H @ y2+시나리오21</t>
        </is>
      </c>
      <c r="CH143" s="25">
        <f>SUM(DT15:DT76)/(1+(CH111+시나리오!$A$24/10000)/2*CH98/CH99)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2" customWidth="1" min="3" max="3"/>
  </cols>
  <sheetData>
    <row r="1" ht="22" customHeight="1">
      <c r="A1" s="1" t="inlineStr">
        <is>
          <t>실시간 데이터 연동 가이드 &amp; 준비물 체크리스트</t>
        </is>
      </c>
      <c r="B1" s="2" t="n"/>
      <c r="C1" s="2" t="n"/>
      <c r="D1" s="2" t="n"/>
      <c r="E1" s="2" t="n"/>
    </row>
    <row r="2"/>
    <row r="3">
      <c r="B3" s="11" t="inlineStr">
        <is>
          <t>A. 벤더별 실시간 연동 수식</t>
        </is>
      </c>
      <c r="C3" s="11" t="n"/>
    </row>
    <row r="4">
      <c r="B4" s="5" t="inlineStr">
        <is>
          <t>벤더 / 방식</t>
        </is>
      </c>
      <c r="C4" s="5" t="inlineStr">
        <is>
          <t>[실시간] C열에 넣을 수식 예시</t>
        </is>
      </c>
    </row>
    <row r="5">
      <c r="B5" s="52" t="inlineStr">
        <is>
          <t>연합인포맥스 (Excel Add-in)</t>
        </is>
      </c>
      <c r="C5" s="53" t="inlineStr">
        <is>
          <t>=IMFX("KR103502GE97","매도수익률")   /   =IMFX("F 10YKTB","현재가")</t>
        </is>
      </c>
    </row>
    <row r="6">
      <c r="B6" s="52" t="inlineStr">
        <is>
          <t>Bloomberg (BDP)</t>
        </is>
      </c>
      <c r="C6" s="53" t="inlineStr">
        <is>
          <t>=BDP("KTBA Comdty","PX_LAST")   /   =BDP("KTB 3 06/10/35 Corp","YLD_YTM_ASK")</t>
        </is>
      </c>
    </row>
    <row r="7">
      <c r="B7" s="52" t="inlineStr">
        <is>
          <t>Bloomberg (RTD 스트리밍)</t>
        </is>
      </c>
      <c r="C7" s="53" t="inlineStr">
        <is>
          <t>=RTD("bloomberglp.bloombergrtd",,"//blp/mktdata","KTBA Comdty","LAST_PRICE")</t>
        </is>
      </c>
    </row>
    <row r="8">
      <c r="B8" s="52" t="inlineStr">
        <is>
          <t>Refinitiv Eikon</t>
        </is>
      </c>
      <c r="C8" s="53" t="inlineStr">
        <is>
          <t>=RtGet("IDN","KTBc1","CF_LAST")   또는  =TR("KTBc1","CF_LAST")</t>
        </is>
      </c>
    </row>
    <row r="9">
      <c r="B9" s="52" t="inlineStr">
        <is>
          <t>LS증권 xingAPI (DDE)</t>
        </is>
      </c>
      <c r="C9" s="53" t="inlineStr">
        <is>
          <t>=xingDDE|주식현재가!'종목코드'   (xingAPI DDE 서버 실행 필요)</t>
        </is>
      </c>
    </row>
    <row r="10">
      <c r="B10" s="52" t="inlineStr">
        <is>
          <t>대신증권 CYBOS Plus (DDE)</t>
        </is>
      </c>
      <c r="C10" s="53" t="inlineStr">
        <is>
          <t>=CYBOS|StockMst!'A005930'   (CYBOS Plus 로그인 상태 필요)</t>
        </is>
      </c>
    </row>
    <row r="11">
      <c r="B11" s="52" t="inlineStr">
        <is>
          <t>키움 OpenAPI+</t>
        </is>
      </c>
      <c r="C11" s="53" t="inlineStr">
        <is>
          <t>Excel 직결 미지원 → VBA/파이썬 브리지로 셀에 write, 또는 RTD 서버 자작</t>
        </is>
      </c>
    </row>
    <row r="12">
      <c r="B12" s="52" t="inlineStr">
        <is>
          <t>한국투자증권 OpenAPI (REST)</t>
        </is>
      </c>
      <c r="C12" s="53" t="inlineStr">
        <is>
          <t>Power Query 또는 VBA로 폴링. 실시간은 WebSocket → 별도 브리지 필요</t>
        </is>
      </c>
    </row>
    <row r="13">
      <c r="B13" s="52" t="inlineStr">
        <is>
          <t>KRX 정보데이터시스템</t>
        </is>
      </c>
      <c r="C13" s="53" t="inlineStr">
        <is>
          <t>지연 데이터. 차익거래 실행용으로는 부적합(참고용)</t>
        </is>
      </c>
    </row>
    <row r="14">
      <c r="C14" s="8" t="inlineStr">
        <is>
          <t>※ 벤더 함수명·필드명은 버전에 따라 다릅니다. 반드시 해당 Add-in 매뉴얼로 확인하십시오.</t>
        </is>
      </c>
    </row>
    <row r="15">
      <c r="C15" s="8" t="inlineStr">
        <is>
          <t>※ RTD/DDE는 [파일]-[옵션]-[수식]에서 계산옵션이 '자동'이어야 갱신됩니다.</t>
        </is>
      </c>
    </row>
    <row r="16">
      <c r="B16" s="11" t="inlineStr">
        <is>
          <t>B. 준비물 체크리스트 — 이 파일을 실전에 쓰려면 아래가 추가로 필요합니다</t>
        </is>
      </c>
      <c r="C16" s="11" t="n"/>
    </row>
    <row r="17">
      <c r="B17" s="5" t="inlineStr">
        <is>
          <t>항목</t>
        </is>
      </c>
      <c r="C17" s="5" t="inlineStr">
        <is>
          <t>내용</t>
        </is>
      </c>
    </row>
    <row r="18">
      <c r="B18" s="52" t="inlineStr">
        <is>
          <t>1. 바스켓 종목 확정</t>
        </is>
      </c>
      <c r="C18" s="53" t="inlineStr">
        <is>
          <t>해당 결제월의 최종결제기준채권(종목코드/발행일/만기일/표면금리). KRX가 결제월별로 공시.</t>
        </is>
      </c>
    </row>
    <row r="19">
      <c r="B19" s="52" t="inlineStr">
        <is>
          <t>2. 실시간 채권 호가</t>
        </is>
      </c>
      <c r="C19" s="53" t="inlineStr">
        <is>
          <t>바스켓 종목의 Bid/Ask 수익률. 장외 채권은 유동성이 얕아 '체결 가능한' 호가인지가 관건.</t>
        </is>
      </c>
    </row>
    <row r="20">
      <c r="B20" s="52" t="inlineStr">
        <is>
          <t>3. 실시간 선물 호가</t>
        </is>
      </c>
      <c r="C20" s="53" t="inlineStr">
        <is>
          <t>최근월물 현재가 + 1호가. 체결가 기준으로 베이시스를 봐야 실행 가능.</t>
        </is>
      </c>
    </row>
    <row r="21">
      <c r="B21" s="52" t="inlineStr">
        <is>
          <t>4. 조달금리(레포)</t>
        </is>
      </c>
      <c r="C21" s="53" t="inlineStr">
        <is>
          <t>선물 만기까지의 term repo 금리. 담보 haircut, 롤 가능 기간, 종목별 special 여부.</t>
        </is>
      </c>
    </row>
    <row r="22">
      <c r="B22" s="52" t="inlineStr">
        <is>
          <t>5. 현물 조달·대차 가능성</t>
        </is>
      </c>
      <c r="C22" s="53" t="inlineStr">
        <is>
          <t>역방향(선물매수+현물매도) 시 바스켓 종목 대차 가능 여부와 대차수수료.</t>
        </is>
      </c>
    </row>
    <row r="23">
      <c r="B23" s="52" t="inlineStr">
        <is>
          <t>6. 거래비용 실측치</t>
        </is>
      </c>
      <c r="C23" s="53" t="inlineStr">
        <is>
          <t>선물 위탁수수료(계약당), 채권 장외 스프레드, 결제·최종결제 슬리피지.</t>
        </is>
      </c>
    </row>
    <row r="24">
      <c r="B24" s="52" t="inlineStr">
        <is>
          <t>7. 증거금 / 자금계획</t>
        </is>
      </c>
      <c r="C24" s="53" t="inlineStr">
        <is>
          <t>선물 개시·유지증거금, 일일정산 변동증거금 조달. 마진콜 시나리오.</t>
        </is>
      </c>
    </row>
    <row r="25">
      <c r="B25" s="52" t="inlineStr">
        <is>
          <t>8. 휴일 캘린더</t>
        </is>
      </c>
      <c r="C25" s="53" t="inlineStr">
        <is>
          <t>최종결제일·현물결제일·이표일의 영업일 조정. 현재는 WORKDAY() 기반이라 공휴일 미반영.</t>
        </is>
      </c>
    </row>
    <row r="26">
      <c r="B26" s="52" t="inlineStr">
        <is>
          <t>9. 세무 / 회계 처리</t>
        </is>
      </c>
      <c r="C26" s="53" t="inlineStr">
        <is>
          <t>기관 유형별 채권 이자소득 원천징수 여부 → 실효 캐리에 직접 영향.</t>
        </is>
      </c>
    </row>
    <row r="27">
      <c r="B27" s="52" t="inlineStr">
        <is>
          <t>10. 최종결제 산출 규칙</t>
        </is>
      </c>
      <c r="C27" s="53" t="inlineStr">
        <is>
          <t>딜러 제출 수익률의 집계 시각·최고최저 제외 평균 여부 등 KRX 현행 규정 재확인.</t>
        </is>
      </c>
    </row>
    <row r="28">
      <c r="B28" s="11" t="inlineStr">
        <is>
          <t>C. 남는 리스크 (헤지로 제거되지 않는 것)</t>
        </is>
      </c>
      <c r="C28" s="11" t="n"/>
    </row>
    <row r="29">
      <c r="B29" s="52" t="inlineStr">
        <is>
          <t>결제가격 괴리 리스크</t>
        </is>
      </c>
      <c r="C29" s="53" t="inlineStr">
        <is>
          <t>최종결제기준가격은 딜러 호가 집계값. 만기일에 내가 실제 체결하는 현물 수익률과 다를 수 있음 → 최대 리스크.</t>
        </is>
      </c>
    </row>
    <row r="30">
      <c r="B30" s="52" t="inlineStr">
        <is>
          <t>레포 롤 리스크</t>
        </is>
      </c>
      <c r="C30" s="53" t="inlineStr">
        <is>
          <t>만기까지 term repo를 못 잡으면 조달금리가 변동 → 캐리 전제가 무너짐.</t>
        </is>
      </c>
    </row>
    <row r="31">
      <c r="B31" s="52" t="inlineStr">
        <is>
          <t>컨벡시티 불일치</t>
        </is>
      </c>
      <c r="C31" s="53" t="inlineStr">
        <is>
          <t>BPV 헤지는 1차만 중립화. 대폭 금리변동 시 [시나리오] 시트의 잔여 변동만큼 손익 흔들림.</t>
        </is>
      </c>
    </row>
    <row r="32">
      <c r="B32" s="52" t="inlineStr">
        <is>
          <t>변동증거금 이자효과</t>
        </is>
      </c>
      <c r="C32" s="53" t="inlineStr">
        <is>
          <t>선물은 일일정산되나 현물은 만기 일시정산 → 금리·손익 경로에 따른 테일 리스크.</t>
        </is>
      </c>
    </row>
    <row r="33">
      <c r="B33" s="52" t="inlineStr">
        <is>
          <t>유동성 리스크</t>
        </is>
      </c>
      <c r="C33" s="53" t="inlineStr">
        <is>
          <t>바스켓 종목이 비지표물이면 진입·청산 스프레드가 이론 베이시스를 잠식.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2026-07-28T00:22:18Z</dcterms:created>
  <dcterms:modified xsi:type="dcterms:W3CDTF">2026-07-28T00:22:18Z</dcterms:modified>
</cp:coreProperties>
</file>